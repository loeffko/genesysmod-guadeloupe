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 codeName="DieseArbeitsmappe" autoCompressPictures="0"/>
  <xr:revisionPtr revIDLastSave="0" documentId="13_ncr:1_{7698396F-AEB1-49FB-83ED-3000E49E4215}" xr6:coauthVersionLast="47" xr6:coauthVersionMax="47" xr10:uidLastSave="{00000000-0000-0000-0000-000000000000}"/>
  <bookViews>
    <workbookView xWindow="-120" yWindow="-120" windowWidth="29040" windowHeight="15840" tabRatio="804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TagDemandFuelToSector" sheetId="86" r:id="rId5"/>
    <sheet name="Par_CapacityToActivityUnit" sheetId="43" r:id="rId6"/>
    <sheet name="Par_Conversionls" sheetId="44" r:id="rId7"/>
    <sheet name="Par_Conversionld" sheetId="45" r:id="rId8"/>
    <sheet name="Par_Conversionlh" sheetId="46" r:id="rId9"/>
    <sheet name="Par_EmissionActivityRatio" sheetId="22" r:id="rId10"/>
    <sheet name="Par_EmissionPenaltyTagTech" sheetId="70" r:id="rId11"/>
    <sheet name="Par_EmissionContentPerFuel" sheetId="69" r:id="rId12"/>
    <sheet name="Par_ReserveMargin" sheetId="59" r:id="rId13"/>
    <sheet name="Par_ReserveMarginTagFuel" sheetId="33" r:id="rId14"/>
    <sheet name="Par_ReserveMarginTagTechnology" sheetId="26" r:id="rId15"/>
    <sheet name="Par_InputActivityRatio" sheetId="17" r:id="rId16"/>
    <sheet name="Par_OutputActivityRatio" sheetId="18" r:id="rId17"/>
    <sheet name="Par_CapitalCost" sheetId="20" r:id="rId18"/>
    <sheet name="Par_VariableCost" sheetId="3" r:id="rId19"/>
    <sheet name="Par_FixedCost" sheetId="19" r:id="rId20"/>
    <sheet name="Par_AvailabilityFactor" sheetId="4" r:id="rId21"/>
    <sheet name="Par_OperationalLife" sheetId="6" r:id="rId22"/>
    <sheet name="Par_TagTechnologyToModalType" sheetId="65" r:id="rId23"/>
    <sheet name="Par_TechnologyToStorage" sheetId="49" r:id="rId24"/>
    <sheet name="Par_TechnologyFromStorage" sheetId="50" r:id="rId25"/>
    <sheet name="Par_StorageMaxChargeRate" sheetId="52" r:id="rId26"/>
    <sheet name="Par_StorageMaxDischargeRate" sheetId="53" r:id="rId27"/>
    <sheet name="Par_MinStorageCharge" sheetId="54" r:id="rId28"/>
    <sheet name="Par_OperationalLifeStorage" sheetId="55" r:id="rId29"/>
    <sheet name="Par_CapitalCostStorage" sheetId="56" r:id="rId30"/>
    <sheet name="Par_TagElectricTechnology" sheetId="87" r:id="rId31"/>
  </sheets>
  <externalReferences>
    <externalReference r:id="rId32"/>
  </externalReferences>
  <definedNames>
    <definedName name="_xlnm._FilterDatabase" localSheetId="17" hidden="1">Par_CapitalCost!$A$5:$J$108</definedName>
    <definedName name="_xlnm._FilterDatabase" localSheetId="29" hidden="1">Par_CapitalCostStorage!$A$5:$D$5</definedName>
    <definedName name="_xlnm._FilterDatabase" localSheetId="9" hidden="1">Par_EmissionActivityRatio!$A$5:$AF$58</definedName>
    <definedName name="_xlnm._FilterDatabase" localSheetId="10" hidden="1">Par_EmissionPenaltyTagTech!$A$5:$AE$5</definedName>
    <definedName name="_xlnm._FilterDatabase" localSheetId="19" hidden="1">Par_FixedCost!$A$5:$M$5</definedName>
    <definedName name="_xlnm._FilterDatabase" localSheetId="15" hidden="1">Par_InputActivityRatio!$A$5:$U$194</definedName>
    <definedName name="_xlnm._FilterDatabase" localSheetId="28" hidden="1">Par_OperationalLifeStorage!$A$5:$M$5</definedName>
    <definedName name="_xlnm._FilterDatabase" localSheetId="16" hidden="1">Par_OutputActivityRatio!$A$5:$S$234</definedName>
    <definedName name="_xlnm._FilterDatabase" localSheetId="14" hidden="1">Par_ReserveMarginTagTechnology!$A$5:$J$12</definedName>
    <definedName name="_xlnm._FilterDatabase" localSheetId="18" hidden="1">Par_VariableCost!$A$5:$L$100</definedName>
    <definedName name="_xlnm._FilterDatabase" localSheetId="0" hidden="1">Sets!$B$2:$B$576</definedName>
    <definedName name="Emissions" localSheetId="1">#REF!</definedName>
    <definedName name="Emissions" localSheetId="10">#REF!</definedName>
    <definedName name="Emissions" localSheetId="4">#REF!</definedName>
    <definedName name="Emissions" localSheetId="30">#REF!</definedName>
    <definedName name="Emissions" localSheetId="3">#REF!</definedName>
    <definedName name="Emissions">#REF!</definedName>
    <definedName name="Fuels" localSheetId="1">#REF!</definedName>
    <definedName name="Fuels" localSheetId="10">#REF!</definedName>
    <definedName name="Fuels" localSheetId="12">[1]Data!$C$2:$C$24</definedName>
    <definedName name="Fuels" localSheetId="4">#REF!</definedName>
    <definedName name="Fuels" localSheetId="30">#REF!</definedName>
    <definedName name="Fuels" localSheetId="3">#REF!</definedName>
    <definedName name="Fuels">#REF!</definedName>
    <definedName name="Regions" localSheetId="1">#REF!</definedName>
    <definedName name="Regions" localSheetId="10">#REF!</definedName>
    <definedName name="Regions" localSheetId="12">[1]Data!$G$2:$G$11</definedName>
    <definedName name="Regions" localSheetId="4">#REF!</definedName>
    <definedName name="Regions" localSheetId="30">#REF!</definedName>
    <definedName name="Regions" localSheetId="3">#REF!</definedName>
    <definedName name="Regions">#REF!</definedName>
    <definedName name="Storages" localSheetId="1">#REF!</definedName>
    <definedName name="Storages" localSheetId="10">#REF!</definedName>
    <definedName name="Storages" localSheetId="4">#REF!</definedName>
    <definedName name="Storages" localSheetId="30">#REF!</definedName>
    <definedName name="Storages" localSheetId="3">#REF!</definedName>
    <definedName name="Storages">#REF!</definedName>
    <definedName name="Technologies" localSheetId="1">#REF!:B</definedName>
    <definedName name="Technologies" localSheetId="10">#REF!:B</definedName>
    <definedName name="Technologies" localSheetId="4">#REF!:B</definedName>
    <definedName name="Technologies" localSheetId="30">#REF!:B</definedName>
    <definedName name="Technologies" localSheetId="3">#REF!:B</definedName>
    <definedName name="Technologies">#REF!:B</definedName>
    <definedName name="Timeslices" localSheetId="1">#REF!</definedName>
    <definedName name="Timeslices" localSheetId="10">#REF!</definedName>
    <definedName name="Timeslices" localSheetId="4">#REF!</definedName>
    <definedName name="Timeslices" localSheetId="30">#REF!</definedName>
    <definedName name="Timeslices" localSheetId="22">#REF!</definedName>
    <definedName name="Timeslices" localSheetId="3">#REF!</definedName>
    <definedName name="Timeslices">#REF!</definedName>
    <definedName name="Years" localSheetId="1">#REF!</definedName>
    <definedName name="Years" localSheetId="10">#REF!</definedName>
    <definedName name="Years" localSheetId="4">#REF!</definedName>
    <definedName name="Years" localSheetId="30">#REF!</definedName>
    <definedName name="Years" localSheetId="3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" l="1"/>
  <c r="F25" i="3"/>
  <c r="G25" i="3"/>
  <c r="H25" i="3"/>
  <c r="I25" i="3"/>
  <c r="J25" i="3"/>
  <c r="K25" i="3"/>
  <c r="D25" i="3"/>
  <c r="D60" i="20"/>
  <c r="E60" i="20" s="1"/>
  <c r="F60" i="20" s="1"/>
  <c r="G60" i="20" s="1"/>
  <c r="H60" i="20" s="1"/>
  <c r="I60" i="20" s="1"/>
  <c r="D61" i="20"/>
  <c r="E61" i="20" s="1"/>
  <c r="F61" i="20" s="1"/>
  <c r="G61" i="20" s="1"/>
  <c r="H61" i="20" s="1"/>
  <c r="I61" i="20" s="1"/>
  <c r="D62" i="20"/>
  <c r="E62" i="20" s="1"/>
  <c r="F62" i="20" s="1"/>
  <c r="G62" i="20" s="1"/>
  <c r="H62" i="20" s="1"/>
  <c r="I62" i="20" s="1"/>
  <c r="E59" i="20"/>
  <c r="F59" i="20" s="1"/>
  <c r="G59" i="20" s="1"/>
  <c r="H59" i="20" s="1"/>
  <c r="I59" i="20" s="1"/>
  <c r="D59" i="20"/>
  <c r="J60" i="20"/>
  <c r="J61" i="20"/>
  <c r="J62" i="20"/>
  <c r="J59" i="20"/>
  <c r="E23" i="20"/>
  <c r="F23" i="20" s="1"/>
  <c r="G23" i="20" s="1"/>
  <c r="H23" i="20" s="1"/>
  <c r="I23" i="20" s="1"/>
  <c r="D23" i="20"/>
  <c r="E24" i="20"/>
  <c r="F24" i="20" s="1"/>
  <c r="G24" i="20" s="1"/>
  <c r="H24" i="20" s="1"/>
  <c r="I24" i="20" s="1"/>
  <c r="D24" i="20"/>
  <c r="J24" i="20"/>
  <c r="J23" i="20"/>
</calcChain>
</file>

<file path=xl/sharedStrings.xml><?xml version="1.0" encoding="utf-8"?>
<sst xmlns="http://schemas.openxmlformats.org/spreadsheetml/2006/main" count="4243" uniqueCount="375">
  <si>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</si>
  <si>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</si>
  <si>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</si>
  <si>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</si>
  <si>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</si>
  <si>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Emissions factor per unit of activity.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</si>
  <si>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</si>
  <si>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</si>
  <si>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</si>
  <si>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</si>
  <si>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</si>
  <si>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</si>
  <si>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</si>
  <si>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</si>
  <si>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</si>
  <si>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</si>
  <si>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</si>
  <si>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</si>
  <si>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</si>
  <si>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</si>
  <si>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</si>
  <si>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</si>
  <si>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</si>
  <si>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</si>
  <si>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</si>
  <si>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</si>
  <si>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</si>
  <si>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</si>
  <si>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</si>
  <si>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</si>
  <si>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</si>
  <si>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</si>
  <si>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</si>
  <si>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</si>
  <si>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</si>
  <si>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</si>
  <si>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</si>
  <si>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</si>
  <si>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</si>
  <si>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</si>
  <si>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</si>
  <si>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</si>
  <si>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</si>
  <si>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</si>
  <si>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</si>
  <si>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</si>
  <si>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</si>
  <si>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</si>
  <si>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</si>
  <si>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</si>
  <si>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</si>
  <si>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</si>
  <si>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</si>
  <si>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</si>
  <si>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</si>
  <si>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</si>
  <si>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</si>
  <si>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</si>
  <si>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</si>
  <si>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</si>
  <si>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</si>
  <si>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</si>
  <si>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</si>
  <si>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</si>
  <si>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</si>
  <si>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</si>
  <si>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</si>
  <si>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</si>
  <si>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</si>
  <si>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</si>
  <si>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</si>
  <si>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</si>
  <si>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</si>
  <si>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</si>
  <si>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</si>
  <si>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</si>
  <si>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</si>
  <si>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</si>
  <si>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</si>
  <si>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</si>
  <si>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</si>
  <si>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</si>
  <si>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</si>
  <si>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</si>
  <si>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</si>
  <si>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</si>
  <si>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</si>
  <si>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</si>
  <si>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</si>
  <si>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</si>
  <si>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</si>
  <si>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</si>
  <si>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</si>
  <si>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</si>
  <si>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</si>
  <si>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</si>
  <si>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</si>
  <si>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</si>
  <si>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</si>
  <si>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</si>
  <si>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</si>
  <si>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</si>
  <si>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</si>
  <si>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</si>
  <si>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</si>
  <si>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</si>
  <si>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</si>
  <si>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</si>
  <si>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</si>
  <si>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</si>
  <si>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</si>
  <si>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</si>
  <si>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</si>
  <si>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</si>
  <si>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</si>
  <si>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</si>
  <si>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</si>
  <si>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</si>
  <si>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</si>
  <si>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</si>
  <si>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</si>
  <si>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</si>
  <si>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</si>
  <si>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</si>
  <si>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</si>
  <si>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</si>
  <si>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</si>
  <si>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</si>
  <si>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</si>
  <si>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</si>
  <si>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</si>
  <si>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D_Heat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</si>
  <si>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</si>
  <si>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</si>
  <si>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</si>
  <si>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</si>
  <si>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</si>
  <si>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</si>
  <si>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</si>
  <si>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</si>
  <si>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</si>
  <si>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</si>
  <si>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</si>
  <si>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</si>
  <si>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</si>
  <si>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</si>
  <si>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</si>
  <si>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</si>
  <si>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</si>
  <si>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</si>
  <si>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</si>
  <si>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</si>
  <si>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</si>
  <si>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</si>
  <si>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</si>
  <si>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</si>
  <si>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</si>
  <si>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</si>
  <si>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</si>
  <si>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</si>
  <si>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</si>
  <si>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</si>
  <si>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</si>
  <si>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</si>
  <si>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</si>
  <si>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</si>
  <si>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</si>
  <si>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</si>
  <si>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</si>
  <si>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</si>
  <si>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</si>
  <si>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</si>
  <si>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</si>
  <si>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</si>
  <si>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</si>
  <si>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</si>
  <si>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</si>
  <si>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</si>
  <si>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</si>
  <si>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CCS_Biomass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</si>
  <si>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</si>
  <si>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</si>
  <si>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</si>
  <si>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</si>
  <si>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</si>
  <si>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</si>
  <si>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</si>
  <si>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</si>
  <si>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</si>
  <si>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</si>
  <si>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</si>
  <si>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</si>
  <si>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</si>
  <si>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</si>
  <si>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</si>
  <si>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</si>
  <si>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</si>
  <si>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</si>
  <si>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</si>
  <si>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</si>
  <si>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</si>
  <si>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</si>
  <si>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</si>
  <si>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</si>
  <si>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</si>
  <si>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</si>
  <si>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</si>
  <si>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</si>
  <si>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</si>
  <si>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</si>
  <si>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</si>
  <si>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</si>
  <si>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</si>
  <si>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</si>
  <si>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</si>
  <si>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</si>
  <si>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</si>
  <si>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</si>
  <si>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</si>
  <si>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</si>
  <si>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</si>
  <si>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</si>
  <si>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</si>
  <si>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</si>
  <si>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</si>
  <si>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</si>
  <si>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</si>
  <si>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</si>
  <si>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</si>
  <si>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</si>
  <si>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</si>
  <si>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</si>
  <si>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</si>
  <si>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*P_Nuclear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</si>
  <si>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</si>
  <si>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</si>
  <si>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</si>
  <si>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</si>
  <si>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</si>
  <si>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</si>
  <si>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</si>
  <si>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</si>
  <si>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</si>
  <si>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</si>
  <si>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</si>
  <si>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</si>
  <si>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</si>
  <si>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</si>
  <si>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</si>
  <si>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</si>
  <si>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</si>
  <si>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</si>
  <si>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</si>
  <si>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</si>
  <si>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</si>
  <si>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</si>
  <si>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</si>
  <si>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</si>
  <si>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</si>
  <si>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</si>
  <si>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</si>
  <si>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Industry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</si>
  <si>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</si>
  <si>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</si>
  <si>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</si>
  <si>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</si>
  <si>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</si>
  <si>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</si>
  <si>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</si>
  <si>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Z_Import_LNG</t>
  </si>
  <si>
    <t>X_Gasifier</t>
  </si>
  <si>
    <t>X_Liquifier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</si>
  <si>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</si>
  <si>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</si>
  <si>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</si>
  <si>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</si>
  <si>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</si>
  <si>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</si>
  <si>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</si>
  <si>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</si>
  <si>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P_H2_OCGT</t>
  </si>
  <si>
    <t>Tags all technologies which produce emissions.</t>
  </si>
  <si>
    <t>Emission content per unit of energy per fuel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</si>
  <si>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</si>
  <si>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</si>
  <si>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</si>
  <si>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</si>
  <si>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</si>
  <si>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Tags technologies which belong to a certain modal type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</si>
  <si>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</si>
  <si>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</si>
  <si>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</si>
  <si>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</si>
  <si>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</si>
  <si>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</si>
  <si>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</si>
  <si>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</si>
  <si>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Fraction of 8760 hours</t>
  </si>
  <si>
    <t>Unit: PJ/GW-YR</t>
  </si>
  <si>
    <t>Unit: M€/PJ</t>
  </si>
  <si>
    <t>Unit: GW</t>
  </si>
  <si>
    <t>Unit: M€/GW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</si>
  <si>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</si>
  <si>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</si>
  <si>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</si>
  <si>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</si>
  <si>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</si>
  <si>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</si>
  <si>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</si>
  <si>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</si>
  <si>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</si>
  <si>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</si>
  <si>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</si>
  <si>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</si>
  <si>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</si>
  <si>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</si>
  <si>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</si>
  <si>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</si>
  <si>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</si>
  <si>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</si>
  <si>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Unit: Years</t>
  </si>
  <si>
    <t>OperationalLife{r in REGION, t in TECHNOLOGY}</t>
  </si>
  <si>
    <t>TagTechnologyToModalType{t in TECHNOLOGY, m in MODEOFOPERATION, md in MODALTYPE}</t>
  </si>
  <si>
    <t>TechnologyToStorage{y in YEAR, m in MODE_OF_OPERATION, t in TECHNOLOGY, s in STORAGE}</t>
  </si>
  <si>
    <t>TechnologyFromStorage{r in REGION, m in MODE_OF_OPERATION, t in TECHNOLOGY,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</si>
  <si>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</si>
  <si>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</si>
  <si>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</si>
  <si>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</si>
  <si>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</si>
  <si>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</si>
  <si>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</si>
  <si>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</si>
  <si>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>World</t>
  </si>
  <si>
    <t>TimeSlice</t>
  </si>
  <si>
    <t>Z_Import_Electricity</t>
  </si>
  <si>
    <t>HLT_Rooftop</t>
  </si>
  <si>
    <t>A_Rooftop</t>
  </si>
  <si>
    <t>Powerfuel</t>
  </si>
  <si>
    <t>LH2</t>
  </si>
  <si>
    <t>LSG</t>
  </si>
  <si>
    <t>LBG</t>
  </si>
  <si>
    <t>LNG</t>
  </si>
  <si>
    <t>X_DAC_LT</t>
  </si>
  <si>
    <t>DAC_Dummy</t>
  </si>
  <si>
    <t>X_DAC_HT</t>
  </si>
  <si>
    <t>Z_Import_H2</t>
  </si>
  <si>
    <t>Z_ETS_Sell</t>
  </si>
  <si>
    <t>ETS</t>
  </si>
  <si>
    <t>ETS_Source</t>
  </si>
  <si>
    <t>CHP_Biomass_Solid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</si>
  <si>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</si>
  <si>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</si>
  <si>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</si>
  <si>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</si>
  <si>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</si>
  <si>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</si>
  <si>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CHP_Gas_CCGT_Natural_CCS</t>
  </si>
  <si>
    <t>CHP_Gas_CCGT_Biogas_CCS</t>
  </si>
  <si>
    <t>CHP_Hydrogen_FuelCell</t>
  </si>
  <si>
    <t>Heat_District</t>
  </si>
  <si>
    <t>HLI_Convert_DH</t>
  </si>
  <si>
    <t>HLR_Convert_DH</t>
  </si>
  <si>
    <t>CHP_Oil</t>
  </si>
  <si>
    <t>Res_PV_Utility_Tracking</t>
  </si>
  <si>
    <t>P_Gas_CCGT</t>
  </si>
  <si>
    <t>P_Gas_OCGT</t>
  </si>
  <si>
    <t>P_Gas_Engines</t>
  </si>
  <si>
    <t>TagDemandFuelToSector{f in FUEL, se in SECTOR}</t>
  </si>
  <si>
    <t>Assigns final demand fuels to the different sectors.</t>
  </si>
  <si>
    <t>TagElectricTechnology(TECHNOLOGY) indicates if a technology is considered to be "direct electrification"</t>
  </si>
  <si>
    <t>Tag [1/0]</t>
  </si>
  <si>
    <t>PSNG_Ship_EL</t>
  </si>
  <si>
    <t>MT_PSNG_SHIP</t>
  </si>
  <si>
    <t>MT_PSNG_SHIP_RE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</si>
</sst>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3" fillId="0" borderId="0" applyNumberFormat="0" applyFill="0" applyBorder="0" applyAlignment="0" applyProtection="0"/>
    <xf numFmtId="0" fontId="10" fillId="8" borderId="8" applyNumberFormat="0" applyFont="0" applyAlignment="0" applyProtection="0"/>
    <xf numFmtId="0" fontId="2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6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6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6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6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6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6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8" fillId="0" borderId="0" xfId="1282"/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left" vertical="top"/>
    </xf>
    <xf numFmtId="0" fontId="4" fillId="0" borderId="0" xfId="0" applyFont="1"/>
    <xf numFmtId="164" fontId="10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2" fillId="0" borderId="0" xfId="0" applyFont="1" applyAlignment="1">
      <alignment wrapText="1"/>
    </xf>
    <xf numFmtId="0" fontId="5" fillId="0" borderId="0" xfId="0" applyFont="1"/>
    <xf numFmtId="2" fontId="0" fillId="0" borderId="0" xfId="0" applyNumberFormat="1"/>
    <xf numFmtId="0" fontId="9" fillId="0" borderId="0" xfId="1283"/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wrapText="1"/>
    </xf>
    <xf numFmtId="2" fontId="5" fillId="0" borderId="0" xfId="0" applyNumberFormat="1" applyFont="1"/>
    <xf numFmtId="2" fontId="9" fillId="0" borderId="0" xfId="1283" applyNumberFormat="1"/>
    <xf numFmtId="164" fontId="0" fillId="0" borderId="0" xfId="0" applyNumberFormat="1"/>
    <xf numFmtId="0" fontId="13" fillId="0" borderId="0" xfId="0" applyFont="1"/>
    <xf numFmtId="0" fontId="11" fillId="0" borderId="0" xfId="0" applyFont="1"/>
    <xf numFmtId="2" fontId="11" fillId="0" borderId="0" xfId="0" applyNumberFormat="1" applyFont="1"/>
    <xf numFmtId="0" fontId="8" fillId="0" borderId="0" xfId="1282" quotePrefix="1"/>
    <xf numFmtId="0" fontId="12" fillId="0" borderId="0" xfId="0" applyFont="1" applyAlignment="1">
      <alignment horizontal="right" vertical="top"/>
    </xf>
    <xf numFmtId="0" fontId="27" fillId="0" borderId="0" xfId="0" applyFont="1" applyAlignment="1">
      <alignment vertical="center"/>
    </xf>
    <xf numFmtId="0" fontId="28" fillId="0" borderId="0" xfId="1282" applyFont="1"/>
    <xf numFmtId="0" fontId="28" fillId="0" borderId="0" xfId="1281" applyFont="1"/>
    <xf numFmtId="0" fontId="0" fillId="3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Font="1"/>
  </cellXfs>
  <cellStyles count="1325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2050000}"/>
    <cellStyle name="Standard 3" xfId="1282" xr:uid="{00000000-0005-0000-0000-000023050000}"/>
    <cellStyle name="Standard_Technologies_cna_fk_v01_14062010" xfId="1283" xr:uid="{00000000-0005-0000-0000-000024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L138"/>
  <sheetViews>
    <sheetView tabSelected="1" topLeftCell="A62" workbookViewId="0">
      <selection activeCell="B96" sqref="B96"/>
    </sheetView>
  </sheetViews>
  <sheetFormatPr defaultColWidth="9.140625" defaultRowHeight="15" x14ac:dyDescent="0.25"/>
  <cols>
    <col min="1" max="1" width="18.7109375" customWidth="1"/>
    <col min="2" max="2" width="28.28515625" bestFit="1" customWidth="1"/>
    <col min="3" max="3" width="25.140625" bestFit="1" customWidth="1"/>
    <col min="6" max="6" width="19.7109375" bestFit="1" customWidth="1"/>
    <col min="7" max="7" width="15" bestFit="1" customWidth="1"/>
    <col min="10" max="10" width="15" customWidth="1"/>
    <col min="11" max="11" width="16.140625" bestFit="1" customWidth="1"/>
    <col min="12" max="12" width="22.28515625" bestFit="1" customWidth="1"/>
  </cols>
  <sheetData>
    <row r="1" spans="1:12" x14ac:dyDescent="0.25">
      <c r="A1" s="7" t="s">
        <v>20</v>
      </c>
      <c r="B1" s="7" t="s">
        <v>21</v>
      </c>
      <c r="C1" s="7" t="s">
        <v>16</v>
      </c>
      <c r="D1" s="7" t="s">
        <v>22</v>
      </c>
      <c r="E1" s="7" t="s">
        <v>23</v>
      </c>
      <c r="F1" s="7" t="s">
        <v>24</v>
      </c>
      <c r="G1" s="7" t="s">
        <v>15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49</v>
      </c>
    </row>
    <row r="2" spans="1:12" x14ac:dyDescent="0.25">
      <c r="A2" t="s">
        <v>0</v>
      </c>
      <c r="B2" t="s">
        <v>159</v>
      </c>
      <c r="C2" t="s">
        <v>158</v>
      </c>
      <c r="D2">
        <v>2018</v>
      </c>
      <c r="E2" t="s">
        <v>59</v>
      </c>
      <c r="F2">
        <v>1</v>
      </c>
      <c r="G2" t="s">
        <v>333</v>
      </c>
      <c r="H2">
        <v>1</v>
      </c>
      <c r="I2">
        <v>1</v>
      </c>
      <c r="J2">
        <v>1</v>
      </c>
      <c r="K2" t="s">
        <v>137</v>
      </c>
      <c r="L2" t="s">
        <v>31</v>
      </c>
    </row>
    <row r="3" spans="1:12" x14ac:dyDescent="0.25">
      <c r="B3" t="s">
        <v>160</v>
      </c>
      <c r="C3" t="s">
        <v>157</v>
      </c>
      <c r="D3">
        <v>2020</v>
      </c>
      <c r="E3" t="s">
        <v>60</v>
      </c>
      <c r="F3">
        <v>2</v>
      </c>
      <c r="H3">
        <v>2</v>
      </c>
      <c r="J3">
        <v>2</v>
      </c>
      <c r="K3" t="s">
        <v>144</v>
      </c>
      <c r="L3" t="s">
        <v>32</v>
      </c>
    </row>
    <row r="4" spans="1:12" x14ac:dyDescent="0.25">
      <c r="B4" t="s">
        <v>129</v>
      </c>
      <c r="C4" t="s">
        <v>136</v>
      </c>
      <c r="D4">
        <v>2025</v>
      </c>
      <c r="E4" t="s">
        <v>57</v>
      </c>
      <c r="F4">
        <v>3</v>
      </c>
      <c r="H4">
        <v>3</v>
      </c>
      <c r="J4">
        <v>3</v>
      </c>
      <c r="K4" t="s">
        <v>138</v>
      </c>
      <c r="L4" t="s">
        <v>33</v>
      </c>
    </row>
    <row r="5" spans="1:12" x14ac:dyDescent="0.25">
      <c r="B5" t="s">
        <v>130</v>
      </c>
      <c r="C5" t="s">
        <v>146</v>
      </c>
      <c r="D5">
        <v>2030</v>
      </c>
      <c r="E5" t="s">
        <v>58</v>
      </c>
      <c r="F5">
        <v>4</v>
      </c>
      <c r="H5">
        <v>4</v>
      </c>
      <c r="J5">
        <v>4</v>
      </c>
      <c r="K5" t="s">
        <v>139</v>
      </c>
      <c r="L5" t="s">
        <v>37</v>
      </c>
    </row>
    <row r="6" spans="1:12" x14ac:dyDescent="0.25">
      <c r="B6" t="s">
        <v>180</v>
      </c>
      <c r="C6" t="s">
        <v>135</v>
      </c>
      <c r="D6">
        <v>2035</v>
      </c>
      <c r="E6" t="s">
        <v>62</v>
      </c>
      <c r="K6" t="s">
        <v>237</v>
      </c>
      <c r="L6" t="s">
        <v>38</v>
      </c>
    </row>
    <row r="7" spans="1:12" x14ac:dyDescent="0.25">
      <c r="B7" t="s">
        <v>142</v>
      </c>
      <c r="C7" t="s">
        <v>186</v>
      </c>
      <c r="D7">
        <v>2040</v>
      </c>
      <c r="E7" t="s">
        <v>63</v>
      </c>
      <c r="K7" t="s">
        <v>235</v>
      </c>
      <c r="L7" t="s">
        <v>39</v>
      </c>
    </row>
    <row r="8" spans="1:12" x14ac:dyDescent="0.25">
      <c r="B8" t="s">
        <v>143</v>
      </c>
      <c r="C8" t="s">
        <v>134</v>
      </c>
      <c r="D8">
        <v>2045</v>
      </c>
      <c r="E8" t="s">
        <v>64</v>
      </c>
      <c r="K8" t="s">
        <v>181</v>
      </c>
      <c r="L8" t="s">
        <v>43</v>
      </c>
    </row>
    <row r="9" spans="1:12" x14ac:dyDescent="0.25">
      <c r="B9" t="s">
        <v>234</v>
      </c>
      <c r="C9" t="s">
        <v>133</v>
      </c>
      <c r="D9">
        <v>2050</v>
      </c>
      <c r="E9" t="s">
        <v>61</v>
      </c>
      <c r="K9" t="s">
        <v>145</v>
      </c>
      <c r="L9" t="s">
        <v>44</v>
      </c>
    </row>
    <row r="10" spans="1:12" x14ac:dyDescent="0.25">
      <c r="B10" t="s">
        <v>236</v>
      </c>
      <c r="C10" t="s">
        <v>19</v>
      </c>
      <c r="E10" t="s">
        <v>66</v>
      </c>
      <c r="L10" t="s">
        <v>45</v>
      </c>
    </row>
    <row r="11" spans="1:12" x14ac:dyDescent="0.25">
      <c r="B11" t="s">
        <v>128</v>
      </c>
      <c r="C11" t="s">
        <v>140</v>
      </c>
      <c r="E11" t="s">
        <v>67</v>
      </c>
      <c r="L11" t="s">
        <v>34</v>
      </c>
    </row>
    <row r="12" spans="1:12" x14ac:dyDescent="0.25">
      <c r="B12" s="1" t="s">
        <v>123</v>
      </c>
      <c r="C12" t="s">
        <v>141</v>
      </c>
      <c r="E12" t="s">
        <v>68</v>
      </c>
      <c r="L12" t="s">
        <v>35</v>
      </c>
    </row>
    <row r="13" spans="1:12" x14ac:dyDescent="0.25">
      <c r="B13" s="1" t="s">
        <v>124</v>
      </c>
      <c r="C13" t="s">
        <v>147</v>
      </c>
      <c r="E13" t="s">
        <v>65</v>
      </c>
      <c r="L13" t="s">
        <v>40</v>
      </c>
    </row>
    <row r="14" spans="1:12" x14ac:dyDescent="0.25">
      <c r="B14" s="1" t="s">
        <v>118</v>
      </c>
      <c r="C14" t="s">
        <v>187</v>
      </c>
      <c r="E14" t="s">
        <v>70</v>
      </c>
      <c r="L14" t="s">
        <v>46</v>
      </c>
    </row>
    <row r="15" spans="1:12" x14ac:dyDescent="0.25">
      <c r="B15" s="1" t="s">
        <v>53</v>
      </c>
      <c r="C15" t="s">
        <v>188</v>
      </c>
      <c r="E15" t="s">
        <v>71</v>
      </c>
      <c r="L15" t="s">
        <v>41</v>
      </c>
    </row>
    <row r="16" spans="1:12" x14ac:dyDescent="0.25">
      <c r="B16" s="1" t="s">
        <v>119</v>
      </c>
      <c r="C16" t="s">
        <v>260</v>
      </c>
      <c r="E16" t="s">
        <v>72</v>
      </c>
      <c r="L16" t="s">
        <v>47</v>
      </c>
    </row>
    <row r="17" spans="2:12" x14ac:dyDescent="0.25">
      <c r="B17" s="1" t="s">
        <v>165</v>
      </c>
      <c r="C17" t="s">
        <v>195</v>
      </c>
      <c r="E17" t="s">
        <v>69</v>
      </c>
      <c r="L17" t="s">
        <v>36</v>
      </c>
    </row>
    <row r="18" spans="2:12" x14ac:dyDescent="0.25">
      <c r="B18" s="1" t="s">
        <v>120</v>
      </c>
      <c r="C18" t="s">
        <v>196</v>
      </c>
      <c r="L18" t="s">
        <v>48</v>
      </c>
    </row>
    <row r="19" spans="2:12" x14ac:dyDescent="0.25">
      <c r="B19" s="1" t="s">
        <v>52</v>
      </c>
      <c r="C19" t="s">
        <v>197</v>
      </c>
      <c r="L19" t="s">
        <v>42</v>
      </c>
    </row>
    <row r="20" spans="2:12" x14ac:dyDescent="0.25">
      <c r="B20" s="1" t="s">
        <v>51</v>
      </c>
      <c r="C20" t="s">
        <v>259</v>
      </c>
    </row>
    <row r="21" spans="2:12" x14ac:dyDescent="0.25">
      <c r="B21" t="s">
        <v>226</v>
      </c>
    </row>
    <row r="22" spans="2:12" x14ac:dyDescent="0.25">
      <c r="B22" t="s">
        <v>238</v>
      </c>
      <c r="C22" t="s">
        <v>185</v>
      </c>
    </row>
    <row r="23" spans="2:12" x14ac:dyDescent="0.25">
      <c r="B23" t="s">
        <v>231</v>
      </c>
      <c r="C23" t="s">
        <v>255</v>
      </c>
    </row>
    <row r="24" spans="2:12" x14ac:dyDescent="0.25">
      <c r="B24" t="s">
        <v>227</v>
      </c>
    </row>
    <row r="25" spans="2:12" x14ac:dyDescent="0.25">
      <c r="B25" t="s">
        <v>239</v>
      </c>
    </row>
    <row r="26" spans="2:12" x14ac:dyDescent="0.25">
      <c r="B26" t="s">
        <v>229</v>
      </c>
    </row>
    <row r="27" spans="2:12" x14ac:dyDescent="0.25">
      <c r="B27" t="s">
        <v>230</v>
      </c>
    </row>
    <row r="28" spans="2:12" x14ac:dyDescent="0.25">
      <c r="B28" t="s">
        <v>228</v>
      </c>
    </row>
    <row r="29" spans="2:12" x14ac:dyDescent="0.25">
      <c r="B29" t="s">
        <v>200</v>
      </c>
    </row>
    <row r="30" spans="2:12" x14ac:dyDescent="0.25">
      <c r="B30" t="s">
        <v>220</v>
      </c>
    </row>
    <row r="31" spans="2:12" x14ac:dyDescent="0.25">
      <c r="B31" t="s">
        <v>222</v>
      </c>
    </row>
    <row r="32" spans="2:12" x14ac:dyDescent="0.25">
      <c r="B32" t="s">
        <v>209</v>
      </c>
    </row>
    <row r="33" spans="2:2" x14ac:dyDescent="0.25">
      <c r="B33" t="s">
        <v>205</v>
      </c>
    </row>
    <row r="34" spans="2:2" x14ac:dyDescent="0.25">
      <c r="B34" t="s">
        <v>202</v>
      </c>
    </row>
    <row r="35" spans="2:2" x14ac:dyDescent="0.25">
      <c r="B35" t="s">
        <v>203</v>
      </c>
    </row>
    <row r="36" spans="2:2" x14ac:dyDescent="0.25">
      <c r="B36" t="s">
        <v>210</v>
      </c>
    </row>
    <row r="37" spans="2:2" x14ac:dyDescent="0.25">
      <c r="B37" t="s">
        <v>221</v>
      </c>
    </row>
    <row r="38" spans="2:2" x14ac:dyDescent="0.25">
      <c r="B38" t="s">
        <v>189</v>
      </c>
    </row>
    <row r="39" spans="2:2" x14ac:dyDescent="0.25">
      <c r="B39" t="s">
        <v>216</v>
      </c>
    </row>
    <row r="40" spans="2:2" x14ac:dyDescent="0.25">
      <c r="B40" t="s">
        <v>207</v>
      </c>
    </row>
    <row r="41" spans="2:2" x14ac:dyDescent="0.25">
      <c r="B41" t="s">
        <v>198</v>
      </c>
    </row>
    <row r="42" spans="2:2" x14ac:dyDescent="0.25">
      <c r="B42" t="s">
        <v>190</v>
      </c>
    </row>
    <row r="43" spans="2:2" x14ac:dyDescent="0.25">
      <c r="B43" t="s">
        <v>218</v>
      </c>
    </row>
    <row r="44" spans="2:2" x14ac:dyDescent="0.25">
      <c r="B44" t="s">
        <v>219</v>
      </c>
    </row>
    <row r="45" spans="2:2" x14ac:dyDescent="0.25">
      <c r="B45" t="s">
        <v>191</v>
      </c>
    </row>
    <row r="46" spans="2:2" x14ac:dyDescent="0.25">
      <c r="B46" t="s">
        <v>208</v>
      </c>
    </row>
    <row r="47" spans="2:2" x14ac:dyDescent="0.25">
      <c r="B47" t="s">
        <v>217</v>
      </c>
    </row>
    <row r="48" spans="2:2" x14ac:dyDescent="0.25">
      <c r="B48" t="s">
        <v>211</v>
      </c>
    </row>
    <row r="49" spans="2:2" x14ac:dyDescent="0.25">
      <c r="B49" t="s">
        <v>213</v>
      </c>
    </row>
    <row r="50" spans="2:2" x14ac:dyDescent="0.25">
      <c r="B50" t="s">
        <v>212</v>
      </c>
    </row>
    <row r="51" spans="2:2" x14ac:dyDescent="0.25">
      <c r="B51" t="s">
        <v>214</v>
      </c>
    </row>
    <row r="52" spans="2:2" x14ac:dyDescent="0.25">
      <c r="B52" t="s">
        <v>223</v>
      </c>
    </row>
    <row r="53" spans="2:2" x14ac:dyDescent="0.25">
      <c r="B53" t="s">
        <v>153</v>
      </c>
    </row>
    <row r="54" spans="2:2" x14ac:dyDescent="0.25">
      <c r="B54" t="s">
        <v>183</v>
      </c>
    </row>
    <row r="55" spans="2:2" x14ac:dyDescent="0.25">
      <c r="B55" t="s">
        <v>96</v>
      </c>
    </row>
    <row r="56" spans="2:2" x14ac:dyDescent="0.25">
      <c r="B56" t="s">
        <v>95</v>
      </c>
    </row>
    <row r="57" spans="2:2" x14ac:dyDescent="0.25">
      <c r="B57" t="s">
        <v>18</v>
      </c>
    </row>
    <row r="58" spans="2:2" x14ac:dyDescent="0.25">
      <c r="B58" t="s">
        <v>50</v>
      </c>
    </row>
    <row r="59" spans="2:2" x14ac:dyDescent="0.25">
      <c r="B59" s="1" t="s">
        <v>126</v>
      </c>
    </row>
    <row r="60" spans="2:2" x14ac:dyDescent="0.25">
      <c r="B60" s="1" t="s">
        <v>54</v>
      </c>
    </row>
    <row r="61" spans="2:2" x14ac:dyDescent="0.25">
      <c r="B61" s="1" t="s">
        <v>127</v>
      </c>
    </row>
    <row r="62" spans="2:2" x14ac:dyDescent="0.25">
      <c r="B62" s="1" t="s">
        <v>121</v>
      </c>
    </row>
    <row r="63" spans="2:2" x14ac:dyDescent="0.25">
      <c r="B63" s="1" t="s">
        <v>122</v>
      </c>
    </row>
    <row r="64" spans="2:2" x14ac:dyDescent="0.25">
      <c r="B64" s="1" t="s">
        <v>56</v>
      </c>
    </row>
    <row r="65" spans="2:2" x14ac:dyDescent="0.25">
      <c r="B65" s="1" t="s">
        <v>116</v>
      </c>
    </row>
    <row r="66" spans="2:2" x14ac:dyDescent="0.25">
      <c r="B66" s="1" t="s">
        <v>55</v>
      </c>
    </row>
    <row r="67" spans="2:2" x14ac:dyDescent="0.25">
      <c r="B67" s="1" t="s">
        <v>117</v>
      </c>
    </row>
    <row r="68" spans="2:2" x14ac:dyDescent="0.25">
      <c r="B68" t="s">
        <v>79</v>
      </c>
    </row>
    <row r="69" spans="2:2" x14ac:dyDescent="0.25">
      <c r="B69" t="s">
        <v>78</v>
      </c>
    </row>
    <row r="70" spans="2:2" x14ac:dyDescent="0.25">
      <c r="B70" t="s">
        <v>77</v>
      </c>
    </row>
    <row r="71" spans="2:2" x14ac:dyDescent="0.25">
      <c r="B71" t="s">
        <v>80</v>
      </c>
    </row>
    <row r="72" spans="2:2" x14ac:dyDescent="0.25">
      <c r="B72" t="s">
        <v>81</v>
      </c>
    </row>
    <row r="73" spans="2:2" x14ac:dyDescent="0.25">
      <c r="B73" t="s">
        <v>89</v>
      </c>
    </row>
    <row r="74" spans="2:2" x14ac:dyDescent="0.25">
      <c r="B74" t="s">
        <v>94</v>
      </c>
    </row>
    <row r="75" spans="2:2" x14ac:dyDescent="0.25">
      <c r="B75" t="s">
        <v>91</v>
      </c>
    </row>
    <row r="76" spans="2:2" x14ac:dyDescent="0.25">
      <c r="B76" t="s">
        <v>92</v>
      </c>
    </row>
    <row r="77" spans="2:2" x14ac:dyDescent="0.25">
      <c r="B77" t="s">
        <v>93</v>
      </c>
    </row>
    <row r="78" spans="2:2" x14ac:dyDescent="0.25">
      <c r="B78" t="s">
        <v>161</v>
      </c>
    </row>
    <row r="79" spans="2:2" x14ac:dyDescent="0.25">
      <c r="B79" t="s">
        <v>162</v>
      </c>
    </row>
    <row r="80" spans="2:2" x14ac:dyDescent="0.25">
      <c r="B80" t="s">
        <v>83</v>
      </c>
    </row>
    <row r="81" spans="2:2" x14ac:dyDescent="0.25">
      <c r="B81" t="s">
        <v>82</v>
      </c>
    </row>
    <row r="82" spans="2:2" x14ac:dyDescent="0.25">
      <c r="B82" t="s">
        <v>84</v>
      </c>
    </row>
    <row r="83" spans="2:2" x14ac:dyDescent="0.25">
      <c r="B83" t="s">
        <v>156</v>
      </c>
    </row>
    <row r="84" spans="2:2" x14ac:dyDescent="0.25">
      <c r="B84" t="s">
        <v>155</v>
      </c>
    </row>
    <row r="85" spans="2:2" x14ac:dyDescent="0.25">
      <c r="B85" t="s">
        <v>154</v>
      </c>
    </row>
    <row r="86" spans="2:2" x14ac:dyDescent="0.25">
      <c r="B86" t="s">
        <v>86</v>
      </c>
    </row>
    <row r="87" spans="2:2" x14ac:dyDescent="0.25">
      <c r="B87" t="s">
        <v>85</v>
      </c>
    </row>
    <row r="88" spans="2:2" x14ac:dyDescent="0.25">
      <c r="B88" t="s">
        <v>87</v>
      </c>
    </row>
    <row r="89" spans="2:2" x14ac:dyDescent="0.25">
      <c r="B89" t="s">
        <v>114</v>
      </c>
    </row>
    <row r="90" spans="2:2" x14ac:dyDescent="0.25">
      <c r="B90" t="s">
        <v>115</v>
      </c>
    </row>
    <row r="91" spans="2:2" x14ac:dyDescent="0.25">
      <c r="B91" t="s">
        <v>152</v>
      </c>
    </row>
    <row r="92" spans="2:2" x14ac:dyDescent="0.25">
      <c r="B92" t="s">
        <v>168</v>
      </c>
    </row>
    <row r="93" spans="2:2" x14ac:dyDescent="0.25">
      <c r="B93" t="s">
        <v>169</v>
      </c>
    </row>
    <row r="94" spans="2:2" x14ac:dyDescent="0.25">
      <c r="B94" t="s">
        <v>170</v>
      </c>
    </row>
    <row r="95" spans="2:2" x14ac:dyDescent="0.25">
      <c r="B95" t="s">
        <v>372</v>
      </c>
    </row>
    <row r="111" spans="2:2" x14ac:dyDescent="0.25">
      <c r="B111" t="s">
        <v>247</v>
      </c>
    </row>
    <row r="112" spans="2:2" x14ac:dyDescent="0.25">
      <c r="B112" t="s">
        <v>248</v>
      </c>
    </row>
    <row r="113" spans="2:2" x14ac:dyDescent="0.25">
      <c r="B113" t="s">
        <v>240</v>
      </c>
    </row>
    <row r="114" spans="2:2" x14ac:dyDescent="0.25">
      <c r="B114" t="s">
        <v>241</v>
      </c>
    </row>
    <row r="115" spans="2:2" x14ac:dyDescent="0.25">
      <c r="B115" t="s">
        <v>242</v>
      </c>
    </row>
    <row r="116" spans="2:2" x14ac:dyDescent="0.25">
      <c r="B116" t="s">
        <v>249</v>
      </c>
    </row>
    <row r="117" spans="2:2" x14ac:dyDescent="0.25">
      <c r="B117" t="s">
        <v>250</v>
      </c>
    </row>
    <row r="118" spans="2:2" x14ac:dyDescent="0.25">
      <c r="B118" t="s">
        <v>256</v>
      </c>
    </row>
    <row r="119" spans="2:2" x14ac:dyDescent="0.25">
      <c r="B119" t="s">
        <v>257</v>
      </c>
    </row>
    <row r="120" spans="2:2" x14ac:dyDescent="0.25">
      <c r="B120" t="s">
        <v>258</v>
      </c>
    </row>
    <row r="121" spans="2:2" x14ac:dyDescent="0.25">
      <c r="B121" t="s">
        <v>262</v>
      </c>
    </row>
    <row r="122" spans="2:2" x14ac:dyDescent="0.25">
      <c r="B122" t="s">
        <v>263</v>
      </c>
    </row>
    <row r="123" spans="2:2" x14ac:dyDescent="0.25">
      <c r="B123" t="s">
        <v>264</v>
      </c>
    </row>
    <row r="124" spans="2:2" x14ac:dyDescent="0.25">
      <c r="B124" t="s">
        <v>265</v>
      </c>
    </row>
    <row r="125" spans="2:2" x14ac:dyDescent="0.25">
      <c r="B125" t="s">
        <v>266</v>
      </c>
    </row>
    <row r="126" spans="2:2" x14ac:dyDescent="0.25">
      <c r="B126" t="s">
        <v>267</v>
      </c>
    </row>
    <row r="127" spans="2:2" x14ac:dyDescent="0.25">
      <c r="B127" t="s">
        <v>268</v>
      </c>
    </row>
    <row r="128" spans="2:2" x14ac:dyDescent="0.25">
      <c r="B128" s="1" t="s">
        <v>270</v>
      </c>
    </row>
    <row r="129" spans="2:2" x14ac:dyDescent="0.25">
      <c r="B129" s="1" t="s">
        <v>271</v>
      </c>
    </row>
    <row r="130" spans="2:2" x14ac:dyDescent="0.25">
      <c r="B130" t="s">
        <v>269</v>
      </c>
    </row>
    <row r="131" spans="2:2" x14ac:dyDescent="0.25">
      <c r="B131" s="1" t="s">
        <v>272</v>
      </c>
    </row>
    <row r="132" spans="2:2" x14ac:dyDescent="0.25">
      <c r="B132" s="1" t="s">
        <v>273</v>
      </c>
    </row>
    <row r="133" spans="2:2" x14ac:dyDescent="0.25">
      <c r="B133" s="1" t="s">
        <v>274</v>
      </c>
    </row>
    <row r="134" spans="2:2" x14ac:dyDescent="0.25">
      <c r="B134" t="s">
        <v>280</v>
      </c>
    </row>
    <row r="135" spans="2:2" x14ac:dyDescent="0.25">
      <c r="B135" s="1" t="s">
        <v>254</v>
      </c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sortState xmlns:xlrd2="http://schemas.microsoft.com/office/spreadsheetml/2017/richdata2" ref="B2:B104">
    <sortCondition ref="B104"/>
  </sortState>
  <dataValidations count="2">
    <dataValidation type="list" allowBlank="1" showInputMessage="1" showErrorMessage="1" sqref="B57 B16:B19 B132 C26" xr:uid="{00000000-0002-0000-0000-000000000000}">
      <formula1>Technologies</formula1>
    </dataValidation>
    <dataValidation type="list" allowBlank="1" showInputMessage="1" showErrorMessage="1" sqref="C14 C37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6" sqref="A6"/>
    </sheetView>
  </sheetViews>
  <sheetFormatPr defaultColWidth="11.5703125" defaultRowHeight="15" x14ac:dyDescent="0.25"/>
  <cols>
    <col min="7" max="7" width="13.42578125" customWidth="1"/>
  </cols>
  <sheetData>
    <row r="1" spans="1:17" x14ac:dyDescent="0.25">
      <c r="A1" t="s">
        <v>1</v>
      </c>
    </row>
    <row r="2" spans="1:17" x14ac:dyDescent="0.25">
      <c r="A2" t="s">
        <v>2</v>
      </c>
    </row>
    <row r="3" spans="1:17" x14ac:dyDescent="0.25">
      <c r="A3" t="s">
        <v>297</v>
      </c>
    </row>
    <row r="5" spans="1:17" x14ac:dyDescent="0.25">
      <c r="A5" t="s">
        <v>22</v>
      </c>
      <c r="B5" t="s">
        <v>58</v>
      </c>
      <c r="C5" t="s">
        <v>59</v>
      </c>
      <c r="D5" t="s">
        <v>60</v>
      </c>
      <c r="E5" t="s">
        <v>57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</row>
    <row r="6" spans="1:17" x14ac:dyDescent="0.25">
      <c r="A6">
        <v>2018</v>
      </c>
      <c r="B6">
        <v>7.2916666666666671E-2</v>
      </c>
      <c r="C6">
        <v>2.0833333333333332E-2</v>
      </c>
      <c r="D6">
        <v>0.11458333333333333</v>
      </c>
      <c r="E6">
        <v>4.1666666666666664E-2</v>
      </c>
      <c r="F6">
        <v>7.2916666666666671E-2</v>
      </c>
      <c r="G6">
        <v>3.125E-2</v>
      </c>
      <c r="H6">
        <v>7.2916666666666671E-2</v>
      </c>
      <c r="I6">
        <v>7.2916666666666671E-2</v>
      </c>
      <c r="J6">
        <v>7.2916666666666671E-2</v>
      </c>
      <c r="K6">
        <v>3.125E-2</v>
      </c>
      <c r="L6">
        <v>7.2916666666666671E-2</v>
      </c>
      <c r="M6">
        <v>7.2916666666666671E-2</v>
      </c>
      <c r="N6">
        <v>7.2916666666666671E-2</v>
      </c>
      <c r="O6">
        <v>2.0833333333333332E-2</v>
      </c>
      <c r="P6">
        <v>0.11458333333333333</v>
      </c>
      <c r="Q6">
        <v>4.1666666666666664E-2</v>
      </c>
    </row>
    <row r="7" spans="1:17" x14ac:dyDescent="0.25">
      <c r="A7">
        <v>2020</v>
      </c>
      <c r="B7">
        <v>7.2916666666666671E-2</v>
      </c>
      <c r="C7">
        <v>2.0833333333333332E-2</v>
      </c>
      <c r="D7">
        <v>0.11458333333333333</v>
      </c>
      <c r="E7">
        <v>4.1666666666666664E-2</v>
      </c>
      <c r="F7">
        <v>7.2916666666666671E-2</v>
      </c>
      <c r="G7">
        <v>3.125E-2</v>
      </c>
      <c r="H7">
        <v>7.2916666666666671E-2</v>
      </c>
      <c r="I7">
        <v>7.2916666666666671E-2</v>
      </c>
      <c r="J7">
        <v>7.2916666666666671E-2</v>
      </c>
      <c r="K7">
        <v>3.125E-2</v>
      </c>
      <c r="L7">
        <v>7.2916666666666671E-2</v>
      </c>
      <c r="M7">
        <v>7.2916666666666671E-2</v>
      </c>
      <c r="N7">
        <v>7.2916666666666671E-2</v>
      </c>
      <c r="O7">
        <v>2.0833333333333332E-2</v>
      </c>
      <c r="P7">
        <v>0.11458333333333333</v>
      </c>
      <c r="Q7">
        <v>4.1666666666666664E-2</v>
      </c>
    </row>
    <row r="8" spans="1:17" x14ac:dyDescent="0.25">
      <c r="A8">
        <v>2025</v>
      </c>
      <c r="B8">
        <v>7.2916666666666671E-2</v>
      </c>
      <c r="C8">
        <v>2.0833333333333332E-2</v>
      </c>
      <c r="D8">
        <v>0.11458333333333333</v>
      </c>
      <c r="E8">
        <v>4.1666666666666664E-2</v>
      </c>
      <c r="F8">
        <v>7.2916666666666671E-2</v>
      </c>
      <c r="G8">
        <v>3.125E-2</v>
      </c>
      <c r="H8">
        <v>7.2916666666666671E-2</v>
      </c>
      <c r="I8">
        <v>7.2916666666666671E-2</v>
      </c>
      <c r="J8">
        <v>7.2916666666666671E-2</v>
      </c>
      <c r="K8">
        <v>3.125E-2</v>
      </c>
      <c r="L8">
        <v>7.2916666666666671E-2</v>
      </c>
      <c r="M8">
        <v>7.2916666666666671E-2</v>
      </c>
      <c r="N8">
        <v>7.2916666666666671E-2</v>
      </c>
      <c r="O8">
        <v>2.0833333333333332E-2</v>
      </c>
      <c r="P8">
        <v>0.11458333333333333</v>
      </c>
      <c r="Q8">
        <v>4.1666666666666664E-2</v>
      </c>
    </row>
    <row r="9" spans="1:17" x14ac:dyDescent="0.25">
      <c r="A9">
        <v>2030</v>
      </c>
      <c r="B9">
        <v>7.2916666666666671E-2</v>
      </c>
      <c r="C9">
        <v>2.0833333333333332E-2</v>
      </c>
      <c r="D9">
        <v>0.11458333333333333</v>
      </c>
      <c r="E9">
        <v>4.1666666666666664E-2</v>
      </c>
      <c r="F9">
        <v>7.2916666666666671E-2</v>
      </c>
      <c r="G9">
        <v>3.125E-2</v>
      </c>
      <c r="H9">
        <v>7.2916666666666671E-2</v>
      </c>
      <c r="I9">
        <v>7.2916666666666671E-2</v>
      </c>
      <c r="J9">
        <v>7.2916666666666671E-2</v>
      </c>
      <c r="K9">
        <v>3.125E-2</v>
      </c>
      <c r="L9">
        <v>7.2916666666666671E-2</v>
      </c>
      <c r="M9">
        <v>7.2916666666666671E-2</v>
      </c>
      <c r="N9">
        <v>7.2916666666666671E-2</v>
      </c>
      <c r="O9">
        <v>2.0833333333333332E-2</v>
      </c>
      <c r="P9">
        <v>0.11458333333333333</v>
      </c>
      <c r="Q9">
        <v>4.1666666666666664E-2</v>
      </c>
    </row>
    <row r="10" spans="1:17" x14ac:dyDescent="0.25">
      <c r="A10">
        <v>2035</v>
      </c>
      <c r="B10">
        <v>7.2916666666666671E-2</v>
      </c>
      <c r="C10">
        <v>2.0833333333333332E-2</v>
      </c>
      <c r="D10">
        <v>0.11458333333333333</v>
      </c>
      <c r="E10">
        <v>4.1666666666666664E-2</v>
      </c>
      <c r="F10">
        <v>7.2916666666666671E-2</v>
      </c>
      <c r="G10">
        <v>3.125E-2</v>
      </c>
      <c r="H10">
        <v>7.2916666666666671E-2</v>
      </c>
      <c r="I10">
        <v>7.2916666666666671E-2</v>
      </c>
      <c r="J10">
        <v>7.2916666666666671E-2</v>
      </c>
      <c r="K10">
        <v>3.125E-2</v>
      </c>
      <c r="L10">
        <v>7.2916666666666671E-2</v>
      </c>
      <c r="M10">
        <v>7.2916666666666671E-2</v>
      </c>
      <c r="N10">
        <v>7.2916666666666671E-2</v>
      </c>
      <c r="O10">
        <v>2.0833333333333332E-2</v>
      </c>
      <c r="P10">
        <v>0.11458333333333333</v>
      </c>
      <c r="Q10">
        <v>4.1666666666666664E-2</v>
      </c>
    </row>
    <row r="11" spans="1:17" x14ac:dyDescent="0.25">
      <c r="A11">
        <v>2040</v>
      </c>
      <c r="B11">
        <v>7.2916666666666671E-2</v>
      </c>
      <c r="C11">
        <v>2.0833333333333332E-2</v>
      </c>
      <c r="D11">
        <v>0.11458333333333333</v>
      </c>
      <c r="E11">
        <v>4.1666666666666664E-2</v>
      </c>
      <c r="F11">
        <v>7.2916666666666671E-2</v>
      </c>
      <c r="G11">
        <v>3.125E-2</v>
      </c>
      <c r="H11">
        <v>7.2916666666666671E-2</v>
      </c>
      <c r="I11">
        <v>7.2916666666666671E-2</v>
      </c>
      <c r="J11">
        <v>7.2916666666666671E-2</v>
      </c>
      <c r="K11">
        <v>3.125E-2</v>
      </c>
      <c r="L11">
        <v>7.2916666666666671E-2</v>
      </c>
      <c r="M11">
        <v>7.2916666666666671E-2</v>
      </c>
      <c r="N11">
        <v>7.2916666666666671E-2</v>
      </c>
      <c r="O11">
        <v>2.0833333333333332E-2</v>
      </c>
      <c r="P11">
        <v>0.11458333333333333</v>
      </c>
      <c r="Q11">
        <v>4.1666666666666664E-2</v>
      </c>
    </row>
    <row r="12" spans="1:17" x14ac:dyDescent="0.25">
      <c r="A12">
        <v>2045</v>
      </c>
      <c r="B12">
        <v>7.2916666666666671E-2</v>
      </c>
      <c r="C12">
        <v>2.0833333333333332E-2</v>
      </c>
      <c r="D12">
        <v>0.11458333333333333</v>
      </c>
      <c r="E12">
        <v>4.1666666666666664E-2</v>
      </c>
      <c r="F12">
        <v>7.2916666666666671E-2</v>
      </c>
      <c r="G12">
        <v>3.125E-2</v>
      </c>
      <c r="H12">
        <v>7.2916666666666671E-2</v>
      </c>
      <c r="I12">
        <v>7.2916666666666671E-2</v>
      </c>
      <c r="J12">
        <v>7.2916666666666671E-2</v>
      </c>
      <c r="K12">
        <v>3.125E-2</v>
      </c>
      <c r="L12">
        <v>7.2916666666666671E-2</v>
      </c>
      <c r="M12">
        <v>7.2916666666666671E-2</v>
      </c>
      <c r="N12">
        <v>7.2916666666666671E-2</v>
      </c>
      <c r="O12">
        <v>2.0833333333333332E-2</v>
      </c>
      <c r="P12">
        <v>0.11458333333333333</v>
      </c>
      <c r="Q12">
        <v>4.1666666666666664E-2</v>
      </c>
    </row>
    <row r="13" spans="1:17" x14ac:dyDescent="0.25">
      <c r="A13">
        <v>2050</v>
      </c>
      <c r="B13">
        <v>7.2916666666666671E-2</v>
      </c>
      <c r="C13">
        <v>2.0833333333333332E-2</v>
      </c>
      <c r="D13">
        <v>0.11458333333333333</v>
      </c>
      <c r="E13">
        <v>4.1666666666666664E-2</v>
      </c>
      <c r="F13">
        <v>7.2916666666666671E-2</v>
      </c>
      <c r="G13">
        <v>3.125E-2</v>
      </c>
      <c r="H13">
        <v>7.2916666666666671E-2</v>
      </c>
      <c r="I13">
        <v>7.2916666666666671E-2</v>
      </c>
      <c r="J13">
        <v>7.2916666666666671E-2</v>
      </c>
      <c r="K13">
        <v>3.125E-2</v>
      </c>
      <c r="L13">
        <v>7.2916666666666671E-2</v>
      </c>
      <c r="M13">
        <v>7.2916666666666671E-2</v>
      </c>
      <c r="N13">
        <v>7.2916666666666671E-2</v>
      </c>
      <c r="O13">
        <v>2.0833333333333332E-2</v>
      </c>
      <c r="P13">
        <v>0.11458333333333333</v>
      </c>
      <c r="Q13">
        <v>4.1666666666666664E-2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A6" sqref="A6"/>
    </sheetView>
  </sheetViews>
  <sheetFormatPr defaultColWidth="11.5703125" defaultRowHeight="15" x14ac:dyDescent="0.25"/>
  <cols>
    <col min="8" max="8" width="13.42578125" customWidth="1"/>
  </cols>
  <sheetData>
    <row r="1" spans="1:9" x14ac:dyDescent="0.25">
      <c r="A1" t="s">
        <v>293</v>
      </c>
    </row>
    <row r="2" spans="1:9" x14ac:dyDescent="0.25">
      <c r="A2" t="s">
        <v>2</v>
      </c>
    </row>
    <row r="3" spans="1:9" x14ac:dyDescent="0.25">
      <c r="A3" t="s">
        <v>297</v>
      </c>
    </row>
    <row r="5" spans="1:9" x14ac:dyDescent="0.25">
      <c r="A5" t="s">
        <v>334</v>
      </c>
      <c r="B5">
        <v>2018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 x14ac:dyDescent="0.25">
      <c r="A6" t="s">
        <v>58</v>
      </c>
      <c r="B6">
        <v>7.2916666666666671E-2</v>
      </c>
      <c r="C6">
        <v>7.2916666666666671E-2</v>
      </c>
      <c r="D6">
        <v>7.2916666666666671E-2</v>
      </c>
      <c r="E6">
        <v>7.2916666666666671E-2</v>
      </c>
      <c r="F6">
        <v>7.2916666666666671E-2</v>
      </c>
      <c r="G6">
        <v>7.2916666666666671E-2</v>
      </c>
      <c r="H6">
        <v>7.2916666666666671E-2</v>
      </c>
      <c r="I6">
        <v>7.2916666666666671E-2</v>
      </c>
    </row>
    <row r="7" spans="1:9" x14ac:dyDescent="0.25">
      <c r="A7" t="s">
        <v>59</v>
      </c>
      <c r="B7">
        <v>2.0833333333333332E-2</v>
      </c>
      <c r="C7">
        <v>2.0833333333333332E-2</v>
      </c>
      <c r="D7">
        <v>2.0833333333333332E-2</v>
      </c>
      <c r="E7">
        <v>2.0833333333333332E-2</v>
      </c>
      <c r="F7">
        <v>2.0833333333333332E-2</v>
      </c>
      <c r="G7">
        <v>2.0833333333333332E-2</v>
      </c>
      <c r="H7">
        <v>2.0833333333333332E-2</v>
      </c>
      <c r="I7">
        <v>2.0833333333333332E-2</v>
      </c>
    </row>
    <row r="8" spans="1:9" x14ac:dyDescent="0.25">
      <c r="A8" t="s">
        <v>60</v>
      </c>
      <c r="B8">
        <v>0.11458333333333333</v>
      </c>
      <c r="C8">
        <v>0.11458333333333333</v>
      </c>
      <c r="D8">
        <v>0.11458333333333333</v>
      </c>
      <c r="E8">
        <v>0.11458333333333333</v>
      </c>
      <c r="F8">
        <v>0.11458333333333333</v>
      </c>
      <c r="G8">
        <v>0.11458333333333333</v>
      </c>
      <c r="H8">
        <v>0.11458333333333333</v>
      </c>
      <c r="I8">
        <v>0.11458333333333333</v>
      </c>
    </row>
    <row r="9" spans="1:9" x14ac:dyDescent="0.25">
      <c r="A9" t="s">
        <v>57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 x14ac:dyDescent="0.25">
      <c r="A10" t="s">
        <v>61</v>
      </c>
      <c r="B10">
        <v>7.2916666666666671E-2</v>
      </c>
      <c r="C10">
        <v>7.2916666666666671E-2</v>
      </c>
      <c r="D10">
        <v>7.2916666666666671E-2</v>
      </c>
      <c r="E10">
        <v>7.2916666666666671E-2</v>
      </c>
      <c r="F10">
        <v>7.2916666666666671E-2</v>
      </c>
      <c r="G10">
        <v>7.2916666666666671E-2</v>
      </c>
      <c r="H10">
        <v>7.2916666666666671E-2</v>
      </c>
      <c r="I10">
        <v>7.2916666666666671E-2</v>
      </c>
    </row>
    <row r="11" spans="1:9" x14ac:dyDescent="0.25">
      <c r="A11" t="s">
        <v>62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 x14ac:dyDescent="0.25">
      <c r="A12" t="s">
        <v>63</v>
      </c>
      <c r="B12">
        <v>7.2916666666666671E-2</v>
      </c>
      <c r="C12">
        <v>7.2916666666666671E-2</v>
      </c>
      <c r="D12">
        <v>7.2916666666666671E-2</v>
      </c>
      <c r="E12">
        <v>7.2916666666666671E-2</v>
      </c>
      <c r="F12">
        <v>7.2916666666666671E-2</v>
      </c>
      <c r="G12">
        <v>7.2916666666666671E-2</v>
      </c>
      <c r="H12">
        <v>7.2916666666666671E-2</v>
      </c>
      <c r="I12">
        <v>7.2916666666666671E-2</v>
      </c>
    </row>
    <row r="13" spans="1:9" x14ac:dyDescent="0.25">
      <c r="A13" t="s">
        <v>64</v>
      </c>
      <c r="B13">
        <v>7.2916666666666671E-2</v>
      </c>
      <c r="C13">
        <v>7.2916666666666671E-2</v>
      </c>
      <c r="D13">
        <v>7.2916666666666671E-2</v>
      </c>
      <c r="E13">
        <v>7.2916666666666671E-2</v>
      </c>
      <c r="F13">
        <v>7.2916666666666671E-2</v>
      </c>
      <c r="G13">
        <v>7.2916666666666671E-2</v>
      </c>
      <c r="H13">
        <v>7.2916666666666671E-2</v>
      </c>
      <c r="I13">
        <v>7.2916666666666671E-2</v>
      </c>
    </row>
    <row r="14" spans="1:9" x14ac:dyDescent="0.25">
      <c r="A14" t="s">
        <v>65</v>
      </c>
      <c r="B14">
        <v>7.2916666666666671E-2</v>
      </c>
      <c r="C14">
        <v>7.2916666666666671E-2</v>
      </c>
      <c r="D14">
        <v>7.2916666666666671E-2</v>
      </c>
      <c r="E14">
        <v>7.2916666666666671E-2</v>
      </c>
      <c r="F14">
        <v>7.2916666666666671E-2</v>
      </c>
      <c r="G14">
        <v>7.2916666666666671E-2</v>
      </c>
      <c r="H14">
        <v>7.2916666666666671E-2</v>
      </c>
      <c r="I14">
        <v>7.2916666666666671E-2</v>
      </c>
    </row>
    <row r="15" spans="1:9" x14ac:dyDescent="0.25">
      <c r="A15" t="s">
        <v>66</v>
      </c>
      <c r="B15">
        <v>3.125E-2</v>
      </c>
      <c r="C15">
        <v>3.125E-2</v>
      </c>
      <c r="D15">
        <v>3.125E-2</v>
      </c>
      <c r="E15">
        <v>3.125E-2</v>
      </c>
      <c r="F15">
        <v>3.125E-2</v>
      </c>
      <c r="G15">
        <v>3.125E-2</v>
      </c>
      <c r="H15">
        <v>3.125E-2</v>
      </c>
      <c r="I15">
        <v>3.125E-2</v>
      </c>
    </row>
    <row r="16" spans="1:9" x14ac:dyDescent="0.25">
      <c r="A16" t="s">
        <v>67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 x14ac:dyDescent="0.25">
      <c r="A17" t="s">
        <v>68</v>
      </c>
      <c r="B17">
        <v>7.2916666666666671E-2</v>
      </c>
      <c r="C17">
        <v>7.2916666666666671E-2</v>
      </c>
      <c r="D17">
        <v>7.2916666666666671E-2</v>
      </c>
      <c r="E17">
        <v>7.2916666666666671E-2</v>
      </c>
      <c r="F17">
        <v>7.2916666666666671E-2</v>
      </c>
      <c r="G17">
        <v>7.2916666666666671E-2</v>
      </c>
      <c r="H17">
        <v>7.2916666666666671E-2</v>
      </c>
      <c r="I17">
        <v>7.2916666666666671E-2</v>
      </c>
    </row>
    <row r="18" spans="1:9" x14ac:dyDescent="0.25">
      <c r="A18" t="s">
        <v>69</v>
      </c>
      <c r="B18">
        <v>7.2916666666666671E-2</v>
      </c>
      <c r="C18">
        <v>7.2916666666666671E-2</v>
      </c>
      <c r="D18">
        <v>7.2916666666666671E-2</v>
      </c>
      <c r="E18">
        <v>7.2916666666666671E-2</v>
      </c>
      <c r="F18">
        <v>7.2916666666666671E-2</v>
      </c>
      <c r="G18">
        <v>7.2916666666666671E-2</v>
      </c>
      <c r="H18">
        <v>7.2916666666666671E-2</v>
      </c>
      <c r="I18">
        <v>7.2916666666666671E-2</v>
      </c>
    </row>
    <row r="19" spans="1:9" x14ac:dyDescent="0.25">
      <c r="A19" t="s">
        <v>70</v>
      </c>
      <c r="B19">
        <v>2.0833333333333332E-2</v>
      </c>
      <c r="C19">
        <v>2.0833333333333332E-2</v>
      </c>
      <c r="D19">
        <v>2.0833333333333332E-2</v>
      </c>
      <c r="E19">
        <v>2.0833333333333332E-2</v>
      </c>
      <c r="F19">
        <v>2.0833333333333332E-2</v>
      </c>
      <c r="G19">
        <v>2.0833333333333332E-2</v>
      </c>
      <c r="H19">
        <v>2.0833333333333332E-2</v>
      </c>
      <c r="I19">
        <v>2.0833333333333332E-2</v>
      </c>
    </row>
    <row r="20" spans="1:9" x14ac:dyDescent="0.25">
      <c r="A20" t="s">
        <v>71</v>
      </c>
      <c r="B20">
        <v>0.11458333333333333</v>
      </c>
      <c r="C20">
        <v>0.11458333333333333</v>
      </c>
      <c r="D20">
        <v>0.11458333333333333</v>
      </c>
      <c r="E20">
        <v>0.11458333333333333</v>
      </c>
      <c r="F20">
        <v>0.11458333333333333</v>
      </c>
      <c r="G20">
        <v>0.11458333333333333</v>
      </c>
      <c r="H20">
        <v>0.11458333333333333</v>
      </c>
      <c r="I20">
        <v>0.11458333333333333</v>
      </c>
    </row>
    <row r="21" spans="1:9" x14ac:dyDescent="0.25">
      <c r="A21" t="s">
        <v>72</v>
      </c>
      <c r="B21">
        <v>4.1666666666666664E-2</v>
      </c>
      <c r="C21">
        <v>4.1666666666666664E-2</v>
      </c>
      <c r="D21">
        <v>4.1666666666666664E-2</v>
      </c>
      <c r="E21">
        <v>4.1666666666666664E-2</v>
      </c>
      <c r="F21">
        <v>4.1666666666666664E-2</v>
      </c>
      <c r="G21">
        <v>4.1666666666666664E-2</v>
      </c>
      <c r="H21">
        <v>4.1666666666666664E-2</v>
      </c>
      <c r="I21">
        <v>4.1666666666666664E-2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0"/>
  <sheetViews>
    <sheetView workbookViewId="0">
      <pane xSplit="1" ySplit="5" topLeftCell="B107" activePane="bottomRight" state="frozen"/>
      <selection pane="topRight" activeCell="B1" sqref="B1"/>
      <selection pane="bottomLeft" activeCell="A6" sqref="A6"/>
      <selection pane="bottomRight" activeCell="F136" sqref="F136"/>
    </sheetView>
  </sheetViews>
  <sheetFormatPr defaultColWidth="11.42578125" defaultRowHeight="15" x14ac:dyDescent="0.25"/>
  <cols>
    <col min="1" max="1" width="40.5703125" bestFit="1" customWidth="1"/>
    <col min="5" max="5" width="14" bestFit="1" customWidth="1"/>
  </cols>
  <sheetData>
    <row r="1" spans="1:8" x14ac:dyDescent="0.25">
      <c r="A1" t="s">
        <v>306</v>
      </c>
    </row>
    <row r="2" spans="1:8" x14ac:dyDescent="0.25">
      <c r="A2" t="s">
        <v>294</v>
      </c>
    </row>
    <row r="3" spans="1:8" x14ac:dyDescent="0.25">
      <c r="A3" t="s">
        <v>303</v>
      </c>
    </row>
    <row r="5" spans="1:8" x14ac:dyDescent="0.25">
      <c r="A5" t="s">
        <v>21</v>
      </c>
      <c r="B5" t="s">
        <v>19</v>
      </c>
      <c r="C5" t="s">
        <v>261</v>
      </c>
      <c r="D5" t="s">
        <v>275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25">
      <c r="A6" t="s">
        <v>159</v>
      </c>
      <c r="F6">
        <v>1</v>
      </c>
    </row>
    <row r="7" spans="1:8" x14ac:dyDescent="0.25">
      <c r="A7" t="s">
        <v>160</v>
      </c>
      <c r="F7">
        <v>1</v>
      </c>
    </row>
    <row r="8" spans="1:8" x14ac:dyDescent="0.25">
      <c r="A8" t="s">
        <v>129</v>
      </c>
      <c r="G8">
        <v>1</v>
      </c>
    </row>
    <row r="9" spans="1:8" x14ac:dyDescent="0.25">
      <c r="A9" t="s">
        <v>130</v>
      </c>
      <c r="G9">
        <v>1</v>
      </c>
    </row>
    <row r="10" spans="1:8" x14ac:dyDescent="0.25">
      <c r="A10" t="s">
        <v>142</v>
      </c>
      <c r="G10">
        <v>1</v>
      </c>
    </row>
    <row r="11" spans="1:8" x14ac:dyDescent="0.25">
      <c r="A11" t="s">
        <v>236</v>
      </c>
      <c r="G11">
        <v>1</v>
      </c>
    </row>
    <row r="12" spans="1:8" x14ac:dyDescent="0.25">
      <c r="A12" t="s">
        <v>234</v>
      </c>
      <c r="G12">
        <v>1</v>
      </c>
    </row>
    <row r="13" spans="1:8" x14ac:dyDescent="0.25">
      <c r="A13" t="s">
        <v>128</v>
      </c>
      <c r="G13">
        <v>1</v>
      </c>
    </row>
    <row r="14" spans="1:8" x14ac:dyDescent="0.25">
      <c r="A14" t="s">
        <v>132</v>
      </c>
      <c r="G14">
        <v>1</v>
      </c>
    </row>
    <row r="15" spans="1:8" x14ac:dyDescent="0.25">
      <c r="A15" t="s">
        <v>180</v>
      </c>
      <c r="G15">
        <v>1</v>
      </c>
    </row>
    <row r="16" spans="1:8" x14ac:dyDescent="0.25">
      <c r="A16" s="1" t="s">
        <v>123</v>
      </c>
      <c r="E16">
        <v>1</v>
      </c>
    </row>
    <row r="17" spans="1:5" x14ac:dyDescent="0.25">
      <c r="A17" s="1" t="s">
        <v>124</v>
      </c>
      <c r="E17">
        <v>1</v>
      </c>
    </row>
    <row r="18" spans="1:5" x14ac:dyDescent="0.25">
      <c r="A18" s="1" t="s">
        <v>118</v>
      </c>
      <c r="E18">
        <v>1</v>
      </c>
    </row>
    <row r="19" spans="1:5" x14ac:dyDescent="0.25">
      <c r="A19" s="1" t="s">
        <v>53</v>
      </c>
      <c r="E19">
        <v>1</v>
      </c>
    </row>
    <row r="20" spans="1:5" x14ac:dyDescent="0.25">
      <c r="A20" s="1" t="s">
        <v>119</v>
      </c>
      <c r="E20">
        <v>1</v>
      </c>
    </row>
    <row r="21" spans="1:5" x14ac:dyDescent="0.25">
      <c r="A21" s="1" t="s">
        <v>120</v>
      </c>
      <c r="E21">
        <v>1</v>
      </c>
    </row>
    <row r="22" spans="1:5" x14ac:dyDescent="0.25">
      <c r="A22" s="1" t="s">
        <v>165</v>
      </c>
      <c r="E22">
        <v>1</v>
      </c>
    </row>
    <row r="23" spans="1:5" x14ac:dyDescent="0.25">
      <c r="A23" s="1" t="s">
        <v>52</v>
      </c>
      <c r="E23">
        <v>1</v>
      </c>
    </row>
    <row r="24" spans="1:5" x14ac:dyDescent="0.25">
      <c r="A24" s="1" t="s">
        <v>51</v>
      </c>
      <c r="E24">
        <v>1</v>
      </c>
    </row>
    <row r="25" spans="1:5" x14ac:dyDescent="0.25">
      <c r="A25" t="s">
        <v>153</v>
      </c>
      <c r="B25">
        <v>1</v>
      </c>
    </row>
    <row r="26" spans="1:5" x14ac:dyDescent="0.25">
      <c r="A26" t="s">
        <v>96</v>
      </c>
      <c r="B26">
        <v>1</v>
      </c>
    </row>
    <row r="27" spans="1:5" x14ac:dyDescent="0.25">
      <c r="A27" t="s">
        <v>95</v>
      </c>
      <c r="B27">
        <v>1</v>
      </c>
    </row>
    <row r="28" spans="1:5" x14ac:dyDescent="0.25">
      <c r="A28" t="s">
        <v>17</v>
      </c>
      <c r="B28">
        <v>1</v>
      </c>
    </row>
    <row r="29" spans="1:5" x14ac:dyDescent="0.25">
      <c r="A29" t="s">
        <v>18</v>
      </c>
      <c r="B29">
        <v>1</v>
      </c>
    </row>
    <row r="30" spans="1:5" x14ac:dyDescent="0.25">
      <c r="A30" t="s">
        <v>50</v>
      </c>
      <c r="B30">
        <v>1</v>
      </c>
    </row>
    <row r="31" spans="1:5" x14ac:dyDescent="0.25">
      <c r="A31" s="1" t="s">
        <v>126</v>
      </c>
      <c r="E31">
        <v>1</v>
      </c>
    </row>
    <row r="32" spans="1:5" x14ac:dyDescent="0.25">
      <c r="A32" s="1" t="s">
        <v>54</v>
      </c>
      <c r="E32">
        <v>1</v>
      </c>
    </row>
    <row r="33" spans="1:6" x14ac:dyDescent="0.25">
      <c r="A33" s="1" t="s">
        <v>127</v>
      </c>
      <c r="E33">
        <v>1</v>
      </c>
    </row>
    <row r="34" spans="1:6" x14ac:dyDescent="0.25">
      <c r="A34" s="1" t="s">
        <v>121</v>
      </c>
      <c r="E34">
        <v>1</v>
      </c>
    </row>
    <row r="35" spans="1:6" x14ac:dyDescent="0.25">
      <c r="A35" s="1" t="s">
        <v>122</v>
      </c>
      <c r="E35">
        <v>1</v>
      </c>
    </row>
    <row r="36" spans="1:6" x14ac:dyDescent="0.25">
      <c r="A36" s="1" t="s">
        <v>56</v>
      </c>
      <c r="E36">
        <v>1</v>
      </c>
    </row>
    <row r="37" spans="1:6" x14ac:dyDescent="0.25">
      <c r="A37" s="1" t="s">
        <v>116</v>
      </c>
      <c r="E37">
        <v>1</v>
      </c>
    </row>
    <row r="38" spans="1:6" x14ac:dyDescent="0.25">
      <c r="A38" s="1" t="s">
        <v>55</v>
      </c>
      <c r="E38">
        <v>1</v>
      </c>
    </row>
    <row r="39" spans="1:6" x14ac:dyDescent="0.25">
      <c r="A39" s="1" t="s">
        <v>117</v>
      </c>
      <c r="E39">
        <v>1</v>
      </c>
    </row>
    <row r="40" spans="1:6" x14ac:dyDescent="0.25">
      <c r="A40" t="s">
        <v>79</v>
      </c>
      <c r="F40">
        <v>1</v>
      </c>
    </row>
    <row r="41" spans="1:6" x14ac:dyDescent="0.25">
      <c r="A41" t="s">
        <v>78</v>
      </c>
      <c r="F41">
        <v>1</v>
      </c>
    </row>
    <row r="42" spans="1:6" x14ac:dyDescent="0.25">
      <c r="A42" t="s">
        <v>77</v>
      </c>
      <c r="F42">
        <v>1</v>
      </c>
    </row>
    <row r="43" spans="1:6" x14ac:dyDescent="0.25">
      <c r="A43" t="s">
        <v>80</v>
      </c>
      <c r="F43">
        <v>1</v>
      </c>
    </row>
    <row r="44" spans="1:6" x14ac:dyDescent="0.25">
      <c r="A44" t="s">
        <v>81</v>
      </c>
      <c r="F44">
        <v>1</v>
      </c>
    </row>
    <row r="45" spans="1:6" x14ac:dyDescent="0.25">
      <c r="A45" t="s">
        <v>89</v>
      </c>
      <c r="B45">
        <v>1</v>
      </c>
    </row>
    <row r="46" spans="1:6" x14ac:dyDescent="0.25">
      <c r="A46" t="s">
        <v>94</v>
      </c>
      <c r="B46">
        <v>1</v>
      </c>
    </row>
    <row r="47" spans="1:6" x14ac:dyDescent="0.25">
      <c r="A47" t="s">
        <v>91</v>
      </c>
      <c r="B47">
        <v>1</v>
      </c>
    </row>
    <row r="48" spans="1:6" x14ac:dyDescent="0.25">
      <c r="A48" t="s">
        <v>92</v>
      </c>
      <c r="B48">
        <v>1</v>
      </c>
    </row>
    <row r="49" spans="1:8" x14ac:dyDescent="0.25">
      <c r="A49" t="s">
        <v>93</v>
      </c>
      <c r="B49">
        <v>1</v>
      </c>
    </row>
    <row r="50" spans="1:8" x14ac:dyDescent="0.25">
      <c r="A50" t="s">
        <v>161</v>
      </c>
      <c r="B50">
        <v>1</v>
      </c>
    </row>
    <row r="51" spans="1:8" x14ac:dyDescent="0.25">
      <c r="A51" t="s">
        <v>162</v>
      </c>
      <c r="B51">
        <v>1</v>
      </c>
    </row>
    <row r="52" spans="1:8" x14ac:dyDescent="0.25">
      <c r="A52" t="s">
        <v>83</v>
      </c>
      <c r="B52">
        <v>1</v>
      </c>
    </row>
    <row r="53" spans="1:8" x14ac:dyDescent="0.25">
      <c r="A53" t="s">
        <v>82</v>
      </c>
      <c r="B53">
        <v>1</v>
      </c>
    </row>
    <row r="54" spans="1:8" x14ac:dyDescent="0.25">
      <c r="A54" t="s">
        <v>84</v>
      </c>
      <c r="B54">
        <v>1</v>
      </c>
    </row>
    <row r="55" spans="1:8" x14ac:dyDescent="0.25">
      <c r="A55" t="s">
        <v>154</v>
      </c>
      <c r="B55">
        <v>1</v>
      </c>
    </row>
    <row r="56" spans="1:8" x14ac:dyDescent="0.25">
      <c r="A56" t="s">
        <v>155</v>
      </c>
      <c r="B56">
        <v>1</v>
      </c>
    </row>
    <row r="57" spans="1:8" x14ac:dyDescent="0.25">
      <c r="A57" t="s">
        <v>156</v>
      </c>
      <c r="B57">
        <v>1</v>
      </c>
    </row>
    <row r="58" spans="1:8" x14ac:dyDescent="0.25">
      <c r="A58" t="s">
        <v>86</v>
      </c>
      <c r="B58">
        <v>1</v>
      </c>
    </row>
    <row r="59" spans="1:8" x14ac:dyDescent="0.25">
      <c r="A59" t="s">
        <v>85</v>
      </c>
      <c r="B59">
        <v>1</v>
      </c>
    </row>
    <row r="60" spans="1:8" x14ac:dyDescent="0.25">
      <c r="A60" t="s">
        <v>87</v>
      </c>
      <c r="B60">
        <v>1</v>
      </c>
    </row>
    <row r="61" spans="1:8" x14ac:dyDescent="0.25">
      <c r="A61" t="s">
        <v>114</v>
      </c>
      <c r="H61">
        <v>1</v>
      </c>
    </row>
    <row r="62" spans="1:8" x14ac:dyDescent="0.25">
      <c r="A62" t="s">
        <v>115</v>
      </c>
      <c r="H62">
        <v>1</v>
      </c>
    </row>
    <row r="63" spans="1:8" x14ac:dyDescent="0.25">
      <c r="A63" t="s">
        <v>152</v>
      </c>
      <c r="H63">
        <v>1</v>
      </c>
    </row>
    <row r="64" spans="1:8" x14ac:dyDescent="0.25">
      <c r="A64" t="s">
        <v>169</v>
      </c>
      <c r="F64">
        <v>1</v>
      </c>
    </row>
    <row r="65" spans="1:7" x14ac:dyDescent="0.25">
      <c r="A65" t="s">
        <v>168</v>
      </c>
      <c r="F65">
        <v>1</v>
      </c>
    </row>
    <row r="66" spans="1:7" x14ac:dyDescent="0.25">
      <c r="A66" t="s">
        <v>170</v>
      </c>
      <c r="F66">
        <v>1</v>
      </c>
    </row>
    <row r="67" spans="1:7" x14ac:dyDescent="0.25">
      <c r="A67" t="s">
        <v>183</v>
      </c>
      <c r="B67">
        <v>1</v>
      </c>
    </row>
    <row r="68" spans="1:7" x14ac:dyDescent="0.25">
      <c r="A68" t="s">
        <v>184</v>
      </c>
      <c r="F68">
        <v>1</v>
      </c>
    </row>
    <row r="69" spans="1:7" x14ac:dyDescent="0.25">
      <c r="A69" t="s">
        <v>143</v>
      </c>
      <c r="G69">
        <v>1</v>
      </c>
    </row>
    <row r="70" spans="1:7" x14ac:dyDescent="0.25">
      <c r="A70" t="s">
        <v>207</v>
      </c>
      <c r="D70">
        <v>1</v>
      </c>
    </row>
    <row r="71" spans="1:7" x14ac:dyDescent="0.25">
      <c r="A71" t="s">
        <v>194</v>
      </c>
      <c r="B71">
        <v>0.7</v>
      </c>
      <c r="D71">
        <v>0.3</v>
      </c>
    </row>
    <row r="72" spans="1:7" x14ac:dyDescent="0.25">
      <c r="A72" t="s">
        <v>189</v>
      </c>
      <c r="D72">
        <v>1</v>
      </c>
    </row>
    <row r="73" spans="1:7" x14ac:dyDescent="0.25">
      <c r="A73" t="s">
        <v>193</v>
      </c>
      <c r="D73">
        <v>1</v>
      </c>
    </row>
    <row r="74" spans="1:7" x14ac:dyDescent="0.25">
      <c r="A74" t="s">
        <v>190</v>
      </c>
      <c r="D74">
        <v>1</v>
      </c>
    </row>
    <row r="75" spans="1:7" x14ac:dyDescent="0.25">
      <c r="A75" t="s">
        <v>191</v>
      </c>
      <c r="D75">
        <v>1</v>
      </c>
    </row>
    <row r="76" spans="1:7" x14ac:dyDescent="0.25">
      <c r="A76" t="s">
        <v>192</v>
      </c>
      <c r="B76">
        <v>0.7</v>
      </c>
      <c r="D76">
        <v>0.3</v>
      </c>
    </row>
    <row r="77" spans="1:7" x14ac:dyDescent="0.25">
      <c r="A77" t="s">
        <v>215</v>
      </c>
      <c r="B77">
        <v>0.7</v>
      </c>
      <c r="D77">
        <v>0.3</v>
      </c>
    </row>
    <row r="78" spans="1:7" x14ac:dyDescent="0.25">
      <c r="A78" t="s">
        <v>216</v>
      </c>
      <c r="D78">
        <v>1</v>
      </c>
    </row>
    <row r="79" spans="1:7" x14ac:dyDescent="0.25">
      <c r="A79" t="s">
        <v>217</v>
      </c>
      <c r="D79">
        <v>1</v>
      </c>
    </row>
    <row r="80" spans="1:7" x14ac:dyDescent="0.25">
      <c r="A80" t="s">
        <v>218</v>
      </c>
      <c r="D80">
        <v>1</v>
      </c>
    </row>
    <row r="81" spans="1:4" x14ac:dyDescent="0.25">
      <c r="A81" t="s">
        <v>219</v>
      </c>
      <c r="D81">
        <v>1</v>
      </c>
    </row>
    <row r="82" spans="1:4" x14ac:dyDescent="0.25">
      <c r="A82" t="s">
        <v>198</v>
      </c>
      <c r="D82">
        <v>1</v>
      </c>
    </row>
    <row r="83" spans="1:4" x14ac:dyDescent="0.25">
      <c r="A83" t="s">
        <v>208</v>
      </c>
      <c r="D83">
        <v>1</v>
      </c>
    </row>
    <row r="84" spans="1:4" x14ac:dyDescent="0.25">
      <c r="A84" t="s">
        <v>209</v>
      </c>
      <c r="C84">
        <v>1</v>
      </c>
    </row>
    <row r="85" spans="1:4" x14ac:dyDescent="0.25">
      <c r="A85" t="s">
        <v>199</v>
      </c>
      <c r="B85">
        <v>0.7</v>
      </c>
      <c r="C85">
        <v>0.3</v>
      </c>
    </row>
    <row r="86" spans="1:4" x14ac:dyDescent="0.25">
      <c r="A86" t="s">
        <v>200</v>
      </c>
      <c r="C86">
        <v>1</v>
      </c>
    </row>
    <row r="87" spans="1:4" x14ac:dyDescent="0.25">
      <c r="A87" t="s">
        <v>201</v>
      </c>
      <c r="B87">
        <v>0.7</v>
      </c>
      <c r="C87">
        <v>0.3</v>
      </c>
    </row>
    <row r="88" spans="1:4" x14ac:dyDescent="0.25">
      <c r="A88" t="s">
        <v>202</v>
      </c>
      <c r="C88">
        <v>1</v>
      </c>
    </row>
    <row r="89" spans="1:4" x14ac:dyDescent="0.25">
      <c r="A89" t="s">
        <v>203</v>
      </c>
      <c r="C89">
        <v>1</v>
      </c>
    </row>
    <row r="90" spans="1:4" x14ac:dyDescent="0.25">
      <c r="A90" t="s">
        <v>204</v>
      </c>
      <c r="B90">
        <v>0.7</v>
      </c>
      <c r="C90">
        <v>0.3</v>
      </c>
    </row>
    <row r="91" spans="1:4" x14ac:dyDescent="0.25">
      <c r="A91" t="s">
        <v>232</v>
      </c>
      <c r="B91">
        <v>0.7</v>
      </c>
      <c r="C91">
        <v>0.3</v>
      </c>
    </row>
    <row r="92" spans="1:4" x14ac:dyDescent="0.25">
      <c r="A92" t="s">
        <v>220</v>
      </c>
      <c r="C92">
        <v>1</v>
      </c>
    </row>
    <row r="93" spans="1:4" x14ac:dyDescent="0.25">
      <c r="A93" t="s">
        <v>221</v>
      </c>
      <c r="C93">
        <v>1</v>
      </c>
    </row>
    <row r="94" spans="1:4" x14ac:dyDescent="0.25">
      <c r="A94" t="s">
        <v>222</v>
      </c>
      <c r="C94">
        <v>1</v>
      </c>
    </row>
    <row r="95" spans="1:4" x14ac:dyDescent="0.25">
      <c r="A95" t="s">
        <v>205</v>
      </c>
      <c r="C95">
        <v>1</v>
      </c>
    </row>
    <row r="96" spans="1:4" x14ac:dyDescent="0.25">
      <c r="A96" t="s">
        <v>210</v>
      </c>
      <c r="C96">
        <v>1</v>
      </c>
    </row>
    <row r="97" spans="1:3" x14ac:dyDescent="0.25">
      <c r="A97" t="s">
        <v>206</v>
      </c>
      <c r="B97">
        <v>0.7</v>
      </c>
      <c r="C97">
        <v>0.3</v>
      </c>
    </row>
    <row r="98" spans="1:3" x14ac:dyDescent="0.25">
      <c r="A98" t="s">
        <v>213</v>
      </c>
      <c r="C98">
        <v>1</v>
      </c>
    </row>
    <row r="99" spans="1:3" x14ac:dyDescent="0.25">
      <c r="A99" t="s">
        <v>211</v>
      </c>
      <c r="C99">
        <v>1</v>
      </c>
    </row>
    <row r="100" spans="1:3" x14ac:dyDescent="0.25">
      <c r="A100" t="s">
        <v>212</v>
      </c>
      <c r="C100">
        <v>1</v>
      </c>
    </row>
    <row r="101" spans="1:3" x14ac:dyDescent="0.25">
      <c r="A101" t="s">
        <v>223</v>
      </c>
      <c r="C101">
        <v>1</v>
      </c>
    </row>
    <row r="102" spans="1:3" x14ac:dyDescent="0.25">
      <c r="A102" t="s">
        <v>214</v>
      </c>
      <c r="C102">
        <v>1</v>
      </c>
    </row>
    <row r="103" spans="1:3" x14ac:dyDescent="0.25">
      <c r="A103" t="s">
        <v>226</v>
      </c>
      <c r="C103">
        <v>1</v>
      </c>
    </row>
    <row r="104" spans="1:3" x14ac:dyDescent="0.25">
      <c r="A104" t="s">
        <v>227</v>
      </c>
      <c r="C104">
        <v>1</v>
      </c>
    </row>
    <row r="105" spans="1:3" x14ac:dyDescent="0.25">
      <c r="A105" t="s">
        <v>228</v>
      </c>
      <c r="C105">
        <v>1</v>
      </c>
    </row>
    <row r="106" spans="1:3" x14ac:dyDescent="0.25">
      <c r="A106" t="s">
        <v>229</v>
      </c>
      <c r="C106">
        <v>1</v>
      </c>
    </row>
    <row r="107" spans="1:3" x14ac:dyDescent="0.25">
      <c r="A107" t="s">
        <v>230</v>
      </c>
      <c r="C107">
        <v>1</v>
      </c>
    </row>
    <row r="108" spans="1:3" x14ac:dyDescent="0.25">
      <c r="A108" t="s">
        <v>231</v>
      </c>
      <c r="C108">
        <v>1</v>
      </c>
    </row>
    <row r="109" spans="1:3" x14ac:dyDescent="0.25">
      <c r="A109" s="30" t="s">
        <v>238</v>
      </c>
      <c r="C109">
        <v>1</v>
      </c>
    </row>
    <row r="110" spans="1:3" x14ac:dyDescent="0.25">
      <c r="A110" s="30" t="s">
        <v>239</v>
      </c>
      <c r="C110">
        <v>1</v>
      </c>
    </row>
    <row r="111" spans="1:3" x14ac:dyDescent="0.25">
      <c r="A111" s="30" t="s">
        <v>251</v>
      </c>
      <c r="B111">
        <v>0.7</v>
      </c>
      <c r="C111">
        <v>0.3</v>
      </c>
    </row>
    <row r="112" spans="1:3" x14ac:dyDescent="0.25">
      <c r="A112" s="30" t="s">
        <v>245</v>
      </c>
      <c r="B112">
        <v>0.7</v>
      </c>
      <c r="C112">
        <v>0.3</v>
      </c>
    </row>
    <row r="113" spans="1:8" x14ac:dyDescent="0.25">
      <c r="A113" s="30" t="s">
        <v>246</v>
      </c>
      <c r="B113">
        <v>0.7</v>
      </c>
      <c r="C113">
        <v>0.3</v>
      </c>
    </row>
    <row r="114" spans="1:8" x14ac:dyDescent="0.25">
      <c r="A114" s="30" t="s">
        <v>252</v>
      </c>
      <c r="B114">
        <v>0.7</v>
      </c>
      <c r="D114">
        <v>0.3</v>
      </c>
    </row>
    <row r="115" spans="1:8" x14ac:dyDescent="0.25">
      <c r="A115" s="30" t="s">
        <v>243</v>
      </c>
      <c r="B115">
        <v>0.7</v>
      </c>
      <c r="D115">
        <v>0.3</v>
      </c>
    </row>
    <row r="116" spans="1:8" x14ac:dyDescent="0.25">
      <c r="A116" s="30" t="s">
        <v>244</v>
      </c>
      <c r="B116">
        <v>0.7</v>
      </c>
      <c r="D116">
        <v>0.3</v>
      </c>
    </row>
    <row r="117" spans="1:8" x14ac:dyDescent="0.25">
      <c r="A117" s="30" t="s">
        <v>247</v>
      </c>
      <c r="C117">
        <v>1</v>
      </c>
    </row>
    <row r="118" spans="1:8" x14ac:dyDescent="0.25">
      <c r="A118" s="30" t="s">
        <v>248</v>
      </c>
      <c r="C118">
        <v>1</v>
      </c>
    </row>
    <row r="119" spans="1:8" x14ac:dyDescent="0.25">
      <c r="A119" s="30" t="s">
        <v>240</v>
      </c>
      <c r="B119">
        <v>1</v>
      </c>
    </row>
    <row r="120" spans="1:8" x14ac:dyDescent="0.25">
      <c r="A120" s="30" t="s">
        <v>241</v>
      </c>
      <c r="B120">
        <v>1</v>
      </c>
    </row>
    <row r="121" spans="1:8" x14ac:dyDescent="0.25">
      <c r="A121" s="30" t="s">
        <v>242</v>
      </c>
      <c r="B121">
        <v>1</v>
      </c>
    </row>
    <row r="122" spans="1:8" x14ac:dyDescent="0.25">
      <c r="A122" s="30" t="s">
        <v>249</v>
      </c>
      <c r="H122">
        <v>1</v>
      </c>
    </row>
    <row r="123" spans="1:8" x14ac:dyDescent="0.25">
      <c r="A123" s="30" t="s">
        <v>250</v>
      </c>
      <c r="H123">
        <v>1</v>
      </c>
    </row>
    <row r="124" spans="1:8" x14ac:dyDescent="0.25">
      <c r="A124" s="30" t="s">
        <v>253</v>
      </c>
      <c r="H124">
        <v>1</v>
      </c>
    </row>
    <row r="125" spans="1:8" x14ac:dyDescent="0.25">
      <c r="A125" t="s">
        <v>256</v>
      </c>
      <c r="D125">
        <v>1</v>
      </c>
    </row>
    <row r="126" spans="1:8" x14ac:dyDescent="0.25">
      <c r="A126" t="s">
        <v>257</v>
      </c>
      <c r="C126">
        <v>1</v>
      </c>
    </row>
    <row r="127" spans="1:8" x14ac:dyDescent="0.25">
      <c r="A127" t="s">
        <v>258</v>
      </c>
      <c r="H127">
        <v>1</v>
      </c>
    </row>
    <row r="128" spans="1:8" x14ac:dyDescent="0.25">
      <c r="A128" t="s">
        <v>262</v>
      </c>
      <c r="H128">
        <v>1</v>
      </c>
    </row>
    <row r="129" spans="1:6" x14ac:dyDescent="0.25">
      <c r="A129" t="s">
        <v>263</v>
      </c>
      <c r="F129">
        <v>1</v>
      </c>
    </row>
    <row r="130" spans="1:6" x14ac:dyDescent="0.25">
      <c r="A130" t="s">
        <v>264</v>
      </c>
      <c r="F130">
        <v>1</v>
      </c>
    </row>
    <row r="131" spans="1:6" x14ac:dyDescent="0.25">
      <c r="A131" t="s">
        <v>265</v>
      </c>
      <c r="F131">
        <v>1</v>
      </c>
    </row>
    <row r="132" spans="1:6" x14ac:dyDescent="0.25">
      <c r="A132" t="s">
        <v>266</v>
      </c>
      <c r="F132">
        <v>1</v>
      </c>
    </row>
    <row r="133" spans="1:6" x14ac:dyDescent="0.25">
      <c r="A133" t="s">
        <v>267</v>
      </c>
      <c r="F133">
        <v>1</v>
      </c>
    </row>
    <row r="134" spans="1:6" x14ac:dyDescent="0.25">
      <c r="A134" t="s">
        <v>268</v>
      </c>
      <c r="F134">
        <v>1</v>
      </c>
    </row>
    <row r="135" spans="1:6" x14ac:dyDescent="0.25">
      <c r="A135" t="s">
        <v>148</v>
      </c>
      <c r="F135">
        <v>1</v>
      </c>
    </row>
    <row r="136" spans="1:6" x14ac:dyDescent="0.25">
      <c r="A136" s="1" t="s">
        <v>372</v>
      </c>
      <c r="E136">
        <v>1</v>
      </c>
    </row>
    <row r="138" spans="1:6" x14ac:dyDescent="0.25">
      <c r="A138" s="1"/>
    </row>
    <row r="139" spans="1:6" x14ac:dyDescent="0.25">
      <c r="A139" s="1"/>
    </row>
    <row r="140" spans="1:6" x14ac:dyDescent="0.25">
      <c r="A140" s="1"/>
    </row>
  </sheetData>
  <dataValidations disablePrompts="1" count="1">
    <dataValidation type="list" allowBlank="1" showInputMessage="1" showErrorMessage="1" sqref="A139 A62 A21:A24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7E81-F28C-465B-A33E-42264BE8BB16}">
  <dimension ref="A1:H14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3" sqref="C13"/>
    </sheetView>
  </sheetViews>
  <sheetFormatPr defaultColWidth="11.42578125" defaultRowHeight="15" x14ac:dyDescent="0.25"/>
  <cols>
    <col min="1" max="1" width="40.5703125" bestFit="1" customWidth="1"/>
    <col min="5" max="5" width="14" bestFit="1" customWidth="1"/>
  </cols>
  <sheetData>
    <row r="1" spans="1:8" x14ac:dyDescent="0.25">
      <c r="A1" t="s">
        <v>368</v>
      </c>
    </row>
    <row r="2" spans="1:8" x14ac:dyDescent="0.25">
      <c r="A2" t="s">
        <v>369</v>
      </c>
    </row>
    <row r="3" spans="1:8" x14ac:dyDescent="0.25">
      <c r="A3" t="s">
        <v>303</v>
      </c>
    </row>
    <row r="5" spans="1:8" x14ac:dyDescent="0.25">
      <c r="A5" t="s">
        <v>16</v>
      </c>
      <c r="B5" t="s">
        <v>19</v>
      </c>
      <c r="C5" t="s">
        <v>261</v>
      </c>
      <c r="D5" t="s">
        <v>275</v>
      </c>
      <c r="E5" t="s">
        <v>276</v>
      </c>
      <c r="F5" t="s">
        <v>277</v>
      </c>
      <c r="G5" t="s">
        <v>278</v>
      </c>
      <c r="H5" t="s">
        <v>279</v>
      </c>
    </row>
    <row r="6" spans="1:8" x14ac:dyDescent="0.25">
      <c r="A6" t="s">
        <v>19</v>
      </c>
      <c r="B6">
        <v>1</v>
      </c>
    </row>
    <row r="7" spans="1:8" x14ac:dyDescent="0.25">
      <c r="A7" t="s">
        <v>140</v>
      </c>
      <c r="E7">
        <v>1</v>
      </c>
    </row>
    <row r="8" spans="1:8" x14ac:dyDescent="0.25">
      <c r="A8" t="s">
        <v>141</v>
      </c>
      <c r="E8">
        <v>1</v>
      </c>
    </row>
    <row r="9" spans="1:8" x14ac:dyDescent="0.25">
      <c r="A9" t="s">
        <v>260</v>
      </c>
      <c r="D9">
        <v>1</v>
      </c>
    </row>
    <row r="10" spans="1:8" x14ac:dyDescent="0.25">
      <c r="A10" t="s">
        <v>195</v>
      </c>
      <c r="C10">
        <v>1</v>
      </c>
    </row>
    <row r="11" spans="1:8" x14ac:dyDescent="0.25">
      <c r="A11" t="s">
        <v>196</v>
      </c>
      <c r="C11">
        <v>1</v>
      </c>
    </row>
    <row r="12" spans="1:8" x14ac:dyDescent="0.25">
      <c r="A12" t="s">
        <v>197</v>
      </c>
      <c r="C12">
        <v>1</v>
      </c>
    </row>
    <row r="16" spans="1:8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109" spans="1:1" x14ac:dyDescent="0.25">
      <c r="A109" s="30"/>
    </row>
    <row r="110" spans="1:1" x14ac:dyDescent="0.25">
      <c r="A110" s="30"/>
    </row>
    <row r="111" spans="1:1" x14ac:dyDescent="0.25">
      <c r="A111" s="30"/>
    </row>
    <row r="112" spans="1:1" x14ac:dyDescent="0.25">
      <c r="A112" s="30"/>
    </row>
    <row r="113" spans="1:1" x14ac:dyDescent="0.25">
      <c r="A113" s="30"/>
    </row>
    <row r="114" spans="1:1" x14ac:dyDescent="0.25">
      <c r="A114" s="30"/>
    </row>
    <row r="115" spans="1:1" x14ac:dyDescent="0.25">
      <c r="A115" s="30"/>
    </row>
    <row r="116" spans="1:1" x14ac:dyDescent="0.25">
      <c r="A116" s="30"/>
    </row>
    <row r="117" spans="1:1" x14ac:dyDescent="0.25">
      <c r="A117" s="30"/>
    </row>
    <row r="118" spans="1:1" x14ac:dyDescent="0.25">
      <c r="A118" s="30"/>
    </row>
    <row r="119" spans="1:1" x14ac:dyDescent="0.25">
      <c r="A119" s="30"/>
    </row>
    <row r="120" spans="1:1" x14ac:dyDescent="0.25">
      <c r="A120" s="30"/>
    </row>
    <row r="121" spans="1:1" x14ac:dyDescent="0.25">
      <c r="A121" s="30"/>
    </row>
    <row r="122" spans="1:1" x14ac:dyDescent="0.25">
      <c r="A122" s="30"/>
    </row>
    <row r="123" spans="1:1" x14ac:dyDescent="0.25">
      <c r="A123" s="30"/>
    </row>
    <row r="124" spans="1:1" x14ac:dyDescent="0.25">
      <c r="A124" s="30"/>
    </row>
    <row r="136" spans="1:1" x14ac:dyDescent="0.25">
      <c r="A136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</sheetData>
  <dataValidations count="1">
    <dataValidation type="list" allowBlank="1" showInputMessage="1" showErrorMessage="1" sqref="A139 A62 A21:A24" xr:uid="{BD72D89A-75BC-4012-9F9A-A48FD6CE49BD}">
      <formula1>Technologies</formula1>
    </dataValidation>
  </dataValidation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EO6"/>
  <sheetViews>
    <sheetView topLeftCell="DS1" workbookViewId="0">
      <selection activeCell="EO7" sqref="EO7"/>
    </sheetView>
  </sheetViews>
  <sheetFormatPr defaultColWidth="11.5703125" defaultRowHeight="15" x14ac:dyDescent="0.25"/>
  <cols>
    <col min="1" max="1" width="17" customWidth="1"/>
    <col min="2" max="2" width="16.28515625" bestFit="1" customWidth="1"/>
    <col min="3" max="3" width="14.42578125" bestFit="1" customWidth="1"/>
    <col min="4" max="4" width="7.710937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5703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5703125" bestFit="1" customWidth="1"/>
    <col min="17" max="17" width="18" bestFit="1" customWidth="1"/>
    <col min="18" max="18" width="7.85546875" bestFit="1" customWidth="1"/>
    <col min="19" max="19" width="14.285156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5703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28515625" bestFit="1" customWidth="1"/>
    <col min="31" max="31" width="5.7109375" bestFit="1" customWidth="1"/>
    <col min="32" max="32" width="8.7109375" bestFit="1" customWidth="1"/>
    <col min="33" max="33" width="5.7109375" bestFit="1" customWidth="1"/>
    <col min="34" max="34" width="7.42578125" bestFit="1" customWidth="1"/>
    <col min="35" max="35" width="14.285156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28515625" bestFit="1" customWidth="1"/>
    <col min="42" max="42" width="15.42578125" bestFit="1" customWidth="1"/>
    <col min="43" max="43" width="16.28515625" bestFit="1" customWidth="1"/>
    <col min="44" max="44" width="20.42578125" bestFit="1" customWidth="1"/>
    <col min="45" max="45" width="19.5703125" bestFit="1" customWidth="1"/>
    <col min="46" max="46" width="20.42578125" bestFit="1" customWidth="1"/>
    <col min="47" max="47" width="20.140625" bestFit="1" customWidth="1"/>
    <col min="48" max="48" width="19.28515625" bestFit="1" customWidth="1"/>
    <col min="49" max="49" width="20.140625" bestFit="1" customWidth="1"/>
    <col min="50" max="50" width="11.42578125" bestFit="1" customWidth="1"/>
    <col min="51" max="51" width="9.7109375" bestFit="1" customWidth="1"/>
    <col min="52" max="52" width="14.140625" bestFit="1" customWidth="1"/>
    <col min="56" max="56" width="12.28515625" bestFit="1" customWidth="1"/>
    <col min="57" max="57" width="14.140625" bestFit="1" customWidth="1"/>
    <col min="58" max="58" width="12.5703125" bestFit="1" customWidth="1"/>
    <col min="59" max="59" width="11.7109375" bestFit="1" customWidth="1"/>
    <col min="60" max="60" width="11.85546875" bestFit="1" customWidth="1"/>
    <col min="61" max="61" width="13.7109375" bestFit="1" customWidth="1"/>
    <col min="62" max="62" width="12" bestFit="1" customWidth="1"/>
    <col min="63" max="63" width="11.28515625" bestFit="1" customWidth="1"/>
    <col min="64" max="64" width="12.7109375" bestFit="1" customWidth="1"/>
    <col min="65" max="65" width="11.7109375" bestFit="1" customWidth="1"/>
    <col min="66" max="66" width="13" bestFit="1" customWidth="1"/>
    <col min="67" max="67" width="11.42578125" bestFit="1" customWidth="1"/>
    <col min="68" max="68" width="13.7109375" bestFit="1" customWidth="1"/>
    <col min="69" max="69" width="15.5703125" bestFit="1" customWidth="1"/>
    <col min="70" max="70" width="14" bestFit="1" customWidth="1"/>
    <col min="71" max="71" width="13.140625" bestFit="1" customWidth="1"/>
    <col min="72" max="72" width="13.28515625" bestFit="1" customWidth="1"/>
    <col min="73" max="73" width="15.140625" bestFit="1" customWidth="1"/>
  </cols>
  <sheetData>
    <row r="1" spans="1:145" x14ac:dyDescent="0.25">
      <c r="A1" t="s">
        <v>295</v>
      </c>
    </row>
    <row r="2" spans="1:145" x14ac:dyDescent="0.25">
      <c r="A2" t="s">
        <v>296</v>
      </c>
    </row>
    <row r="3" spans="1:145" x14ac:dyDescent="0.25">
      <c r="A3" t="s">
        <v>298</v>
      </c>
    </row>
    <row r="5" spans="1:145" ht="75" x14ac:dyDescent="0.25">
      <c r="A5" t="s">
        <v>15</v>
      </c>
      <c r="B5" t="s">
        <v>159</v>
      </c>
      <c r="C5" t="s">
        <v>160</v>
      </c>
      <c r="D5" t="s">
        <v>129</v>
      </c>
      <c r="E5" t="s">
        <v>130</v>
      </c>
      <c r="F5" t="s">
        <v>142</v>
      </c>
      <c r="G5" t="s">
        <v>143</v>
      </c>
      <c r="H5" t="s">
        <v>236</v>
      </c>
      <c r="I5" t="s">
        <v>234</v>
      </c>
      <c r="J5" t="s">
        <v>128</v>
      </c>
      <c r="K5" t="s">
        <v>132</v>
      </c>
      <c r="L5" s="1" t="s">
        <v>123</v>
      </c>
      <c r="M5" s="1" t="s">
        <v>124</v>
      </c>
      <c r="N5" s="1" t="s">
        <v>118</v>
      </c>
      <c r="O5" s="1" t="s">
        <v>53</v>
      </c>
      <c r="P5" s="1" t="s">
        <v>119</v>
      </c>
      <c r="Q5" s="1" t="s">
        <v>120</v>
      </c>
      <c r="R5" s="1" t="s">
        <v>165</v>
      </c>
      <c r="S5" s="1" t="s">
        <v>52</v>
      </c>
      <c r="T5" s="1" t="s">
        <v>51</v>
      </c>
      <c r="U5" t="s">
        <v>153</v>
      </c>
      <c r="V5" t="s">
        <v>96</v>
      </c>
      <c r="W5" t="s">
        <v>95</v>
      </c>
      <c r="X5" t="s">
        <v>17</v>
      </c>
      <c r="Y5" t="s">
        <v>18</v>
      </c>
      <c r="Z5" t="s">
        <v>50</v>
      </c>
      <c r="AA5" s="1" t="s">
        <v>126</v>
      </c>
      <c r="AB5" s="1" t="s">
        <v>54</v>
      </c>
      <c r="AC5" s="1" t="s">
        <v>127</v>
      </c>
      <c r="AD5" s="1" t="s">
        <v>121</v>
      </c>
      <c r="AE5" s="1" t="s">
        <v>122</v>
      </c>
      <c r="AF5" s="1" t="s">
        <v>56</v>
      </c>
      <c r="AG5" s="1" t="s">
        <v>116</v>
      </c>
      <c r="AH5" s="1" t="s">
        <v>55</v>
      </c>
      <c r="AI5" s="1" t="s">
        <v>117</v>
      </c>
      <c r="AJ5" t="s">
        <v>79</v>
      </c>
      <c r="AK5" t="s">
        <v>78</v>
      </c>
      <c r="AL5" t="s">
        <v>77</v>
      </c>
      <c r="AM5" t="s">
        <v>80</v>
      </c>
      <c r="AN5" t="s">
        <v>81</v>
      </c>
      <c r="AO5" t="s">
        <v>148</v>
      </c>
      <c r="AP5" t="s">
        <v>89</v>
      </c>
      <c r="AQ5" t="s">
        <v>94</v>
      </c>
      <c r="AR5" t="s">
        <v>91</v>
      </c>
      <c r="AS5" t="s">
        <v>92</v>
      </c>
      <c r="AT5" t="s">
        <v>93</v>
      </c>
      <c r="AU5" t="s">
        <v>161</v>
      </c>
      <c r="AV5" t="s">
        <v>162</v>
      </c>
      <c r="AW5" t="s">
        <v>83</v>
      </c>
      <c r="AX5" t="s">
        <v>82</v>
      </c>
      <c r="AY5" t="s">
        <v>84</v>
      </c>
      <c r="AZ5" t="s">
        <v>154</v>
      </c>
      <c r="BA5" t="s">
        <v>155</v>
      </c>
      <c r="BB5" t="s">
        <v>156</v>
      </c>
      <c r="BC5" t="s">
        <v>86</v>
      </c>
      <c r="BD5" t="s">
        <v>85</v>
      </c>
      <c r="BE5" t="s">
        <v>87</v>
      </c>
      <c r="BF5" t="s">
        <v>114</v>
      </c>
      <c r="BG5" t="s">
        <v>115</v>
      </c>
      <c r="BH5" t="s">
        <v>152</v>
      </c>
      <c r="BI5" t="s">
        <v>169</v>
      </c>
      <c r="BJ5" t="s">
        <v>168</v>
      </c>
      <c r="BK5" t="s">
        <v>170</v>
      </c>
      <c r="BL5" t="s">
        <v>178</v>
      </c>
      <c r="BM5" t="s">
        <v>180</v>
      </c>
      <c r="BN5" t="s">
        <v>182</v>
      </c>
      <c r="BO5" t="s">
        <v>183</v>
      </c>
      <c r="BP5" t="s">
        <v>184</v>
      </c>
      <c r="BQ5" t="s">
        <v>143</v>
      </c>
      <c r="BR5" t="s">
        <v>207</v>
      </c>
      <c r="BS5" t="s">
        <v>194</v>
      </c>
      <c r="BT5" t="s">
        <v>189</v>
      </c>
      <c r="BU5" t="s">
        <v>193</v>
      </c>
      <c r="BV5" t="s">
        <v>190</v>
      </c>
      <c r="BW5" t="s">
        <v>191</v>
      </c>
      <c r="BX5" t="s">
        <v>192</v>
      </c>
      <c r="BY5" t="s">
        <v>215</v>
      </c>
      <c r="BZ5" t="s">
        <v>216</v>
      </c>
      <c r="CA5" t="s">
        <v>217</v>
      </c>
      <c r="CB5" t="s">
        <v>218</v>
      </c>
      <c r="CC5" t="s">
        <v>219</v>
      </c>
      <c r="CD5" t="s">
        <v>198</v>
      </c>
      <c r="CE5" t="s">
        <v>208</v>
      </c>
      <c r="CF5" t="s">
        <v>209</v>
      </c>
      <c r="CG5" t="s">
        <v>199</v>
      </c>
      <c r="CH5" t="s">
        <v>200</v>
      </c>
      <c r="CI5" t="s">
        <v>201</v>
      </c>
      <c r="CJ5" t="s">
        <v>202</v>
      </c>
      <c r="CK5" t="s">
        <v>203</v>
      </c>
      <c r="CL5" t="s">
        <v>204</v>
      </c>
      <c r="CM5" t="s">
        <v>220</v>
      </c>
      <c r="CN5" t="s">
        <v>221</v>
      </c>
      <c r="CO5" t="s">
        <v>222</v>
      </c>
      <c r="CP5" t="s">
        <v>205</v>
      </c>
      <c r="CQ5" t="s">
        <v>210</v>
      </c>
      <c r="CR5" t="s">
        <v>206</v>
      </c>
      <c r="CS5" t="s">
        <v>213</v>
      </c>
      <c r="CT5" t="s">
        <v>211</v>
      </c>
      <c r="CU5" t="s">
        <v>212</v>
      </c>
      <c r="CV5" t="s">
        <v>223</v>
      </c>
      <c r="CW5" t="s">
        <v>214</v>
      </c>
      <c r="CX5" t="s">
        <v>226</v>
      </c>
      <c r="CY5" t="s">
        <v>227</v>
      </c>
      <c r="CZ5" t="s">
        <v>228</v>
      </c>
      <c r="DA5" t="s">
        <v>229</v>
      </c>
      <c r="DB5" t="s">
        <v>230</v>
      </c>
      <c r="DC5" t="s">
        <v>231</v>
      </c>
      <c r="DD5" t="s">
        <v>232</v>
      </c>
      <c r="DE5" s="30" t="s">
        <v>238</v>
      </c>
      <c r="DF5" s="30" t="s">
        <v>239</v>
      </c>
      <c r="DG5" s="30" t="s">
        <v>251</v>
      </c>
      <c r="DH5" s="30" t="s">
        <v>245</v>
      </c>
      <c r="DI5" s="30" t="s">
        <v>246</v>
      </c>
      <c r="DJ5" s="30" t="s">
        <v>252</v>
      </c>
      <c r="DK5" s="30" t="s">
        <v>243</v>
      </c>
      <c r="DL5" s="30" t="s">
        <v>244</v>
      </c>
      <c r="DM5" s="30" t="s">
        <v>247</v>
      </c>
      <c r="DN5" s="30" t="s">
        <v>248</v>
      </c>
      <c r="DO5" s="30" t="s">
        <v>240</v>
      </c>
      <c r="DP5" s="30" t="s">
        <v>241</v>
      </c>
      <c r="DQ5" s="30" t="s">
        <v>242</v>
      </c>
      <c r="DR5" s="30" t="s">
        <v>249</v>
      </c>
      <c r="DS5" s="30" t="s">
        <v>250</v>
      </c>
      <c r="DT5" s="30" t="s">
        <v>254</v>
      </c>
      <c r="DU5" t="s">
        <v>256</v>
      </c>
      <c r="DV5" t="s">
        <v>257</v>
      </c>
      <c r="DW5" t="s">
        <v>258</v>
      </c>
      <c r="DX5" t="s">
        <v>224</v>
      </c>
      <c r="DY5" t="s">
        <v>335</v>
      </c>
      <c r="DZ5" t="s">
        <v>262</v>
      </c>
      <c r="EA5" t="s">
        <v>263</v>
      </c>
      <c r="EB5" t="s">
        <v>264</v>
      </c>
      <c r="EC5" t="s">
        <v>265</v>
      </c>
      <c r="ED5" t="s">
        <v>266</v>
      </c>
      <c r="EE5" t="s">
        <v>267</v>
      </c>
      <c r="EF5" t="s">
        <v>268</v>
      </c>
      <c r="EG5" s="1" t="s">
        <v>270</v>
      </c>
      <c r="EH5" s="1" t="s">
        <v>271</v>
      </c>
      <c r="EI5" t="s">
        <v>269</v>
      </c>
      <c r="EJ5" s="1" t="s">
        <v>272</v>
      </c>
      <c r="EK5" s="1" t="s">
        <v>273</v>
      </c>
      <c r="EL5" s="1" t="s">
        <v>274</v>
      </c>
      <c r="EM5" t="s">
        <v>280</v>
      </c>
      <c r="EN5" s="1" t="s">
        <v>254</v>
      </c>
      <c r="EO5" s="1" t="s">
        <v>372</v>
      </c>
    </row>
    <row r="6" spans="1:145" x14ac:dyDescent="0.25">
      <c r="A6" s="29" t="s">
        <v>333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31.536000000000001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1</v>
      </c>
      <c r="DU6">
        <v>31.536000000000001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31.536000000000001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1</v>
      </c>
      <c r="EM6">
        <v>31.536000000000001</v>
      </c>
      <c r="EN6">
        <v>1</v>
      </c>
      <c r="EO6">
        <v>1</v>
      </c>
    </row>
  </sheetData>
  <dataValidations count="1">
    <dataValidation type="list" allowBlank="1" showInputMessage="1" showErrorMessage="1" sqref="BG5 Q5:T5 BL5 EK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E19" sqref="E19"/>
    </sheetView>
  </sheetViews>
  <sheetFormatPr defaultColWidth="11.5703125" defaultRowHeight="15" x14ac:dyDescent="0.25"/>
  <sheetData>
    <row r="1" spans="1:5" x14ac:dyDescent="0.25">
      <c r="A1" t="s">
        <v>9</v>
      </c>
    </row>
    <row r="2" spans="1:5" x14ac:dyDescent="0.25">
      <c r="A2" t="s">
        <v>10</v>
      </c>
    </row>
    <row r="3" spans="1:5" x14ac:dyDescent="0.25">
      <c r="A3" t="s">
        <v>303</v>
      </c>
    </row>
    <row r="5" spans="1:5" x14ac:dyDescent="0.25">
      <c r="A5" t="s">
        <v>334</v>
      </c>
      <c r="B5">
        <v>1</v>
      </c>
      <c r="C5">
        <v>2</v>
      </c>
      <c r="D5">
        <v>3</v>
      </c>
      <c r="E5">
        <v>4</v>
      </c>
    </row>
    <row r="6" spans="1:5" x14ac:dyDescent="0.25">
      <c r="A6" t="s">
        <v>58</v>
      </c>
      <c r="B6">
        <v>1</v>
      </c>
    </row>
    <row r="7" spans="1:5" x14ac:dyDescent="0.25">
      <c r="A7" t="s">
        <v>59</v>
      </c>
      <c r="B7">
        <v>1</v>
      </c>
    </row>
    <row r="8" spans="1:5" x14ac:dyDescent="0.25">
      <c r="A8" t="s">
        <v>60</v>
      </c>
      <c r="B8">
        <v>1</v>
      </c>
    </row>
    <row r="9" spans="1:5" x14ac:dyDescent="0.25">
      <c r="A9" t="s">
        <v>57</v>
      </c>
      <c r="B9">
        <v>1</v>
      </c>
    </row>
    <row r="10" spans="1:5" x14ac:dyDescent="0.25">
      <c r="A10" t="s">
        <v>61</v>
      </c>
      <c r="C10">
        <v>1</v>
      </c>
    </row>
    <row r="11" spans="1:5" x14ac:dyDescent="0.25">
      <c r="A11" t="s">
        <v>62</v>
      </c>
      <c r="C11">
        <v>1</v>
      </c>
    </row>
    <row r="12" spans="1:5" x14ac:dyDescent="0.25">
      <c r="A12" t="s">
        <v>63</v>
      </c>
      <c r="C12">
        <v>1</v>
      </c>
    </row>
    <row r="13" spans="1:5" x14ac:dyDescent="0.25">
      <c r="A13" t="s">
        <v>64</v>
      </c>
      <c r="C13">
        <v>1</v>
      </c>
    </row>
    <row r="14" spans="1:5" x14ac:dyDescent="0.25">
      <c r="A14" t="s">
        <v>65</v>
      </c>
      <c r="D14">
        <v>1</v>
      </c>
    </row>
    <row r="15" spans="1:5" x14ac:dyDescent="0.25">
      <c r="A15" t="s">
        <v>66</v>
      </c>
      <c r="D15">
        <v>1</v>
      </c>
    </row>
    <row r="16" spans="1:5" x14ac:dyDescent="0.25">
      <c r="A16" t="s">
        <v>67</v>
      </c>
      <c r="D16">
        <v>1</v>
      </c>
    </row>
    <row r="17" spans="1:5" x14ac:dyDescent="0.25">
      <c r="A17" t="s">
        <v>68</v>
      </c>
      <c r="D17">
        <v>1</v>
      </c>
    </row>
    <row r="18" spans="1:5" x14ac:dyDescent="0.25">
      <c r="A18" t="s">
        <v>69</v>
      </c>
      <c r="E18">
        <v>1</v>
      </c>
    </row>
    <row r="19" spans="1:5" x14ac:dyDescent="0.25">
      <c r="A19" t="s">
        <v>70</v>
      </c>
      <c r="E19">
        <v>1</v>
      </c>
    </row>
    <row r="20" spans="1:5" x14ac:dyDescent="0.25">
      <c r="A20" t="s">
        <v>71</v>
      </c>
      <c r="E20">
        <v>1</v>
      </c>
    </row>
    <row r="21" spans="1:5" x14ac:dyDescent="0.25">
      <c r="A21" t="s">
        <v>72</v>
      </c>
      <c r="E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6" sqref="A6"/>
    </sheetView>
  </sheetViews>
  <sheetFormatPr defaultColWidth="11.5703125" defaultRowHeight="15" x14ac:dyDescent="0.25"/>
  <sheetData>
    <row r="1" spans="1:2" x14ac:dyDescent="0.25">
      <c r="A1" t="s">
        <v>11</v>
      </c>
    </row>
    <row r="2" spans="1:2" x14ac:dyDescent="0.25">
      <c r="A2" t="s">
        <v>12</v>
      </c>
    </row>
    <row r="3" spans="1:2" x14ac:dyDescent="0.25">
      <c r="A3" t="s">
        <v>303</v>
      </c>
    </row>
    <row r="5" spans="1:2" x14ac:dyDescent="0.25">
      <c r="A5" t="s">
        <v>334</v>
      </c>
      <c r="B5">
        <v>1</v>
      </c>
    </row>
    <row r="6" spans="1:2" x14ac:dyDescent="0.25">
      <c r="A6" t="s">
        <v>58</v>
      </c>
      <c r="B6">
        <v>1</v>
      </c>
    </row>
    <row r="7" spans="1:2" x14ac:dyDescent="0.25">
      <c r="A7" t="s">
        <v>59</v>
      </c>
      <c r="B7">
        <v>1</v>
      </c>
    </row>
    <row r="8" spans="1:2" x14ac:dyDescent="0.25">
      <c r="A8" t="s">
        <v>60</v>
      </c>
      <c r="B8">
        <v>1</v>
      </c>
    </row>
    <row r="9" spans="1:2" x14ac:dyDescent="0.25">
      <c r="A9" t="s">
        <v>57</v>
      </c>
      <c r="B9">
        <v>1</v>
      </c>
    </row>
    <row r="10" spans="1:2" x14ac:dyDescent="0.25">
      <c r="A10" t="s">
        <v>61</v>
      </c>
      <c r="B10">
        <v>1</v>
      </c>
    </row>
    <row r="11" spans="1:2" x14ac:dyDescent="0.25">
      <c r="A11" t="s">
        <v>62</v>
      </c>
      <c r="B11">
        <v>1</v>
      </c>
    </row>
    <row r="12" spans="1:2" x14ac:dyDescent="0.25">
      <c r="A12" t="s">
        <v>63</v>
      </c>
      <c r="B12">
        <v>1</v>
      </c>
    </row>
    <row r="13" spans="1:2" x14ac:dyDescent="0.25">
      <c r="A13" t="s">
        <v>64</v>
      </c>
      <c r="B13">
        <v>1</v>
      </c>
    </row>
    <row r="14" spans="1:2" x14ac:dyDescent="0.25">
      <c r="A14" t="s">
        <v>65</v>
      </c>
      <c r="B14">
        <v>1</v>
      </c>
    </row>
    <row r="15" spans="1:2" x14ac:dyDescent="0.25">
      <c r="A15" t="s">
        <v>66</v>
      </c>
      <c r="B15">
        <v>1</v>
      </c>
    </row>
    <row r="16" spans="1:2" x14ac:dyDescent="0.25">
      <c r="A16" t="s">
        <v>67</v>
      </c>
      <c r="B16">
        <v>1</v>
      </c>
    </row>
    <row r="17" spans="1:2" x14ac:dyDescent="0.25">
      <c r="A17" t="s">
        <v>68</v>
      </c>
      <c r="B17">
        <v>1</v>
      </c>
    </row>
    <row r="18" spans="1:2" x14ac:dyDescent="0.25">
      <c r="A18" t="s">
        <v>69</v>
      </c>
      <c r="B18">
        <v>1</v>
      </c>
    </row>
    <row r="19" spans="1:2" x14ac:dyDescent="0.25">
      <c r="A19" t="s">
        <v>70</v>
      </c>
      <c r="B19">
        <v>1</v>
      </c>
    </row>
    <row r="20" spans="1:2" x14ac:dyDescent="0.25">
      <c r="A20" t="s">
        <v>71</v>
      </c>
      <c r="B20">
        <v>1</v>
      </c>
    </row>
    <row r="21" spans="1:2" x14ac:dyDescent="0.25">
      <c r="A21" t="s">
        <v>72</v>
      </c>
      <c r="B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F24" sqref="F24"/>
    </sheetView>
  </sheetViews>
  <sheetFormatPr defaultColWidth="11.5703125" defaultRowHeight="15" x14ac:dyDescent="0.25"/>
  <sheetData>
    <row r="1" spans="1:5" x14ac:dyDescent="0.25">
      <c r="A1" t="s">
        <v>13</v>
      </c>
    </row>
    <row r="2" spans="1:5" x14ac:dyDescent="0.25">
      <c r="A2" t="s">
        <v>14</v>
      </c>
    </row>
    <row r="3" spans="1:5" x14ac:dyDescent="0.25">
      <c r="A3" t="s">
        <v>303</v>
      </c>
    </row>
    <row r="4" spans="1:5" x14ac:dyDescent="0.25">
      <c r="B4" t="s">
        <v>73</v>
      </c>
      <c r="C4" t="s">
        <v>74</v>
      </c>
      <c r="D4" t="s">
        <v>75</v>
      </c>
      <c r="E4" t="s">
        <v>76</v>
      </c>
    </row>
    <row r="5" spans="1:5" x14ac:dyDescent="0.25">
      <c r="A5" t="s">
        <v>334</v>
      </c>
      <c r="B5">
        <v>4</v>
      </c>
      <c r="C5">
        <v>1</v>
      </c>
      <c r="D5">
        <v>2</v>
      </c>
      <c r="E5">
        <v>3</v>
      </c>
    </row>
    <row r="6" spans="1:5" x14ac:dyDescent="0.25">
      <c r="A6" t="s">
        <v>58</v>
      </c>
      <c r="B6">
        <v>1</v>
      </c>
    </row>
    <row r="7" spans="1:5" x14ac:dyDescent="0.25">
      <c r="A7" t="s">
        <v>59</v>
      </c>
      <c r="C7">
        <v>1</v>
      </c>
    </row>
    <row r="8" spans="1:5" x14ac:dyDescent="0.25">
      <c r="A8" t="s">
        <v>60</v>
      </c>
      <c r="D8">
        <v>1</v>
      </c>
    </row>
    <row r="9" spans="1:5" x14ac:dyDescent="0.25">
      <c r="A9" t="s">
        <v>57</v>
      </c>
      <c r="E9">
        <v>1</v>
      </c>
    </row>
    <row r="10" spans="1:5" x14ac:dyDescent="0.25">
      <c r="A10" t="s">
        <v>61</v>
      </c>
      <c r="B10">
        <v>1</v>
      </c>
    </row>
    <row r="11" spans="1:5" x14ac:dyDescent="0.25">
      <c r="A11" t="s">
        <v>62</v>
      </c>
      <c r="C11">
        <v>1</v>
      </c>
    </row>
    <row r="12" spans="1:5" x14ac:dyDescent="0.25">
      <c r="A12" t="s">
        <v>63</v>
      </c>
      <c r="D12">
        <v>1</v>
      </c>
    </row>
    <row r="13" spans="1:5" x14ac:dyDescent="0.25">
      <c r="A13" t="s">
        <v>64</v>
      </c>
      <c r="E13">
        <v>1</v>
      </c>
    </row>
    <row r="14" spans="1:5" x14ac:dyDescent="0.25">
      <c r="A14" t="s">
        <v>65</v>
      </c>
      <c r="B14">
        <v>1</v>
      </c>
    </row>
    <row r="15" spans="1:5" x14ac:dyDescent="0.25">
      <c r="A15" t="s">
        <v>66</v>
      </c>
      <c r="C15">
        <v>1</v>
      </c>
    </row>
    <row r="16" spans="1:5" x14ac:dyDescent="0.25">
      <c r="A16" t="s">
        <v>67</v>
      </c>
      <c r="D16">
        <v>1</v>
      </c>
    </row>
    <row r="17" spans="1:5" x14ac:dyDescent="0.25">
      <c r="A17" t="s">
        <v>68</v>
      </c>
      <c r="E17">
        <v>1</v>
      </c>
    </row>
    <row r="18" spans="1:5" x14ac:dyDescent="0.25">
      <c r="A18" t="s">
        <v>69</v>
      </c>
      <c r="B18">
        <v>1</v>
      </c>
    </row>
    <row r="19" spans="1:5" x14ac:dyDescent="0.25">
      <c r="A19" t="s">
        <v>70</v>
      </c>
      <c r="C19">
        <v>1</v>
      </c>
    </row>
    <row r="20" spans="1:5" x14ac:dyDescent="0.25">
      <c r="A20" t="s">
        <v>71</v>
      </c>
      <c r="D20">
        <v>1</v>
      </c>
    </row>
    <row r="21" spans="1:5" x14ac:dyDescent="0.25">
      <c r="A21" t="s">
        <v>72</v>
      </c>
      <c r="E21"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8"/>
  <dimension ref="A1:L82"/>
  <sheetViews>
    <sheetView zoomScale="90" zoomScaleNormal="90" zoomScalePageLayoutView="90" workbookViewId="0">
      <selection activeCell="A6" sqref="A6"/>
    </sheetView>
  </sheetViews>
  <sheetFormatPr defaultColWidth="11.42578125" defaultRowHeight="15" x14ac:dyDescent="0.25"/>
  <cols>
    <col min="2" max="2" width="23.28515625" customWidth="1"/>
  </cols>
  <sheetData>
    <row r="1" spans="1:12" x14ac:dyDescent="0.25">
      <c r="A1" t="s">
        <v>305</v>
      </c>
    </row>
    <row r="2" spans="1:12" x14ac:dyDescent="0.25">
      <c r="A2" t="s">
        <v>5</v>
      </c>
    </row>
    <row r="3" spans="1:12" x14ac:dyDescent="0.25">
      <c r="A3" t="s">
        <v>304</v>
      </c>
    </row>
    <row r="5" spans="1:12" x14ac:dyDescent="0.25">
      <c r="A5" t="s">
        <v>15</v>
      </c>
      <c r="B5" t="s">
        <v>21</v>
      </c>
      <c r="C5" t="s">
        <v>20</v>
      </c>
      <c r="D5" t="s">
        <v>284</v>
      </c>
      <c r="E5">
        <v>2018</v>
      </c>
      <c r="F5">
        <v>2020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 x14ac:dyDescent="0.25">
      <c r="A6" s="9" t="s">
        <v>333</v>
      </c>
      <c r="B6" t="s">
        <v>97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 x14ac:dyDescent="0.25">
      <c r="A7" s="9" t="s">
        <v>333</v>
      </c>
      <c r="B7" t="s">
        <v>98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 x14ac:dyDescent="0.25">
      <c r="A8" s="9" t="s">
        <v>333</v>
      </c>
      <c r="B8" t="s">
        <v>99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 x14ac:dyDescent="0.25">
      <c r="A9" s="9" t="s">
        <v>333</v>
      </c>
      <c r="B9" s="1" t="s">
        <v>123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 x14ac:dyDescent="0.25">
      <c r="A10" s="9" t="s">
        <v>333</v>
      </c>
      <c r="B10" s="1" t="s">
        <v>119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 x14ac:dyDescent="0.25">
      <c r="A11" s="9" t="s">
        <v>333</v>
      </c>
      <c r="B11" s="1" t="s">
        <v>119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s="9" t="s">
        <v>333</v>
      </c>
      <c r="B12" s="1" t="s">
        <v>120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 x14ac:dyDescent="0.25">
      <c r="A13" s="9" t="s">
        <v>333</v>
      </c>
      <c r="B13" s="1" t="s">
        <v>120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s="9" t="s">
        <v>333</v>
      </c>
      <c r="B14" s="1" t="s">
        <v>51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 x14ac:dyDescent="0.25">
      <c r="A15" s="9" t="s">
        <v>333</v>
      </c>
      <c r="B15" t="s">
        <v>102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 x14ac:dyDescent="0.25">
      <c r="A16" s="9" t="s">
        <v>333</v>
      </c>
      <c r="B16" t="s">
        <v>103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5">
      <c r="A17" s="9" t="s">
        <v>333</v>
      </c>
      <c r="B17" t="s">
        <v>105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25">
      <c r="A18" s="9" t="s">
        <v>333</v>
      </c>
      <c r="B18" t="s">
        <v>151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x14ac:dyDescent="0.25">
      <c r="A19" s="9" t="s">
        <v>333</v>
      </c>
      <c r="B19" t="s">
        <v>108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x14ac:dyDescent="0.25">
      <c r="A20" s="9" t="s">
        <v>333</v>
      </c>
      <c r="B20" t="s">
        <v>109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x14ac:dyDescent="0.25">
      <c r="A21" s="9" t="s">
        <v>333</v>
      </c>
      <c r="B21" t="s">
        <v>111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x14ac:dyDescent="0.25">
      <c r="A22" s="9" t="s">
        <v>333</v>
      </c>
      <c r="B22" t="s">
        <v>150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x14ac:dyDescent="0.25">
      <c r="A23" s="9" t="s">
        <v>333</v>
      </c>
      <c r="B23" t="s">
        <v>96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x14ac:dyDescent="0.25">
      <c r="A24" s="9" t="s">
        <v>333</v>
      </c>
      <c r="B24" t="s">
        <v>95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x14ac:dyDescent="0.25">
      <c r="A25" s="9" t="s">
        <v>333</v>
      </c>
      <c r="B25" t="s">
        <v>17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x14ac:dyDescent="0.25">
      <c r="A26" s="9" t="s">
        <v>333</v>
      </c>
      <c r="B26" t="s">
        <v>50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x14ac:dyDescent="0.25">
      <c r="A27" s="9" t="s">
        <v>333</v>
      </c>
      <c r="B27" s="1" t="s">
        <v>54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x14ac:dyDescent="0.25">
      <c r="A28" s="9" t="s">
        <v>333</v>
      </c>
      <c r="B28" s="1" t="s">
        <v>121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x14ac:dyDescent="0.25">
      <c r="A29" s="9" t="s">
        <v>333</v>
      </c>
      <c r="B29" s="1" t="s">
        <v>55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x14ac:dyDescent="0.25">
      <c r="A30" s="9" t="s">
        <v>333</v>
      </c>
      <c r="B30" s="1" t="s">
        <v>55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9" t="s">
        <v>333</v>
      </c>
      <c r="B31" s="1" t="s">
        <v>117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x14ac:dyDescent="0.25">
      <c r="A32" s="9" t="s">
        <v>333</v>
      </c>
      <c r="B32" s="1" t="s">
        <v>117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9" t="s">
        <v>333</v>
      </c>
      <c r="B33" t="s">
        <v>182</v>
      </c>
      <c r="C33" t="s">
        <v>0</v>
      </c>
      <c r="D33">
        <v>1</v>
      </c>
      <c r="E33">
        <v>-0.7</v>
      </c>
      <c r="F33" s="8">
        <v>-0.7</v>
      </c>
      <c r="G33" s="8">
        <v>-0.7</v>
      </c>
      <c r="H33" s="8">
        <v>-0.7</v>
      </c>
      <c r="I33" s="8">
        <v>-0.7</v>
      </c>
      <c r="J33" s="8">
        <v>-0.7</v>
      </c>
      <c r="K33" s="8">
        <v>-0.7</v>
      </c>
      <c r="L33">
        <v>-0.7</v>
      </c>
    </row>
    <row r="34" spans="1:12" x14ac:dyDescent="0.25">
      <c r="A34" s="9" t="s">
        <v>333</v>
      </c>
      <c r="B34" t="s">
        <v>183</v>
      </c>
      <c r="C34" t="s">
        <v>0</v>
      </c>
      <c r="D34">
        <v>1</v>
      </c>
      <c r="E34">
        <v>-0.7</v>
      </c>
      <c r="F34" s="8">
        <v>-0.7</v>
      </c>
      <c r="G34" s="8">
        <v>-0.7</v>
      </c>
      <c r="H34" s="8">
        <v>-0.7</v>
      </c>
      <c r="I34" s="8">
        <v>-0.7</v>
      </c>
      <c r="J34" s="8">
        <v>-0.7</v>
      </c>
      <c r="K34" s="8">
        <v>-0.7</v>
      </c>
      <c r="L34">
        <v>-0.7</v>
      </c>
    </row>
    <row r="35" spans="1:12" x14ac:dyDescent="0.25">
      <c r="A35" s="9" t="s">
        <v>333</v>
      </c>
      <c r="B35" t="s">
        <v>207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 x14ac:dyDescent="0.25">
      <c r="A36" s="9" t="s">
        <v>333</v>
      </c>
      <c r="B36" t="s">
        <v>194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 x14ac:dyDescent="0.25">
      <c r="A37" s="9" t="s">
        <v>333</v>
      </c>
      <c r="B37" t="s">
        <v>190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 x14ac:dyDescent="0.25">
      <c r="A38" s="9" t="s">
        <v>333</v>
      </c>
      <c r="B38" t="s">
        <v>191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x14ac:dyDescent="0.25">
      <c r="A39" s="9" t="s">
        <v>333</v>
      </c>
      <c r="B39" t="s">
        <v>192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x14ac:dyDescent="0.25">
      <c r="A40" s="9" t="s">
        <v>333</v>
      </c>
      <c r="B40" t="s">
        <v>215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x14ac:dyDescent="0.25">
      <c r="A41" s="9" t="s">
        <v>333</v>
      </c>
      <c r="B41" t="s">
        <v>208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x14ac:dyDescent="0.25">
      <c r="A42" s="9" t="s">
        <v>333</v>
      </c>
      <c r="B42" t="s">
        <v>209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x14ac:dyDescent="0.25">
      <c r="A43" s="9" t="s">
        <v>333</v>
      </c>
      <c r="B43" t="s">
        <v>199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x14ac:dyDescent="0.25">
      <c r="A44" s="9" t="s">
        <v>333</v>
      </c>
      <c r="B44" t="s">
        <v>202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x14ac:dyDescent="0.25">
      <c r="A45" s="9" t="s">
        <v>333</v>
      </c>
      <c r="B45" t="s">
        <v>203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x14ac:dyDescent="0.25">
      <c r="A46" s="9" t="s">
        <v>333</v>
      </c>
      <c r="B46" t="s">
        <v>204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x14ac:dyDescent="0.25">
      <c r="A47" s="9" t="s">
        <v>333</v>
      </c>
      <c r="B47" t="s">
        <v>232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x14ac:dyDescent="0.25">
      <c r="A48" s="9" t="s">
        <v>333</v>
      </c>
      <c r="B48" t="s">
        <v>210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x14ac:dyDescent="0.25">
      <c r="A49" s="9" t="s">
        <v>333</v>
      </c>
      <c r="B49" t="s">
        <v>206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x14ac:dyDescent="0.25">
      <c r="A50" s="9" t="s">
        <v>333</v>
      </c>
      <c r="B50" t="s">
        <v>213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x14ac:dyDescent="0.25">
      <c r="A51" s="9" t="s">
        <v>333</v>
      </c>
      <c r="B51" t="s">
        <v>212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x14ac:dyDescent="0.25">
      <c r="A52" s="9" t="s">
        <v>333</v>
      </c>
      <c r="B52" t="s">
        <v>214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x14ac:dyDescent="0.25">
      <c r="A53" s="9" t="s">
        <v>333</v>
      </c>
      <c r="B53" t="s">
        <v>226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x14ac:dyDescent="0.25">
      <c r="A54" s="9" t="s">
        <v>333</v>
      </c>
      <c r="B54" t="s">
        <v>226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x14ac:dyDescent="0.25">
      <c r="A55" s="9" t="s">
        <v>333</v>
      </c>
      <c r="B55" t="s">
        <v>226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x14ac:dyDescent="0.25">
      <c r="A56" s="9" t="s">
        <v>333</v>
      </c>
      <c r="B56" t="s">
        <v>226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x14ac:dyDescent="0.25">
      <c r="A57" s="9" t="s">
        <v>333</v>
      </c>
      <c r="B57" t="s">
        <v>227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x14ac:dyDescent="0.25">
      <c r="A58" s="9" t="s">
        <v>333</v>
      </c>
      <c r="B58" t="s">
        <v>231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x14ac:dyDescent="0.25">
      <c r="A59" s="9" t="s">
        <v>333</v>
      </c>
      <c r="B59" t="s">
        <v>238</v>
      </c>
      <c r="C59" t="s">
        <v>0</v>
      </c>
      <c r="D59">
        <v>1</v>
      </c>
      <c r="E59">
        <v>0.12</v>
      </c>
      <c r="F59" s="8">
        <v>9.3333333333333338E-2</v>
      </c>
      <c r="G59" s="8">
        <v>8.4444444444444447E-2</v>
      </c>
      <c r="H59" s="8">
        <v>8.2222222222222224E-2</v>
      </c>
      <c r="I59" s="8">
        <v>8.1111111111111106E-2</v>
      </c>
      <c r="J59" s="8">
        <v>8.0555555555555547E-2</v>
      </c>
      <c r="K59" s="8">
        <v>8.0277777777777781E-2</v>
      </c>
      <c r="L59">
        <v>0.08</v>
      </c>
    </row>
    <row r="60" spans="1:12" x14ac:dyDescent="0.25">
      <c r="A60" s="9" t="s">
        <v>333</v>
      </c>
      <c r="B60" t="s">
        <v>238</v>
      </c>
      <c r="C60" t="s">
        <v>0</v>
      </c>
      <c r="D60">
        <v>2</v>
      </c>
      <c r="E60">
        <v>0.12</v>
      </c>
      <c r="F60" s="8">
        <v>9.3333333333333338E-2</v>
      </c>
      <c r="G60" s="8">
        <v>8.4444444444444447E-2</v>
      </c>
      <c r="H60" s="8">
        <v>8.2222222222222224E-2</v>
      </c>
      <c r="I60" s="8">
        <v>8.1111111111111106E-2</v>
      </c>
      <c r="J60" s="8">
        <v>8.0555555555555547E-2</v>
      </c>
      <c r="K60" s="8">
        <v>8.0277777777777781E-2</v>
      </c>
      <c r="L60">
        <v>0.08</v>
      </c>
    </row>
    <row r="61" spans="1:12" x14ac:dyDescent="0.25">
      <c r="A61" s="9" t="s">
        <v>333</v>
      </c>
      <c r="B61" t="s">
        <v>238</v>
      </c>
      <c r="C61" t="s">
        <v>0</v>
      </c>
      <c r="D61">
        <v>3</v>
      </c>
      <c r="E61">
        <v>0.12</v>
      </c>
      <c r="F61" s="8">
        <v>9.3333333333333338E-2</v>
      </c>
      <c r="G61" s="8">
        <v>8.4444444444444447E-2</v>
      </c>
      <c r="H61" s="8">
        <v>8.2222222222222224E-2</v>
      </c>
      <c r="I61" s="8">
        <v>8.1111111111111106E-2</v>
      </c>
      <c r="J61" s="8">
        <v>8.0555555555555547E-2</v>
      </c>
      <c r="K61" s="8">
        <v>8.0277777777777781E-2</v>
      </c>
      <c r="L61">
        <v>0.08</v>
      </c>
    </row>
    <row r="62" spans="1:12" x14ac:dyDescent="0.25">
      <c r="A62" s="9" t="s">
        <v>333</v>
      </c>
      <c r="B62" t="s">
        <v>238</v>
      </c>
      <c r="C62" t="s">
        <v>0</v>
      </c>
      <c r="D62">
        <v>4</v>
      </c>
      <c r="E62">
        <v>0.12</v>
      </c>
      <c r="F62" s="8">
        <v>9.3333333333333338E-2</v>
      </c>
      <c r="G62" s="8">
        <v>8.4444444444444447E-2</v>
      </c>
      <c r="H62" s="8">
        <v>8.2222222222222224E-2</v>
      </c>
      <c r="I62" s="8">
        <v>8.1111111111111106E-2</v>
      </c>
      <c r="J62" s="8">
        <v>8.0555555555555547E-2</v>
      </c>
      <c r="K62" s="8">
        <v>8.0277777777777781E-2</v>
      </c>
      <c r="L62">
        <v>0.08</v>
      </c>
    </row>
    <row r="63" spans="1:12" x14ac:dyDescent="0.25">
      <c r="A63" s="9" t="s">
        <v>333</v>
      </c>
      <c r="B63" t="s">
        <v>239</v>
      </c>
      <c r="C63" t="s">
        <v>0</v>
      </c>
      <c r="D63">
        <v>1</v>
      </c>
      <c r="E63">
        <v>0.12</v>
      </c>
      <c r="F63" s="8">
        <v>9.3333333333333338E-2</v>
      </c>
      <c r="G63" s="8">
        <v>8.4444444444444447E-2</v>
      </c>
      <c r="H63" s="8">
        <v>8.2222222222222224E-2</v>
      </c>
      <c r="I63" s="8">
        <v>8.1111111111111106E-2</v>
      </c>
      <c r="J63" s="8">
        <v>8.0555555555555547E-2</v>
      </c>
      <c r="K63" s="8">
        <v>8.0277777777777781E-2</v>
      </c>
      <c r="L63">
        <v>0.08</v>
      </c>
    </row>
    <row r="64" spans="1:12" x14ac:dyDescent="0.25">
      <c r="A64" s="9" t="s">
        <v>333</v>
      </c>
      <c r="B64" t="s">
        <v>251</v>
      </c>
      <c r="C64" t="s">
        <v>0</v>
      </c>
      <c r="D64">
        <v>1</v>
      </c>
      <c r="E64">
        <v>-0.7</v>
      </c>
      <c r="F64" s="8">
        <v>-0.7</v>
      </c>
      <c r="G64" s="8">
        <v>-0.7</v>
      </c>
      <c r="H64" s="8">
        <v>-0.7</v>
      </c>
      <c r="I64" s="8">
        <v>-0.7</v>
      </c>
      <c r="J64" s="8">
        <v>-0.7</v>
      </c>
      <c r="K64" s="8">
        <v>-0.7</v>
      </c>
      <c r="L64">
        <v>-0.7</v>
      </c>
    </row>
    <row r="65" spans="1:12" x14ac:dyDescent="0.25">
      <c r="A65" s="9" t="s">
        <v>333</v>
      </c>
      <c r="B65" t="s">
        <v>245</v>
      </c>
      <c r="C65" t="s">
        <v>0</v>
      </c>
      <c r="D65">
        <v>1</v>
      </c>
      <c r="E65">
        <v>0.12</v>
      </c>
      <c r="F65" s="8">
        <v>9.3333333333333338E-2</v>
      </c>
      <c r="G65" s="8">
        <v>8.4444444444444447E-2</v>
      </c>
      <c r="H65" s="8">
        <v>8.2222222222222224E-2</v>
      </c>
      <c r="I65" s="8">
        <v>8.1111111111111106E-2</v>
      </c>
      <c r="J65" s="8">
        <v>8.0555555555555547E-2</v>
      </c>
      <c r="K65" s="8">
        <v>8.0277777777777781E-2</v>
      </c>
      <c r="L65">
        <v>0.08</v>
      </c>
    </row>
    <row r="66" spans="1:12" x14ac:dyDescent="0.25">
      <c r="A66" s="9" t="s">
        <v>333</v>
      </c>
      <c r="B66" t="s">
        <v>246</v>
      </c>
      <c r="C66" t="s">
        <v>0</v>
      </c>
      <c r="D66">
        <v>1</v>
      </c>
      <c r="E66">
        <v>0.12</v>
      </c>
      <c r="F66" s="8">
        <v>9.3333333333333338E-2</v>
      </c>
      <c r="G66" s="8">
        <v>8.4444444444444447E-2</v>
      </c>
      <c r="H66" s="8">
        <v>8.2222222222222224E-2</v>
      </c>
      <c r="I66" s="8">
        <v>8.1111111111111106E-2</v>
      </c>
      <c r="J66" s="8">
        <v>8.0555555555555547E-2</v>
      </c>
      <c r="K66" s="8">
        <v>8.0277777777777781E-2</v>
      </c>
      <c r="L66">
        <v>0.08</v>
      </c>
    </row>
    <row r="67" spans="1:12" x14ac:dyDescent="0.25">
      <c r="A67" s="9" t="s">
        <v>333</v>
      </c>
      <c r="B67" t="s">
        <v>252</v>
      </c>
      <c r="C67" t="s">
        <v>0</v>
      </c>
      <c r="D67">
        <v>1</v>
      </c>
      <c r="E67">
        <v>-0.7</v>
      </c>
      <c r="F67" s="8">
        <v>-0.7</v>
      </c>
      <c r="G67" s="8">
        <v>-0.7</v>
      </c>
      <c r="H67" s="8">
        <v>-0.7</v>
      </c>
      <c r="I67" s="8">
        <v>-0.7</v>
      </c>
      <c r="J67" s="8">
        <v>-0.7</v>
      </c>
      <c r="K67" s="8">
        <v>-0.7</v>
      </c>
      <c r="L67">
        <v>-0.7</v>
      </c>
    </row>
    <row r="68" spans="1:12" x14ac:dyDescent="0.25">
      <c r="A68" s="9" t="s">
        <v>333</v>
      </c>
      <c r="B68" t="s">
        <v>243</v>
      </c>
      <c r="C68" t="s">
        <v>0</v>
      </c>
      <c r="D68">
        <v>1</v>
      </c>
      <c r="E68">
        <v>0.12</v>
      </c>
      <c r="F68" s="8">
        <v>9.3333333333333338E-2</v>
      </c>
      <c r="G68" s="8">
        <v>8.4444444444444447E-2</v>
      </c>
      <c r="H68" s="8">
        <v>8.2222222222222224E-2</v>
      </c>
      <c r="I68" s="8">
        <v>8.1111111111111106E-2</v>
      </c>
      <c r="J68" s="8">
        <v>8.0555555555555547E-2</v>
      </c>
      <c r="K68" s="8">
        <v>8.0277777777777781E-2</v>
      </c>
      <c r="L68">
        <v>0.08</v>
      </c>
    </row>
    <row r="69" spans="1:12" x14ac:dyDescent="0.25">
      <c r="A69" s="9" t="s">
        <v>333</v>
      </c>
      <c r="B69" t="s">
        <v>244</v>
      </c>
      <c r="C69" t="s">
        <v>0</v>
      </c>
      <c r="D69">
        <v>1</v>
      </c>
      <c r="E69">
        <v>0.12</v>
      </c>
      <c r="F69" s="8">
        <v>9.3333333333333338E-2</v>
      </c>
      <c r="G69" s="8">
        <v>8.4444444444444447E-2</v>
      </c>
      <c r="H69" s="8">
        <v>8.2222222222222224E-2</v>
      </c>
      <c r="I69" s="8">
        <v>8.1111111111111106E-2</v>
      </c>
      <c r="J69" s="8">
        <v>8.0555555555555547E-2</v>
      </c>
      <c r="K69" s="8">
        <v>8.0277777777777781E-2</v>
      </c>
      <c r="L69">
        <v>0.08</v>
      </c>
    </row>
    <row r="70" spans="1:12" x14ac:dyDescent="0.25">
      <c r="A70" s="9" t="s">
        <v>333</v>
      </c>
      <c r="B70" t="s">
        <v>247</v>
      </c>
      <c r="C70" t="s">
        <v>0</v>
      </c>
      <c r="D70">
        <v>1</v>
      </c>
      <c r="E70">
        <v>0.12</v>
      </c>
      <c r="F70" s="8">
        <v>9.3333333333333338E-2</v>
      </c>
      <c r="G70" s="8">
        <v>8.4444444444444447E-2</v>
      </c>
      <c r="H70" s="8">
        <v>8.2222222222222224E-2</v>
      </c>
      <c r="I70" s="8">
        <v>8.1111111111111106E-2</v>
      </c>
      <c r="J70" s="8">
        <v>8.0555555555555547E-2</v>
      </c>
      <c r="K70" s="8">
        <v>8.0277777777777781E-2</v>
      </c>
      <c r="L70">
        <v>0.08</v>
      </c>
    </row>
    <row r="71" spans="1:12" x14ac:dyDescent="0.25">
      <c r="A71" s="9" t="s">
        <v>333</v>
      </c>
      <c r="B71" t="s">
        <v>248</v>
      </c>
      <c r="C71" t="s">
        <v>0</v>
      </c>
      <c r="D71">
        <v>1</v>
      </c>
      <c r="E71">
        <v>0.12</v>
      </c>
      <c r="F71" s="8">
        <v>9.3333333333333338E-2</v>
      </c>
      <c r="G71" s="8">
        <v>8.4444444444444447E-2</v>
      </c>
      <c r="H71" s="8">
        <v>8.2222222222222224E-2</v>
      </c>
      <c r="I71" s="8">
        <v>8.1111111111111106E-2</v>
      </c>
      <c r="J71" s="8">
        <v>8.0555555555555547E-2</v>
      </c>
      <c r="K71" s="8">
        <v>8.0277777777777781E-2</v>
      </c>
      <c r="L71">
        <v>0.08</v>
      </c>
    </row>
    <row r="72" spans="1:12" x14ac:dyDescent="0.25">
      <c r="A72" s="9" t="s">
        <v>333</v>
      </c>
      <c r="B72" t="s">
        <v>240</v>
      </c>
      <c r="C72" t="s">
        <v>0</v>
      </c>
      <c r="D72">
        <v>1</v>
      </c>
      <c r="E72">
        <v>0.12</v>
      </c>
      <c r="F72" s="8">
        <v>9.3333333333333338E-2</v>
      </c>
      <c r="G72" s="8">
        <v>8.4444444444444447E-2</v>
      </c>
      <c r="H72" s="8">
        <v>8.2222222222222224E-2</v>
      </c>
      <c r="I72" s="8">
        <v>8.1111111111111106E-2</v>
      </c>
      <c r="J72" s="8">
        <v>8.0555555555555547E-2</v>
      </c>
      <c r="K72" s="8">
        <v>8.0277777777777781E-2</v>
      </c>
      <c r="L72">
        <v>0.08</v>
      </c>
    </row>
    <row r="73" spans="1:12" x14ac:dyDescent="0.25">
      <c r="A73" s="9" t="s">
        <v>333</v>
      </c>
      <c r="B73" t="s">
        <v>241</v>
      </c>
      <c r="C73" t="s">
        <v>0</v>
      </c>
      <c r="D73">
        <v>1</v>
      </c>
      <c r="E73">
        <v>0.12</v>
      </c>
      <c r="F73" s="8">
        <v>0.12</v>
      </c>
      <c r="G73" s="8">
        <v>0.12</v>
      </c>
      <c r="H73" s="8">
        <v>0.12</v>
      </c>
      <c r="I73" s="8">
        <v>0.12</v>
      </c>
      <c r="J73" s="8">
        <v>0.12</v>
      </c>
      <c r="K73" s="8">
        <v>0.12</v>
      </c>
      <c r="L73">
        <v>0.12</v>
      </c>
    </row>
    <row r="74" spans="1:12" x14ac:dyDescent="0.25">
      <c r="A74" s="9" t="s">
        <v>333</v>
      </c>
      <c r="B74" t="s">
        <v>242</v>
      </c>
      <c r="C74" t="s">
        <v>0</v>
      </c>
      <c r="D74">
        <v>1</v>
      </c>
      <c r="E74">
        <v>0.12</v>
      </c>
      <c r="F74" s="8">
        <v>9.3333333333333338E-2</v>
      </c>
      <c r="G74" s="8">
        <v>8.4444444444444447E-2</v>
      </c>
      <c r="H74" s="8">
        <v>8.2222222222222224E-2</v>
      </c>
      <c r="I74" s="8">
        <v>8.1111111111111106E-2</v>
      </c>
      <c r="J74" s="8">
        <v>8.0555555555555547E-2</v>
      </c>
      <c r="K74" s="8">
        <v>8.0277777777777781E-2</v>
      </c>
      <c r="L74">
        <v>0.08</v>
      </c>
    </row>
    <row r="75" spans="1:12" x14ac:dyDescent="0.25">
      <c r="A75" s="9" t="s">
        <v>333</v>
      </c>
      <c r="B75" t="s">
        <v>249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 x14ac:dyDescent="0.25">
      <c r="A76" s="9" t="s">
        <v>333</v>
      </c>
      <c r="B76" t="s">
        <v>250</v>
      </c>
      <c r="C76" t="s">
        <v>0</v>
      </c>
      <c r="D76">
        <v>1</v>
      </c>
      <c r="E76">
        <v>0.12</v>
      </c>
      <c r="F76" s="8">
        <v>9.3333333333333338E-2</v>
      </c>
      <c r="G76" s="8">
        <v>8.4444444444444447E-2</v>
      </c>
      <c r="H76" s="8">
        <v>8.2222222222222224E-2</v>
      </c>
      <c r="I76" s="8">
        <v>8.1111111111111106E-2</v>
      </c>
      <c r="J76" s="8">
        <v>8.0555555555555547E-2</v>
      </c>
      <c r="K76" s="8">
        <v>8.0277777777777781E-2</v>
      </c>
      <c r="L76">
        <v>0.08</v>
      </c>
    </row>
    <row r="77" spans="1:12" x14ac:dyDescent="0.25">
      <c r="A77" s="9"/>
    </row>
    <row r="78" spans="1:12" x14ac:dyDescent="0.25">
      <c r="A78" s="9"/>
      <c r="B78" s="1"/>
    </row>
    <row r="79" spans="1:12" x14ac:dyDescent="0.25">
      <c r="A79" s="9"/>
      <c r="B79" s="1"/>
    </row>
    <row r="80" spans="1:12" x14ac:dyDescent="0.25">
      <c r="A80" s="9"/>
      <c r="B80" s="1"/>
    </row>
    <row r="81" spans="1:1" x14ac:dyDescent="0.25">
      <c r="A81" s="9"/>
    </row>
    <row r="82" spans="1:1" x14ac:dyDescent="0.25">
      <c r="A82" s="9"/>
    </row>
  </sheetData>
  <dataValidations count="2">
    <dataValidation type="list" allowBlank="1" showInputMessage="1" showErrorMessage="1" sqref="C85:C113 B12:B20 C6:D34 D59:D68 C35:C78 B79:C79 C80:C82 C83:D84" xr:uid="{00000000-0002-0000-0800-000000000000}">
      <formula1>Technologies</formula1>
    </dataValidation>
    <dataValidation type="list" allowBlank="1" showInputMessage="1" showErrorMessage="1" sqref="A6:A82" xr:uid="{00000000-0002-0000-0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36"/>
  <dimension ref="A1:K85"/>
  <sheetViews>
    <sheetView topLeftCell="A34" zoomScale="90" zoomScaleNormal="90" zoomScalePageLayoutView="90" workbookViewId="0">
      <selection activeCell="H22" sqref="H22"/>
    </sheetView>
  </sheetViews>
  <sheetFormatPr defaultColWidth="11.42578125" defaultRowHeight="15" x14ac:dyDescent="0.25"/>
  <cols>
    <col min="2" max="2" width="23.28515625" customWidth="1"/>
  </cols>
  <sheetData>
    <row r="1" spans="1:11" x14ac:dyDescent="0.25">
      <c r="A1" t="s">
        <v>302</v>
      </c>
    </row>
    <row r="2" spans="1:11" x14ac:dyDescent="0.25">
      <c r="A2" t="s">
        <v>281</v>
      </c>
    </row>
    <row r="3" spans="1:11" x14ac:dyDescent="0.25">
      <c r="A3" t="s">
        <v>303</v>
      </c>
    </row>
    <row r="5" spans="1:11" x14ac:dyDescent="0.25">
      <c r="A5" t="s">
        <v>15</v>
      </c>
      <c r="B5" t="s">
        <v>21</v>
      </c>
      <c r="C5" t="s">
        <v>16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x14ac:dyDescent="0.25">
      <c r="A6" s="9" t="s">
        <v>333</v>
      </c>
      <c r="B6" t="s">
        <v>97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25">
      <c r="A7" s="9" t="s">
        <v>333</v>
      </c>
      <c r="B7" t="s">
        <v>98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5">
      <c r="A8" s="9" t="s">
        <v>333</v>
      </c>
      <c r="B8" t="s">
        <v>99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5">
      <c r="A9" s="9" t="s">
        <v>333</v>
      </c>
      <c r="B9" s="1" t="s">
        <v>123</v>
      </c>
      <c r="C9" t="s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s="9" t="s">
        <v>333</v>
      </c>
      <c r="B10" s="1" t="s">
        <v>119</v>
      </c>
      <c r="C10" t="s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s="9" t="s">
        <v>333</v>
      </c>
      <c r="B11" s="1" t="s">
        <v>120</v>
      </c>
      <c r="C11" t="s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s="9" t="s">
        <v>333</v>
      </c>
      <c r="B12" s="1" t="s">
        <v>51</v>
      </c>
      <c r="C12" t="s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s="9" t="s">
        <v>333</v>
      </c>
      <c r="B13" t="s">
        <v>96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25">
      <c r="A14" s="9" t="s">
        <v>333</v>
      </c>
      <c r="B14" t="s">
        <v>95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25">
      <c r="A15" s="9" t="s">
        <v>333</v>
      </c>
      <c r="B15" t="s">
        <v>17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 x14ac:dyDescent="0.25">
      <c r="A16" s="9" t="s">
        <v>333</v>
      </c>
      <c r="B16" t="s">
        <v>50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25">
      <c r="A17" s="9" t="s">
        <v>333</v>
      </c>
      <c r="B17" s="1" t="s">
        <v>54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25">
      <c r="A18" s="9" t="s">
        <v>333</v>
      </c>
      <c r="B18" s="1" t="s">
        <v>121</v>
      </c>
      <c r="C18" t="s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s="9" t="s">
        <v>333</v>
      </c>
      <c r="B19" s="1" t="s">
        <v>55</v>
      </c>
      <c r="C19" t="s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s="9" t="s">
        <v>333</v>
      </c>
      <c r="B20" s="1" t="s">
        <v>117</v>
      </c>
      <c r="C20" t="s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s="9" t="s">
        <v>333</v>
      </c>
      <c r="B21" t="s">
        <v>182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 x14ac:dyDescent="0.25">
      <c r="A22" s="9" t="s">
        <v>333</v>
      </c>
      <c r="B22" t="s">
        <v>183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25">
      <c r="A23" s="9" t="s">
        <v>333</v>
      </c>
      <c r="B23" t="s">
        <v>207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 x14ac:dyDescent="0.25">
      <c r="A24" s="9" t="s">
        <v>333</v>
      </c>
      <c r="B24" t="s">
        <v>194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 x14ac:dyDescent="0.25">
      <c r="A25" s="9" t="s">
        <v>333</v>
      </c>
      <c r="B25" t="s">
        <v>189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 x14ac:dyDescent="0.25">
      <c r="A26" s="9" t="s">
        <v>333</v>
      </c>
      <c r="B26" t="s">
        <v>193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 x14ac:dyDescent="0.25">
      <c r="A27" s="9" t="s">
        <v>333</v>
      </c>
      <c r="B27" t="s">
        <v>190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25">
      <c r="A28" s="9" t="s">
        <v>333</v>
      </c>
      <c r="B28" t="s">
        <v>191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25">
      <c r="A29" s="9" t="s">
        <v>333</v>
      </c>
      <c r="B29" t="s">
        <v>192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 x14ac:dyDescent="0.25">
      <c r="A30" s="9" t="s">
        <v>333</v>
      </c>
      <c r="B30" t="s">
        <v>215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25">
      <c r="A31" s="9" t="s">
        <v>333</v>
      </c>
      <c r="B31" t="s">
        <v>216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x14ac:dyDescent="0.25">
      <c r="A32" s="9" t="s">
        <v>333</v>
      </c>
      <c r="B32" t="s">
        <v>217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 x14ac:dyDescent="0.25">
      <c r="A33" s="9" t="s">
        <v>333</v>
      </c>
      <c r="B33" t="s">
        <v>218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 x14ac:dyDescent="0.25">
      <c r="A34" s="9" t="s">
        <v>333</v>
      </c>
      <c r="B34" t="s">
        <v>219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 x14ac:dyDescent="0.25">
      <c r="A35" s="9" t="s">
        <v>333</v>
      </c>
      <c r="B35" t="s">
        <v>198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 x14ac:dyDescent="0.25">
      <c r="A36" s="9" t="s">
        <v>333</v>
      </c>
      <c r="B36" t="s">
        <v>208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 x14ac:dyDescent="0.25">
      <c r="A37" s="9" t="s">
        <v>333</v>
      </c>
      <c r="B37" t="s">
        <v>209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 x14ac:dyDescent="0.25">
      <c r="A38" s="9" t="s">
        <v>333</v>
      </c>
      <c r="B38" t="s">
        <v>199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 x14ac:dyDescent="0.25">
      <c r="A39" s="9" t="s">
        <v>333</v>
      </c>
      <c r="B39" t="s">
        <v>200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 x14ac:dyDescent="0.25">
      <c r="A40" s="9" t="s">
        <v>333</v>
      </c>
      <c r="B40" t="s">
        <v>201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 x14ac:dyDescent="0.25">
      <c r="A41" s="9" t="s">
        <v>333</v>
      </c>
      <c r="B41" t="s">
        <v>202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 x14ac:dyDescent="0.25">
      <c r="A42" s="9" t="s">
        <v>333</v>
      </c>
      <c r="B42" t="s">
        <v>203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 x14ac:dyDescent="0.25">
      <c r="A43" s="9" t="s">
        <v>333</v>
      </c>
      <c r="B43" t="s">
        <v>204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x14ac:dyDescent="0.25">
      <c r="A44" s="9" t="s">
        <v>333</v>
      </c>
      <c r="B44" t="s">
        <v>232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 x14ac:dyDescent="0.25">
      <c r="A45" s="9" t="s">
        <v>333</v>
      </c>
      <c r="B45" t="s">
        <v>220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 x14ac:dyDescent="0.25">
      <c r="A46" s="9" t="s">
        <v>333</v>
      </c>
      <c r="B46" t="s">
        <v>221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 x14ac:dyDescent="0.25">
      <c r="A47" s="9" t="s">
        <v>333</v>
      </c>
      <c r="B47" t="s">
        <v>222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 x14ac:dyDescent="0.25">
      <c r="A48" s="9" t="s">
        <v>333</v>
      </c>
      <c r="B48" t="s">
        <v>205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 x14ac:dyDescent="0.25">
      <c r="A49" s="9" t="s">
        <v>333</v>
      </c>
      <c r="B49" t="s">
        <v>210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 x14ac:dyDescent="0.25">
      <c r="A50" s="9" t="s">
        <v>333</v>
      </c>
      <c r="B50" t="s">
        <v>206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 x14ac:dyDescent="0.25">
      <c r="A51" s="9" t="s">
        <v>333</v>
      </c>
      <c r="B51" t="s">
        <v>213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 x14ac:dyDescent="0.25">
      <c r="A52" s="9" t="s">
        <v>333</v>
      </c>
      <c r="B52" t="s">
        <v>211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 x14ac:dyDescent="0.25">
      <c r="A53" s="9" t="s">
        <v>333</v>
      </c>
      <c r="B53" t="s">
        <v>212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 x14ac:dyDescent="0.25">
      <c r="A54" s="9" t="s">
        <v>333</v>
      </c>
      <c r="B54" t="s">
        <v>223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 x14ac:dyDescent="0.25">
      <c r="A55" s="9" t="s">
        <v>333</v>
      </c>
      <c r="B55" t="s">
        <v>214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 x14ac:dyDescent="0.25">
      <c r="A56" s="9" t="s">
        <v>333</v>
      </c>
      <c r="B56" t="s">
        <v>226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 x14ac:dyDescent="0.25">
      <c r="A57" s="9" t="s">
        <v>333</v>
      </c>
      <c r="B57" t="s">
        <v>227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 x14ac:dyDescent="0.25">
      <c r="A58" s="9" t="s">
        <v>333</v>
      </c>
      <c r="B58" t="s">
        <v>228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 x14ac:dyDescent="0.25">
      <c r="A59" s="9" t="s">
        <v>333</v>
      </c>
      <c r="B59" t="s">
        <v>229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 x14ac:dyDescent="0.25">
      <c r="A60" s="9" t="s">
        <v>333</v>
      </c>
      <c r="B60" t="s">
        <v>230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 x14ac:dyDescent="0.25">
      <c r="A61" s="9" t="s">
        <v>333</v>
      </c>
      <c r="B61" t="s">
        <v>231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 x14ac:dyDescent="0.25">
      <c r="A62" s="9" t="s">
        <v>333</v>
      </c>
      <c r="B62" t="s">
        <v>238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 x14ac:dyDescent="0.25">
      <c r="A63" s="9" t="s">
        <v>333</v>
      </c>
      <c r="B63" t="s">
        <v>238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 x14ac:dyDescent="0.25">
      <c r="A64" s="9" t="s">
        <v>333</v>
      </c>
      <c r="B64" t="s">
        <v>238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 x14ac:dyDescent="0.25">
      <c r="A65" s="9" t="s">
        <v>333</v>
      </c>
      <c r="B65" t="s">
        <v>238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 x14ac:dyDescent="0.25">
      <c r="A66" s="9" t="s">
        <v>333</v>
      </c>
      <c r="B66" t="s">
        <v>239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 x14ac:dyDescent="0.25">
      <c r="A67" s="9" t="s">
        <v>333</v>
      </c>
      <c r="B67" t="s">
        <v>251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 x14ac:dyDescent="0.25">
      <c r="A68" s="9" t="s">
        <v>333</v>
      </c>
      <c r="B68" t="s">
        <v>245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 x14ac:dyDescent="0.25">
      <c r="A69" s="9" t="s">
        <v>333</v>
      </c>
      <c r="B69" t="s">
        <v>246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 x14ac:dyDescent="0.25">
      <c r="A70" s="9" t="s">
        <v>333</v>
      </c>
      <c r="B70" t="s">
        <v>252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 x14ac:dyDescent="0.25">
      <c r="A71" s="9" t="s">
        <v>333</v>
      </c>
      <c r="B71" t="s">
        <v>243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 x14ac:dyDescent="0.25">
      <c r="A72" s="9" t="s">
        <v>333</v>
      </c>
      <c r="B72" t="s">
        <v>244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25">
      <c r="A73" s="9" t="s">
        <v>333</v>
      </c>
      <c r="B73" t="s">
        <v>247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 x14ac:dyDescent="0.25">
      <c r="A74" s="9" t="s">
        <v>333</v>
      </c>
      <c r="B74" t="s">
        <v>248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 x14ac:dyDescent="0.25">
      <c r="A75" s="9" t="s">
        <v>333</v>
      </c>
      <c r="B75" t="s">
        <v>240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 x14ac:dyDescent="0.25">
      <c r="A76" s="9" t="s">
        <v>333</v>
      </c>
      <c r="B76" t="s">
        <v>241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 x14ac:dyDescent="0.25">
      <c r="A77" s="9" t="s">
        <v>333</v>
      </c>
      <c r="B77" t="s">
        <v>242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 x14ac:dyDescent="0.25">
      <c r="A78" s="9" t="s">
        <v>333</v>
      </c>
      <c r="B78" t="s">
        <v>249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 x14ac:dyDescent="0.25">
      <c r="A79" s="9" t="s">
        <v>333</v>
      </c>
      <c r="B79" t="s">
        <v>250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 x14ac:dyDescent="0.25">
      <c r="A80" s="9"/>
    </row>
    <row r="81" spans="1:2" x14ac:dyDescent="0.25">
      <c r="A81" s="9"/>
      <c r="B81" s="1"/>
    </row>
    <row r="82" spans="1:2" x14ac:dyDescent="0.25">
      <c r="A82" s="9"/>
      <c r="B82" s="1"/>
    </row>
    <row r="83" spans="1:2" x14ac:dyDescent="0.25">
      <c r="A83" s="9"/>
      <c r="B83" s="1"/>
    </row>
    <row r="84" spans="1:2" x14ac:dyDescent="0.25">
      <c r="A84" s="9"/>
    </row>
    <row r="85" spans="1:2" x14ac:dyDescent="0.25">
      <c r="A85" s="9"/>
    </row>
  </sheetData>
  <dataValidations count="2">
    <dataValidation type="list" allowBlank="1" showInputMessage="1" showErrorMessage="1" sqref="B12 B82:C82 C6:C81 C83:C102" xr:uid="{00000000-0002-0000-0900-000000000000}">
      <formula1>Technologies</formula1>
    </dataValidation>
    <dataValidation type="list" allowBlank="1" showInputMessage="1" showErrorMessage="1" sqref="A6:A85" xr:uid="{00000000-0002-0000-0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37"/>
  <dimension ref="A1:C10"/>
  <sheetViews>
    <sheetView workbookViewId="0">
      <selection activeCell="G25" sqref="G25"/>
    </sheetView>
  </sheetViews>
  <sheetFormatPr defaultColWidth="11.42578125" defaultRowHeight="15" x14ac:dyDescent="0.25"/>
  <cols>
    <col min="1" max="1" width="17.7109375" customWidth="1"/>
  </cols>
  <sheetData>
    <row r="1" spans="1:3" x14ac:dyDescent="0.25">
      <c r="A1" t="s">
        <v>307</v>
      </c>
    </row>
    <row r="2" spans="1:3" x14ac:dyDescent="0.25">
      <c r="A2" t="s">
        <v>282</v>
      </c>
    </row>
    <row r="3" spans="1:3" x14ac:dyDescent="0.25">
      <c r="A3" t="s">
        <v>308</v>
      </c>
    </row>
    <row r="5" spans="1:3" x14ac:dyDescent="0.25">
      <c r="A5" t="s">
        <v>146</v>
      </c>
      <c r="B5" t="s">
        <v>0</v>
      </c>
      <c r="C5">
        <v>9.4600000000000004E-2</v>
      </c>
    </row>
    <row r="6" spans="1:3" x14ac:dyDescent="0.25">
      <c r="A6" t="s">
        <v>147</v>
      </c>
      <c r="B6" t="s">
        <v>0</v>
      </c>
      <c r="C6">
        <v>0.10100000000000001</v>
      </c>
    </row>
    <row r="7" spans="1:3" x14ac:dyDescent="0.25">
      <c r="A7" t="s">
        <v>186</v>
      </c>
      <c r="B7" t="s">
        <v>0</v>
      </c>
      <c r="C7">
        <v>5.6099999999999997E-2</v>
      </c>
    </row>
    <row r="8" spans="1:3" x14ac:dyDescent="0.25">
      <c r="A8" t="s">
        <v>133</v>
      </c>
      <c r="B8" t="s">
        <v>0</v>
      </c>
      <c r="C8">
        <v>7.3300000000000004E-2</v>
      </c>
    </row>
    <row r="9" spans="1:3" x14ac:dyDescent="0.25">
      <c r="A9" t="s">
        <v>136</v>
      </c>
      <c r="B9" t="s">
        <v>0</v>
      </c>
      <c r="C9">
        <v>0.11</v>
      </c>
    </row>
    <row r="10" spans="1:3" x14ac:dyDescent="0.25">
      <c r="A10" t="s">
        <v>255</v>
      </c>
      <c r="B10" t="s">
        <v>0</v>
      </c>
      <c r="C10">
        <v>1</v>
      </c>
    </row>
  </sheetData>
  <dataValidations count="1">
    <dataValidation type="list" allowBlank="1" showInputMessage="1" showErrorMessage="1" sqref="A12:A16 A22:A24 B12:B14 A18:A20 B18:B25 B5:B8 A10:B10 A5:A7" xr:uid="{00000000-0002-0000-0A00-000000000000}">
      <formula1>Technologies</formula1>
    </dataValidation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39"/>
  <dimension ref="A1:I41"/>
  <sheetViews>
    <sheetView workbookViewId="0">
      <selection activeCell="A6" sqref="A6"/>
    </sheetView>
  </sheetViews>
  <sheetFormatPr defaultColWidth="11.42578125" defaultRowHeight="15" x14ac:dyDescent="0.25"/>
  <cols>
    <col min="1" max="1" width="17.42578125" customWidth="1"/>
  </cols>
  <sheetData>
    <row r="1" spans="1:9" x14ac:dyDescent="0.25">
      <c r="A1" t="s">
        <v>310</v>
      </c>
    </row>
    <row r="2" spans="1:9" x14ac:dyDescent="0.25">
      <c r="A2" t="s">
        <v>283</v>
      </c>
    </row>
    <row r="3" spans="1:9" x14ac:dyDescent="0.25">
      <c r="A3" t="s">
        <v>309</v>
      </c>
    </row>
    <row r="5" spans="1:9" x14ac:dyDescent="0.25">
      <c r="A5" t="s">
        <v>15</v>
      </c>
      <c r="B5">
        <v>2018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 x14ac:dyDescent="0.25">
      <c r="A6" s="10" t="s">
        <v>333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 x14ac:dyDescent="0.25">
      <c r="A7" s="10"/>
    </row>
    <row r="8" spans="1:9" x14ac:dyDescent="0.25">
      <c r="A8" s="10"/>
    </row>
    <row r="9" spans="1:9" x14ac:dyDescent="0.25">
      <c r="A9" s="10"/>
    </row>
    <row r="10" spans="1:9" x14ac:dyDescent="0.25">
      <c r="A10" s="10"/>
    </row>
    <row r="11" spans="1:9" x14ac:dyDescent="0.25">
      <c r="A11" s="10"/>
    </row>
    <row r="12" spans="1:9" x14ac:dyDescent="0.25">
      <c r="A12" s="10"/>
    </row>
    <row r="13" spans="1:9" x14ac:dyDescent="0.25">
      <c r="A13" s="10"/>
    </row>
    <row r="14" spans="1:9" x14ac:dyDescent="0.25">
      <c r="A14" s="10"/>
    </row>
    <row r="15" spans="1:9" x14ac:dyDescent="0.25">
      <c r="A15" s="10"/>
    </row>
    <row r="16" spans="1:9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  <row r="21" spans="1:1" x14ac:dyDescent="0.25">
      <c r="A21" s="10"/>
    </row>
    <row r="22" spans="1:1" x14ac:dyDescent="0.25">
      <c r="A22" s="10"/>
    </row>
    <row r="23" spans="1:1" x14ac:dyDescent="0.25">
      <c r="A23" s="10"/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x14ac:dyDescent="0.25">
      <c r="A27" s="10"/>
    </row>
    <row r="28" spans="1:1" x14ac:dyDescent="0.25">
      <c r="A28" s="10"/>
    </row>
    <row r="29" spans="1:1" x14ac:dyDescent="0.25">
      <c r="A29" s="10"/>
    </row>
    <row r="30" spans="1:1" x14ac:dyDescent="0.25">
      <c r="A30" s="10"/>
    </row>
    <row r="31" spans="1:1" x14ac:dyDescent="0.25">
      <c r="A31" s="10"/>
    </row>
    <row r="32" spans="1:1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8"/>
  <dimension ref="A1:J15"/>
  <sheetViews>
    <sheetView workbookViewId="0">
      <selection activeCell="E19" sqref="E19"/>
    </sheetView>
  </sheetViews>
  <sheetFormatPr defaultColWidth="11.42578125" defaultRowHeight="15" x14ac:dyDescent="0.25"/>
  <cols>
    <col min="1" max="1" width="15.140625" customWidth="1"/>
  </cols>
  <sheetData>
    <row r="1" spans="1:10" x14ac:dyDescent="0.25">
      <c r="A1" t="s">
        <v>311</v>
      </c>
    </row>
    <row r="2" spans="1:10" x14ac:dyDescent="0.25">
      <c r="A2" t="s">
        <v>6</v>
      </c>
    </row>
    <row r="3" spans="1:10" x14ac:dyDescent="0.25">
      <c r="A3" t="s">
        <v>303</v>
      </c>
    </row>
    <row r="5" spans="1:10" x14ac:dyDescent="0.25">
      <c r="A5" t="s">
        <v>15</v>
      </c>
      <c r="B5" t="s">
        <v>16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 x14ac:dyDescent="0.25">
      <c r="A6" s="29" t="s">
        <v>333</v>
      </c>
      <c r="B6" t="s">
        <v>30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 s="9"/>
    </row>
    <row r="8" spans="1:10" x14ac:dyDescent="0.25">
      <c r="A8" s="9"/>
    </row>
    <row r="9" spans="1:10" x14ac:dyDescent="0.25">
      <c r="A9" s="9"/>
    </row>
    <row r="10" spans="1:10" x14ac:dyDescent="0.25">
      <c r="A10" s="9"/>
    </row>
    <row r="11" spans="1:10" x14ac:dyDescent="0.25">
      <c r="A11" s="9"/>
    </row>
    <row r="12" spans="1:10" x14ac:dyDescent="0.25">
      <c r="A12" s="9"/>
    </row>
    <row r="13" spans="1:10" x14ac:dyDescent="0.25">
      <c r="A13" s="9"/>
    </row>
    <row r="14" spans="1:10" x14ac:dyDescent="0.25">
      <c r="A14" s="9"/>
    </row>
    <row r="15" spans="1:10" x14ac:dyDescent="0.25">
      <c r="A15" s="9"/>
    </row>
  </sheetData>
  <dataValidations count="1">
    <dataValidation type="list" allowBlank="1" showInputMessage="1" showErrorMessage="1" sqref="B6:B38" xr:uid="{00000000-0002-0000-0C00-000000000000}">
      <formula1>Fuels</formula1>
    </dataValidation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22"/>
  <dimension ref="A1:J15"/>
  <sheetViews>
    <sheetView workbookViewId="0">
      <selection activeCell="F24" sqref="F24"/>
    </sheetView>
  </sheetViews>
  <sheetFormatPr defaultColWidth="11.42578125" defaultRowHeight="15" x14ac:dyDescent="0.25"/>
  <cols>
    <col min="2" max="2" width="19" bestFit="1" customWidth="1"/>
  </cols>
  <sheetData>
    <row r="1" spans="1:10" x14ac:dyDescent="0.25">
      <c r="A1" t="s">
        <v>312</v>
      </c>
    </row>
    <row r="2" spans="1:10" x14ac:dyDescent="0.25">
      <c r="A2" t="s">
        <v>7</v>
      </c>
    </row>
    <row r="3" spans="1:10" ht="15.75" customHeight="1" x14ac:dyDescent="0.25">
      <c r="A3" t="s">
        <v>304</v>
      </c>
    </row>
    <row r="4" spans="1:10" ht="15.75" customHeight="1" x14ac:dyDescent="0.25"/>
    <row r="5" spans="1:10" x14ac:dyDescent="0.25">
      <c r="A5" t="s">
        <v>15</v>
      </c>
      <c r="B5" t="s">
        <v>21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 x14ac:dyDescent="0.25">
      <c r="A6" t="s">
        <v>333</v>
      </c>
      <c r="B6" t="s">
        <v>129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5">
      <c r="A7" t="s">
        <v>333</v>
      </c>
      <c r="B7" t="s">
        <v>130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 t="s">
        <v>333</v>
      </c>
      <c r="B8" t="s">
        <v>128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 t="s">
        <v>333</v>
      </c>
      <c r="B9" t="s">
        <v>180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 t="s">
        <v>333</v>
      </c>
      <c r="B10" t="s">
        <v>17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 t="s">
        <v>333</v>
      </c>
      <c r="B11" t="s">
        <v>50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 t="s">
        <v>333</v>
      </c>
      <c r="B12" t="s">
        <v>115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 s="9" t="s">
        <v>333</v>
      </c>
      <c r="B13" t="s">
        <v>242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 s="9"/>
    </row>
    <row r="15" spans="1:10" x14ac:dyDescent="0.25">
      <c r="A15" s="9"/>
    </row>
  </sheetData>
  <dataValidations count="2">
    <dataValidation type="list" allowBlank="1" showInputMessage="1" showErrorMessage="1" sqref="B12" xr:uid="{00000000-0002-0000-0D00-000000000000}">
      <formula1>Technologies</formula1>
    </dataValidation>
    <dataValidation type="list" allowBlank="1" showInputMessage="1" showErrorMessage="1" sqref="A13:A15" xr:uid="{00000000-0002-0000-0D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0"/>
  <dimension ref="A1:M201"/>
  <sheetViews>
    <sheetView topLeftCell="A168" workbookViewId="0">
      <selection activeCell="L202" sqref="L202"/>
    </sheetView>
  </sheetViews>
  <sheetFormatPr defaultColWidth="11.42578125" defaultRowHeight="15" x14ac:dyDescent="0.25"/>
  <cols>
    <col min="1" max="1" width="22.42578125" style="5" customWidth="1"/>
    <col min="2" max="2" width="27.85546875" style="5" bestFit="1" customWidth="1"/>
    <col min="3" max="3" width="24.28515625" style="5" customWidth="1"/>
    <col min="4" max="4" width="19.7109375" style="5" bestFit="1" customWidth="1"/>
    <col min="5" max="5" width="12.5703125" style="5" bestFit="1" customWidth="1"/>
    <col min="6" max="12" width="11.42578125" style="5"/>
    <col min="13" max="13" width="3.42578125" style="5" customWidth="1"/>
    <col min="14" max="16384" width="11.42578125" style="5"/>
  </cols>
  <sheetData>
    <row r="1" spans="1:12" x14ac:dyDescent="0.25">
      <c r="A1" t="s">
        <v>313</v>
      </c>
    </row>
    <row r="2" spans="1:12" x14ac:dyDescent="0.25">
      <c r="A2" t="s">
        <v>285</v>
      </c>
    </row>
    <row r="3" spans="1:12" x14ac:dyDescent="0.25">
      <c r="A3" t="s">
        <v>304</v>
      </c>
    </row>
    <row r="5" spans="1:12" x14ac:dyDescent="0.25">
      <c r="A5" t="s">
        <v>15</v>
      </c>
      <c r="B5" t="s">
        <v>21</v>
      </c>
      <c r="C5" t="s">
        <v>16</v>
      </c>
      <c r="D5" t="s">
        <v>284</v>
      </c>
      <c r="E5" s="26">
        <v>2018</v>
      </c>
      <c r="F5" s="26">
        <v>2020</v>
      </c>
      <c r="G5" s="26">
        <v>2025</v>
      </c>
      <c r="H5" s="26">
        <v>2030</v>
      </c>
      <c r="I5" s="26">
        <v>2035</v>
      </c>
      <c r="J5" s="26">
        <v>2040</v>
      </c>
      <c r="K5" s="26">
        <v>2045</v>
      </c>
      <c r="L5" s="26">
        <v>2050</v>
      </c>
    </row>
    <row r="6" spans="1:12" x14ac:dyDescent="0.25">
      <c r="A6" t="s">
        <v>333</v>
      </c>
      <c r="B6" s="5" t="s">
        <v>97</v>
      </c>
      <c r="C6" s="5" t="s">
        <v>146</v>
      </c>
      <c r="D6" s="5">
        <v>1</v>
      </c>
      <c r="E6" s="5">
        <v>2.5641025641025639</v>
      </c>
      <c r="F6" s="5">
        <v>2.4390243902439024</v>
      </c>
      <c r="G6" s="5">
        <v>2.4096385542168677</v>
      </c>
      <c r="H6" s="5">
        <v>2.3809523809523809</v>
      </c>
      <c r="I6" s="5">
        <v>2.3529411764705883</v>
      </c>
      <c r="J6" s="5">
        <v>2.3255813953488373</v>
      </c>
      <c r="K6" s="5">
        <v>2.3255813953488373</v>
      </c>
      <c r="L6" s="5">
        <v>2.3255813953488373</v>
      </c>
    </row>
    <row r="7" spans="1:12" x14ac:dyDescent="0.25">
      <c r="A7" t="s">
        <v>333</v>
      </c>
      <c r="B7" s="5" t="s">
        <v>98</v>
      </c>
      <c r="C7" s="5" t="s">
        <v>147</v>
      </c>
      <c r="D7" s="5">
        <v>1</v>
      </c>
      <c r="E7" s="5">
        <v>2.5641025641025639</v>
      </c>
      <c r="F7" s="5">
        <v>2.4390243902439024</v>
      </c>
      <c r="G7" s="5">
        <v>2.4096385542168677</v>
      </c>
      <c r="H7" s="5">
        <v>2.3809523809523809</v>
      </c>
      <c r="I7" s="5">
        <v>2.3529411764705883</v>
      </c>
      <c r="J7" s="5">
        <v>2.3255813953488373</v>
      </c>
      <c r="K7" s="5">
        <v>2.3255813953488373</v>
      </c>
      <c r="L7" s="5">
        <v>2.3255813953488373</v>
      </c>
    </row>
    <row r="8" spans="1:12" x14ac:dyDescent="0.25">
      <c r="A8" t="s">
        <v>333</v>
      </c>
      <c r="B8" s="5" t="s">
        <v>99</v>
      </c>
      <c r="C8" s="5" t="s">
        <v>186</v>
      </c>
      <c r="D8" s="5">
        <v>1</v>
      </c>
      <c r="E8" s="5">
        <v>1.7543859649122808</v>
      </c>
      <c r="F8" s="5">
        <v>1.6949152542372883</v>
      </c>
      <c r="G8" s="5">
        <v>1.6666666666666667</v>
      </c>
      <c r="H8" s="5">
        <v>1.639344262295082</v>
      </c>
      <c r="I8" s="5">
        <v>1.6260162601626016</v>
      </c>
      <c r="J8" s="5">
        <v>1.6129032258064517</v>
      </c>
      <c r="K8" s="5">
        <v>1.6</v>
      </c>
      <c r="L8" s="5">
        <v>1.5873015873015872</v>
      </c>
    </row>
    <row r="9" spans="1:12" x14ac:dyDescent="0.25">
      <c r="A9" t="s">
        <v>333</v>
      </c>
      <c r="B9" s="5" t="s">
        <v>100</v>
      </c>
      <c r="C9" t="s">
        <v>134</v>
      </c>
      <c r="D9" s="5">
        <v>1</v>
      </c>
      <c r="E9" s="5">
        <v>2.7027027027027026</v>
      </c>
      <c r="F9" s="5">
        <v>2.7027027027027026</v>
      </c>
      <c r="G9" s="5">
        <v>2.6666666666666665</v>
      </c>
      <c r="H9" s="5">
        <v>2.6315789473684212</v>
      </c>
      <c r="I9" s="5">
        <v>2.5</v>
      </c>
      <c r="J9" s="5">
        <v>2.3809523809523809</v>
      </c>
      <c r="K9" s="5">
        <v>2.3809523809523809</v>
      </c>
      <c r="L9" s="5">
        <v>2.3809523809523809</v>
      </c>
    </row>
    <row r="10" spans="1:12" x14ac:dyDescent="0.25">
      <c r="A10" t="s">
        <v>333</v>
      </c>
      <c r="B10" t="s">
        <v>149</v>
      </c>
      <c r="C10" t="s">
        <v>136</v>
      </c>
      <c r="D10" s="5">
        <v>1</v>
      </c>
      <c r="E10" s="5">
        <v>3.3333333333333335</v>
      </c>
      <c r="F10" s="5">
        <v>3.125</v>
      </c>
      <c r="G10" s="5">
        <v>3.0769230769230766</v>
      </c>
      <c r="H10" s="5">
        <v>3.0303030303030303</v>
      </c>
      <c r="I10" s="5">
        <v>2.9850746268656714</v>
      </c>
      <c r="J10" s="5">
        <v>2.9411764705882351</v>
      </c>
      <c r="K10" s="5">
        <v>2.8985507246376816</v>
      </c>
      <c r="L10" s="5">
        <v>2.8571428571428572</v>
      </c>
    </row>
    <row r="11" spans="1:12" x14ac:dyDescent="0.25">
      <c r="A11" t="s">
        <v>333</v>
      </c>
      <c r="B11" t="s">
        <v>129</v>
      </c>
      <c r="C11" t="s">
        <v>19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</row>
    <row r="12" spans="1:12" x14ac:dyDescent="0.25">
      <c r="A12" t="s">
        <v>333</v>
      </c>
      <c r="B12" t="s">
        <v>130</v>
      </c>
      <c r="C12" s="5" t="s">
        <v>19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</row>
    <row r="13" spans="1:12" x14ac:dyDescent="0.25">
      <c r="A13" t="s">
        <v>333</v>
      </c>
      <c r="B13" s="5" t="s">
        <v>142</v>
      </c>
      <c r="C13" s="5" t="s">
        <v>135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</row>
    <row r="14" spans="1:12" x14ac:dyDescent="0.25">
      <c r="A14" t="s">
        <v>333</v>
      </c>
      <c r="B14" s="5" t="s">
        <v>143</v>
      </c>
      <c r="C14" s="5" t="s">
        <v>186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</row>
    <row r="15" spans="1:12" x14ac:dyDescent="0.25">
      <c r="A15" t="s">
        <v>333</v>
      </c>
      <c r="B15" s="11" t="s">
        <v>234</v>
      </c>
      <c r="C15" s="5" t="s">
        <v>195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</row>
    <row r="16" spans="1:12" x14ac:dyDescent="0.25">
      <c r="A16" t="s">
        <v>333</v>
      </c>
      <c r="B16" s="11" t="s">
        <v>236</v>
      </c>
      <c r="C16" s="5" t="s">
        <v>260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</row>
    <row r="17" spans="1:12" x14ac:dyDescent="0.25">
      <c r="A17" t="s">
        <v>333</v>
      </c>
      <c r="B17" s="11" t="s">
        <v>128</v>
      </c>
      <c r="C17" s="5" t="s">
        <v>19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</row>
    <row r="18" spans="1:12" x14ac:dyDescent="0.25">
      <c r="A18" t="s">
        <v>333</v>
      </c>
      <c r="B18" s="11" t="s">
        <v>132</v>
      </c>
      <c r="C18" s="5" t="s">
        <v>19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</row>
    <row r="19" spans="1:12" x14ac:dyDescent="0.25">
      <c r="A19" t="s">
        <v>333</v>
      </c>
      <c r="B19" s="11" t="s">
        <v>180</v>
      </c>
      <c r="C19" s="5" t="s">
        <v>19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</row>
    <row r="20" spans="1:12" x14ac:dyDescent="0.25">
      <c r="A20" t="s">
        <v>333</v>
      </c>
      <c r="B20" s="11" t="s">
        <v>123</v>
      </c>
      <c r="C20" s="5" t="s">
        <v>133</v>
      </c>
      <c r="D20" s="5">
        <v>1</v>
      </c>
      <c r="E20" s="5">
        <v>0.15977443609022557</v>
      </c>
      <c r="F20" s="5">
        <v>0.15776047261009665</v>
      </c>
      <c r="G20" s="5">
        <v>0.15574650912996779</v>
      </c>
      <c r="H20" s="5">
        <v>0.15373254564983888</v>
      </c>
      <c r="I20" s="5">
        <v>0.15171858216970999</v>
      </c>
      <c r="J20" s="5">
        <v>0.1497046186895811</v>
      </c>
      <c r="K20" s="5">
        <v>0.14769065520945221</v>
      </c>
      <c r="L20" s="5">
        <v>0.14567669172932332</v>
      </c>
    </row>
    <row r="21" spans="1:12" x14ac:dyDescent="0.25">
      <c r="A21" t="s">
        <v>333</v>
      </c>
      <c r="B21" s="11" t="s">
        <v>124</v>
      </c>
      <c r="C21" t="s">
        <v>19</v>
      </c>
      <c r="D21" s="5">
        <v>1</v>
      </c>
      <c r="E21" s="5">
        <v>9.3984962406015032E-2</v>
      </c>
      <c r="F21" s="5">
        <v>9.1702470461868954E-2</v>
      </c>
      <c r="G21" s="5">
        <v>8.9419978517722876E-2</v>
      </c>
      <c r="H21" s="5">
        <v>8.7137486573576783E-2</v>
      </c>
      <c r="I21" s="5">
        <v>8.4854994629430719E-2</v>
      </c>
      <c r="J21" s="5">
        <v>8.2572502685284641E-2</v>
      </c>
      <c r="K21" s="5">
        <v>8.0290010741138562E-2</v>
      </c>
      <c r="L21" s="5">
        <v>7.8007518796992484E-2</v>
      </c>
    </row>
    <row r="22" spans="1:12" x14ac:dyDescent="0.25">
      <c r="A22" t="s">
        <v>333</v>
      </c>
      <c r="B22" s="11" t="s">
        <v>165</v>
      </c>
      <c r="C22" s="5" t="s">
        <v>19</v>
      </c>
      <c r="D22" s="5">
        <v>1</v>
      </c>
      <c r="E22" s="5">
        <v>0.10984285714285714</v>
      </c>
      <c r="F22" s="5">
        <v>0.10513530612244897</v>
      </c>
      <c r="G22" s="5">
        <v>0.10042775510204083</v>
      </c>
      <c r="H22" s="5">
        <v>9.5720204081632648E-2</v>
      </c>
      <c r="I22" s="5">
        <v>9.1012653061224483E-2</v>
      </c>
      <c r="J22" s="5">
        <v>8.6305102040816317E-2</v>
      </c>
      <c r="K22" s="5">
        <v>8.1597551020408152E-2</v>
      </c>
      <c r="L22" s="5">
        <v>7.689E-2</v>
      </c>
    </row>
    <row r="23" spans="1:12" x14ac:dyDescent="0.25">
      <c r="A23" t="s">
        <v>333</v>
      </c>
      <c r="B23" s="11" t="s">
        <v>118</v>
      </c>
      <c r="C23" s="5" t="s">
        <v>19</v>
      </c>
      <c r="D23" s="5">
        <v>1</v>
      </c>
      <c r="E23" s="5">
        <v>0.59499999999999997</v>
      </c>
      <c r="F23" s="5">
        <v>0.59250000000000003</v>
      </c>
      <c r="G23" s="5">
        <v>0.59166666666666667</v>
      </c>
      <c r="H23" s="5">
        <v>0.59145833333333342</v>
      </c>
      <c r="I23" s="5">
        <v>0.59135416666666674</v>
      </c>
      <c r="J23" s="5">
        <v>0.59130208333333334</v>
      </c>
      <c r="K23" s="5">
        <v>0.5912760416666667</v>
      </c>
      <c r="L23" s="5">
        <v>0.59125000000000005</v>
      </c>
    </row>
    <row r="24" spans="1:12" x14ac:dyDescent="0.25">
      <c r="A24" t="s">
        <v>333</v>
      </c>
      <c r="B24" s="11" t="s">
        <v>53</v>
      </c>
      <c r="C24" s="5" t="s">
        <v>135</v>
      </c>
      <c r="D24" s="5">
        <v>1</v>
      </c>
      <c r="E24" s="5">
        <v>0.59699999999999998</v>
      </c>
      <c r="F24" s="5">
        <v>0.59471428571428564</v>
      </c>
      <c r="G24" s="5">
        <v>0.59242857142857142</v>
      </c>
      <c r="H24" s="5">
        <v>0.59014285714285708</v>
      </c>
      <c r="I24" s="5">
        <v>0.58785714285714286</v>
      </c>
      <c r="J24" s="5">
        <v>0.58557142857142852</v>
      </c>
      <c r="K24" s="5">
        <v>0.58328571428571419</v>
      </c>
      <c r="L24" s="5">
        <v>0.58099999999999996</v>
      </c>
    </row>
    <row r="25" spans="1:12" x14ac:dyDescent="0.25">
      <c r="A25" t="s">
        <v>333</v>
      </c>
      <c r="B25" s="11" t="s">
        <v>119</v>
      </c>
      <c r="C25" t="s">
        <v>133</v>
      </c>
      <c r="D25" s="5">
        <v>1</v>
      </c>
      <c r="E25" s="5">
        <v>0.63600000000000001</v>
      </c>
      <c r="F25" s="5">
        <v>0.62946938775510208</v>
      </c>
      <c r="G25" s="5">
        <v>0.62293877551020405</v>
      </c>
      <c r="H25" s="5">
        <v>0.61640816326530612</v>
      </c>
      <c r="I25" s="5">
        <v>0.60987755102040819</v>
      </c>
      <c r="J25" s="5">
        <v>0.60334693877551016</v>
      </c>
      <c r="K25" s="5">
        <v>0.59681632653061223</v>
      </c>
      <c r="L25" s="5">
        <v>0.5902857142857143</v>
      </c>
    </row>
    <row r="26" spans="1:12" x14ac:dyDescent="0.25">
      <c r="A26" t="s">
        <v>333</v>
      </c>
      <c r="B26" s="11" t="s">
        <v>119</v>
      </c>
      <c r="C26" t="s">
        <v>259</v>
      </c>
      <c r="D26" s="5">
        <v>2</v>
      </c>
      <c r="E26" s="5">
        <v>0.76319999999999999</v>
      </c>
      <c r="F26" s="5">
        <v>0.76319999999999999</v>
      </c>
      <c r="G26" s="5">
        <v>0.76319999999999999</v>
      </c>
      <c r="H26" s="5">
        <v>0.76319999999999999</v>
      </c>
      <c r="I26" s="5">
        <v>0.76319999999999999</v>
      </c>
      <c r="J26" s="5">
        <v>0.76319999999999999</v>
      </c>
      <c r="K26" s="5">
        <v>0.76319999999999999</v>
      </c>
      <c r="L26" s="5">
        <v>0.76319999999999999</v>
      </c>
    </row>
    <row r="27" spans="1:12" x14ac:dyDescent="0.25">
      <c r="A27" t="s">
        <v>333</v>
      </c>
      <c r="B27" s="11" t="s">
        <v>120</v>
      </c>
      <c r="C27" s="5" t="s">
        <v>19</v>
      </c>
      <c r="D27" s="5">
        <v>1</v>
      </c>
      <c r="E27" s="5">
        <v>0.12428214285714301</v>
      </c>
      <c r="F27" s="5">
        <v>0.12324147959183686</v>
      </c>
      <c r="G27" s="5">
        <v>0.12220081632653071</v>
      </c>
      <c r="H27" s="5">
        <v>0.12116015306122457</v>
      </c>
      <c r="I27" s="5">
        <v>0.12011948979591842</v>
      </c>
      <c r="J27" s="5">
        <v>0.11907882653061228</v>
      </c>
      <c r="K27" s="5">
        <v>0.11803816326530614</v>
      </c>
      <c r="L27" s="5">
        <v>0.1169975</v>
      </c>
    </row>
    <row r="28" spans="1:12" x14ac:dyDescent="0.25">
      <c r="A28" t="s">
        <v>333</v>
      </c>
      <c r="B28" s="5" t="s">
        <v>120</v>
      </c>
      <c r="C28" s="5" t="s">
        <v>133</v>
      </c>
      <c r="D28" s="5">
        <v>1</v>
      </c>
      <c r="E28" s="5">
        <v>0.49712857142857203</v>
      </c>
      <c r="F28" s="5">
        <v>0.49296591836734743</v>
      </c>
      <c r="G28" s="5">
        <v>0.48880326530612284</v>
      </c>
      <c r="H28" s="5">
        <v>0.48464061224489829</v>
      </c>
      <c r="I28" s="5">
        <v>0.4804779591836737</v>
      </c>
      <c r="J28" s="5">
        <v>0.4763153061224491</v>
      </c>
      <c r="K28" s="5">
        <v>0.47215265306122456</v>
      </c>
      <c r="L28" s="5">
        <v>0.46799000000000002</v>
      </c>
    </row>
    <row r="29" spans="1:12" x14ac:dyDescent="0.25">
      <c r="A29" t="s">
        <v>333</v>
      </c>
      <c r="B29" s="5" t="s">
        <v>120</v>
      </c>
      <c r="C29" s="5" t="s">
        <v>19</v>
      </c>
      <c r="D29" s="5">
        <v>2</v>
      </c>
      <c r="E29" s="5">
        <v>0.14913857142857159</v>
      </c>
      <c r="F29" s="5">
        <v>0.14788977551020421</v>
      </c>
      <c r="G29" s="5">
        <v>0.14664097959183683</v>
      </c>
      <c r="H29" s="5">
        <v>0.14539218367346948</v>
      </c>
      <c r="I29" s="5">
        <v>0.1441433877551021</v>
      </c>
      <c r="J29" s="5">
        <v>0.14289459183673472</v>
      </c>
      <c r="K29" s="5">
        <v>0.14164579591836737</v>
      </c>
      <c r="L29" s="5">
        <v>0.14039699999999999</v>
      </c>
    </row>
    <row r="30" spans="1:12" x14ac:dyDescent="0.25">
      <c r="A30" t="s">
        <v>333</v>
      </c>
      <c r="B30" s="5" t="s">
        <v>120</v>
      </c>
      <c r="C30" s="5" t="s">
        <v>259</v>
      </c>
      <c r="D30" s="5">
        <v>2</v>
      </c>
      <c r="E30" s="5">
        <v>0.76319999999999999</v>
      </c>
      <c r="F30" s="5">
        <v>0.76319999999999999</v>
      </c>
      <c r="G30" s="5">
        <v>0.76319999999999999</v>
      </c>
      <c r="H30" s="5">
        <v>0.76319999999999999</v>
      </c>
      <c r="I30" s="5">
        <v>0.76319999999999999</v>
      </c>
      <c r="J30" s="5">
        <v>0.76319999999999999</v>
      </c>
      <c r="K30" s="5">
        <v>0.76319999999999999</v>
      </c>
      <c r="L30" s="5">
        <v>0.76319999999999999</v>
      </c>
    </row>
    <row r="31" spans="1:12" x14ac:dyDescent="0.25">
      <c r="A31" t="s">
        <v>333</v>
      </c>
      <c r="B31" s="5" t="s">
        <v>52</v>
      </c>
      <c r="C31" s="5" t="s">
        <v>259</v>
      </c>
      <c r="D31" s="5">
        <v>1</v>
      </c>
      <c r="E31" s="5">
        <v>0.11383720930232559</v>
      </c>
      <c r="F31" s="5">
        <v>0.11219269102990033</v>
      </c>
      <c r="G31" s="5">
        <v>0.11054817275747508</v>
      </c>
      <c r="H31" s="5">
        <v>0.10890365448504984</v>
      </c>
      <c r="I31" s="5">
        <v>0.10725913621262458</v>
      </c>
      <c r="J31" s="5">
        <v>0.10561461794019934</v>
      </c>
      <c r="K31" s="5">
        <v>0.10397009966777408</v>
      </c>
      <c r="L31" s="5">
        <v>0.10232558139534885</v>
      </c>
    </row>
    <row r="32" spans="1:12" x14ac:dyDescent="0.25">
      <c r="A32" t="s">
        <v>333</v>
      </c>
      <c r="B32" s="5" t="s">
        <v>51</v>
      </c>
      <c r="C32" t="s">
        <v>133</v>
      </c>
      <c r="D32" s="5">
        <v>1</v>
      </c>
      <c r="E32" s="5">
        <v>0.10348837209302325</v>
      </c>
      <c r="F32" s="5">
        <v>0.10199335548172757</v>
      </c>
      <c r="G32" s="5">
        <v>0.10049833887043189</v>
      </c>
      <c r="H32" s="5">
        <v>9.9003322259136203E-2</v>
      </c>
      <c r="I32" s="5">
        <v>9.7508305647840521E-2</v>
      </c>
      <c r="J32" s="5">
        <v>9.6013289036544852E-2</v>
      </c>
      <c r="K32" s="5">
        <v>9.4518272425249156E-2</v>
      </c>
      <c r="L32" s="5">
        <v>9.3023255813953487E-2</v>
      </c>
    </row>
    <row r="33" spans="1:12" x14ac:dyDescent="0.25">
      <c r="A33" t="s">
        <v>333</v>
      </c>
      <c r="B33" s="5" t="s">
        <v>101</v>
      </c>
      <c r="C33" s="5" t="s">
        <v>136</v>
      </c>
      <c r="D33" s="5">
        <v>1</v>
      </c>
      <c r="E33" s="5">
        <v>1.25</v>
      </c>
      <c r="F33" s="5">
        <v>1.2195121951219512</v>
      </c>
      <c r="G33" s="5">
        <v>1.2048192771084338</v>
      </c>
      <c r="H33" s="5">
        <v>1.1904761904761905</v>
      </c>
      <c r="I33" s="5">
        <v>1.1764705882352942</v>
      </c>
      <c r="J33" s="5">
        <v>1.1764705882352942</v>
      </c>
      <c r="K33" s="5">
        <v>1.1764705882352942</v>
      </c>
      <c r="L33" s="5">
        <v>1.1764705882352942</v>
      </c>
    </row>
    <row r="34" spans="1:12" x14ac:dyDescent="0.25">
      <c r="A34" t="s">
        <v>333</v>
      </c>
      <c r="B34" s="11" t="s">
        <v>102</v>
      </c>
      <c r="C34" t="s">
        <v>146</v>
      </c>
      <c r="D34" s="5">
        <v>1</v>
      </c>
      <c r="E34" s="5">
        <v>1.3333333333333333</v>
      </c>
      <c r="F34" s="5">
        <v>1.3333333333333333</v>
      </c>
      <c r="G34" s="5">
        <v>1.3333333333333333</v>
      </c>
      <c r="H34" s="5">
        <v>1.3333333333333333</v>
      </c>
      <c r="I34" s="5">
        <v>1.3333333333333333</v>
      </c>
      <c r="J34" s="5">
        <v>1.3333333333333333</v>
      </c>
      <c r="K34" s="5">
        <v>1.3333333333333333</v>
      </c>
      <c r="L34" s="5">
        <v>1.3333333333333333</v>
      </c>
    </row>
    <row r="35" spans="1:12" x14ac:dyDescent="0.25">
      <c r="A35" t="s">
        <v>333</v>
      </c>
      <c r="B35" s="11" t="s">
        <v>103</v>
      </c>
      <c r="C35" s="5" t="s">
        <v>147</v>
      </c>
      <c r="D35" s="5">
        <v>1</v>
      </c>
      <c r="E35" s="5">
        <v>1.3333333333333333</v>
      </c>
      <c r="F35" s="5">
        <v>1.3333333333333333</v>
      </c>
      <c r="G35" s="5">
        <v>1.3333333333333333</v>
      </c>
      <c r="H35" s="5">
        <v>1.3333333333333333</v>
      </c>
      <c r="I35" s="5">
        <v>1.3333333333333333</v>
      </c>
      <c r="J35" s="5">
        <v>1.3333333333333333</v>
      </c>
      <c r="K35" s="5">
        <v>1.3333333333333333</v>
      </c>
      <c r="L35" s="5">
        <v>1.3333333333333333</v>
      </c>
    </row>
    <row r="36" spans="1:12" x14ac:dyDescent="0.25">
      <c r="A36" t="s">
        <v>333</v>
      </c>
      <c r="B36" s="11" t="s">
        <v>104</v>
      </c>
      <c r="C36" s="5" t="s">
        <v>19</v>
      </c>
      <c r="D36" s="5">
        <v>1</v>
      </c>
      <c r="E36" s="5">
        <v>1.0416666666666667</v>
      </c>
      <c r="F36" s="5">
        <v>1.0309278350515465</v>
      </c>
      <c r="G36" s="5">
        <v>1.0256410256410258</v>
      </c>
      <c r="H36" s="5">
        <v>1.0204081632653061</v>
      </c>
      <c r="I36" s="5">
        <v>1.015228426395939</v>
      </c>
      <c r="J36" s="5">
        <v>1.0101010101010102</v>
      </c>
      <c r="K36" s="5">
        <v>1.0050251256281406</v>
      </c>
      <c r="L36" s="5">
        <v>1</v>
      </c>
    </row>
    <row r="37" spans="1:12" x14ac:dyDescent="0.25">
      <c r="A37" t="s">
        <v>333</v>
      </c>
      <c r="B37" s="11" t="s">
        <v>105</v>
      </c>
      <c r="C37" s="5" t="s">
        <v>186</v>
      </c>
      <c r="D37" s="5">
        <v>1</v>
      </c>
      <c r="E37" s="5">
        <v>1.1111111111111112</v>
      </c>
      <c r="F37" s="5">
        <v>1.1111111111111112</v>
      </c>
      <c r="G37" s="5">
        <v>1.1111111111111112</v>
      </c>
      <c r="H37" s="5">
        <v>1.1111111111111112</v>
      </c>
      <c r="I37" s="5">
        <v>1.1111111111111112</v>
      </c>
      <c r="J37" s="5">
        <v>1.1111111111111112</v>
      </c>
      <c r="K37" s="5">
        <v>1.1111111111111112</v>
      </c>
      <c r="L37" s="5">
        <v>1.1111111111111112</v>
      </c>
    </row>
    <row r="38" spans="1:12" x14ac:dyDescent="0.25">
      <c r="A38" t="s">
        <v>333</v>
      </c>
      <c r="B38" s="11" t="s">
        <v>151</v>
      </c>
      <c r="C38" s="5" t="s">
        <v>133</v>
      </c>
      <c r="D38" s="5">
        <v>1</v>
      </c>
      <c r="E38" s="5">
        <v>1.1764705882352942</v>
      </c>
      <c r="F38" s="5">
        <v>1.1764705882352942</v>
      </c>
      <c r="G38" s="5">
        <v>1.1764705882352942</v>
      </c>
      <c r="H38" s="5">
        <v>1.1764705882352942</v>
      </c>
      <c r="I38" s="5">
        <v>1.1764705882352942</v>
      </c>
      <c r="J38" s="5">
        <v>1.1764705882352942</v>
      </c>
      <c r="K38" s="5">
        <v>1.1764705882352942</v>
      </c>
      <c r="L38" s="5">
        <v>1.1764705882352942</v>
      </c>
    </row>
    <row r="39" spans="1:12" x14ac:dyDescent="0.25">
      <c r="A39" t="s">
        <v>333</v>
      </c>
      <c r="B39" s="11" t="s">
        <v>106</v>
      </c>
      <c r="C39" s="5" t="s">
        <v>19</v>
      </c>
      <c r="D39" s="5">
        <v>1</v>
      </c>
      <c r="E39" s="5">
        <v>0.29411764705882354</v>
      </c>
      <c r="F39" s="5">
        <v>0.27777777777777779</v>
      </c>
      <c r="G39" s="5">
        <v>0.27397260273972601</v>
      </c>
      <c r="H39" s="5">
        <v>0.27027027027027023</v>
      </c>
      <c r="I39" s="5">
        <v>0.26666666666666666</v>
      </c>
      <c r="J39" s="5">
        <v>0.26315789473684209</v>
      </c>
      <c r="K39" s="5">
        <v>0.25974025974025972</v>
      </c>
      <c r="L39" s="5">
        <v>0.25641025641025644</v>
      </c>
    </row>
    <row r="40" spans="1:12" x14ac:dyDescent="0.25">
      <c r="A40" t="s">
        <v>333</v>
      </c>
      <c r="B40" s="11" t="s">
        <v>178</v>
      </c>
      <c r="C40" s="5" t="s">
        <v>135</v>
      </c>
      <c r="D40" s="5">
        <v>1</v>
      </c>
      <c r="E40" s="5">
        <v>2.1276595744680851</v>
      </c>
      <c r="F40" s="5">
        <v>2.0833333333333335</v>
      </c>
      <c r="G40" s="5">
        <v>2.0408163265306123</v>
      </c>
      <c r="H40" s="5">
        <v>2</v>
      </c>
      <c r="I40" s="5">
        <v>1.9801980198019802</v>
      </c>
      <c r="J40" s="5">
        <v>1.9607843137254901</v>
      </c>
      <c r="K40" s="5">
        <v>1.9607843137254901</v>
      </c>
      <c r="L40" s="5">
        <v>1.9607843137254901</v>
      </c>
    </row>
    <row r="41" spans="1:12" x14ac:dyDescent="0.25">
      <c r="A41" t="s">
        <v>333</v>
      </c>
      <c r="B41" s="11" t="s">
        <v>107</v>
      </c>
      <c r="C41" s="5" t="s">
        <v>136</v>
      </c>
      <c r="D41" s="5">
        <v>1</v>
      </c>
      <c r="E41" s="5">
        <v>1.25</v>
      </c>
      <c r="F41" s="5">
        <v>1.2195121951219512</v>
      </c>
      <c r="G41" s="5">
        <v>1.2048192771084338</v>
      </c>
      <c r="H41" s="5">
        <v>1.1904761904761905</v>
      </c>
      <c r="I41" s="5">
        <v>1.1764705882352942</v>
      </c>
      <c r="J41" s="5">
        <v>1.1764705882352942</v>
      </c>
      <c r="K41" s="5">
        <v>1.1764705882352942</v>
      </c>
      <c r="L41" s="5">
        <v>1.1764705882352942</v>
      </c>
    </row>
    <row r="42" spans="1:12" x14ac:dyDescent="0.25">
      <c r="A42" t="s">
        <v>333</v>
      </c>
      <c r="B42" s="11" t="s">
        <v>108</v>
      </c>
      <c r="C42" t="s">
        <v>146</v>
      </c>
      <c r="D42" s="5">
        <v>1</v>
      </c>
      <c r="E42" s="5">
        <v>1.3333333333333333</v>
      </c>
      <c r="F42" s="5">
        <v>1.3333333333333333</v>
      </c>
      <c r="G42" s="5">
        <v>1.3333333333333333</v>
      </c>
      <c r="H42" s="5">
        <v>1.3333333333333333</v>
      </c>
      <c r="I42" s="5">
        <v>1.3333333333333333</v>
      </c>
      <c r="J42" s="5">
        <v>1.3333333333333333</v>
      </c>
      <c r="K42" s="5">
        <v>1.3333333333333333</v>
      </c>
      <c r="L42" s="5">
        <v>1.3333333333333333</v>
      </c>
    </row>
    <row r="43" spans="1:12" x14ac:dyDescent="0.25">
      <c r="A43" t="s">
        <v>333</v>
      </c>
      <c r="B43" s="11" t="s">
        <v>109</v>
      </c>
      <c r="C43" s="5" t="s">
        <v>147</v>
      </c>
      <c r="D43" s="5">
        <v>1</v>
      </c>
      <c r="E43" s="5">
        <v>1.3333333333333333</v>
      </c>
      <c r="F43" s="5">
        <v>1.3333333333333333</v>
      </c>
      <c r="G43" s="5">
        <v>1.3333333333333333</v>
      </c>
      <c r="H43" s="5">
        <v>1.3333333333333333</v>
      </c>
      <c r="I43" s="5">
        <v>1.3333333333333333</v>
      </c>
      <c r="J43" s="5">
        <v>1.3333333333333333</v>
      </c>
      <c r="K43" s="5">
        <v>1.3333333333333333</v>
      </c>
      <c r="L43" s="5">
        <v>1.3333333333333333</v>
      </c>
    </row>
    <row r="44" spans="1:12" x14ac:dyDescent="0.25">
      <c r="A44" t="s">
        <v>333</v>
      </c>
      <c r="B44" s="11" t="s">
        <v>110</v>
      </c>
      <c r="C44" s="5" t="s">
        <v>19</v>
      </c>
      <c r="D44" s="5">
        <v>1</v>
      </c>
      <c r="E44" s="5">
        <v>1.0416666666666667</v>
      </c>
      <c r="F44" s="5">
        <v>1.0309278350515465</v>
      </c>
      <c r="G44" s="5">
        <v>1.0256410256410258</v>
      </c>
      <c r="H44" s="5">
        <v>1.0204081632653061</v>
      </c>
      <c r="I44" s="5">
        <v>1.015228426395939</v>
      </c>
      <c r="J44" s="5">
        <v>1.0101010101010102</v>
      </c>
      <c r="K44" s="5">
        <v>1.0050251256281406</v>
      </c>
      <c r="L44" s="5">
        <v>1</v>
      </c>
    </row>
    <row r="45" spans="1:12" x14ac:dyDescent="0.25">
      <c r="A45" t="s">
        <v>333</v>
      </c>
      <c r="B45" s="11" t="s">
        <v>111</v>
      </c>
      <c r="C45" s="5" t="s">
        <v>186</v>
      </c>
      <c r="D45" s="5">
        <v>1</v>
      </c>
      <c r="E45" s="5">
        <v>1.1111111111111112</v>
      </c>
      <c r="F45" s="5">
        <v>1.1111111111111112</v>
      </c>
      <c r="G45" s="5">
        <v>1.1111111111111112</v>
      </c>
      <c r="H45" s="5">
        <v>1.1111111111111112</v>
      </c>
      <c r="I45" s="5">
        <v>1.1111111111111112</v>
      </c>
      <c r="J45" s="5">
        <v>1.1111111111111112</v>
      </c>
      <c r="K45" s="5">
        <v>1.1111111111111112</v>
      </c>
      <c r="L45" s="5">
        <v>1.1111111111111112</v>
      </c>
    </row>
    <row r="46" spans="1:12" x14ac:dyDescent="0.25">
      <c r="A46" t="s">
        <v>333</v>
      </c>
      <c r="B46" s="11" t="s">
        <v>113</v>
      </c>
      <c r="C46" t="s">
        <v>19</v>
      </c>
      <c r="D46" s="5">
        <v>1</v>
      </c>
      <c r="E46" s="5">
        <v>0.33333333333333331</v>
      </c>
      <c r="F46" s="5">
        <v>0.3125</v>
      </c>
      <c r="G46" s="5">
        <v>0.30769230769230771</v>
      </c>
      <c r="H46" s="5">
        <v>0.30303030303030304</v>
      </c>
      <c r="I46" s="5">
        <v>0.29850746268656714</v>
      </c>
      <c r="J46" s="5">
        <v>0.29411764705882354</v>
      </c>
      <c r="K46" s="5">
        <v>0.28985507246376813</v>
      </c>
      <c r="L46" s="5">
        <v>0.2857142857142857</v>
      </c>
    </row>
    <row r="47" spans="1:12" x14ac:dyDescent="0.25">
      <c r="A47" t="s">
        <v>333</v>
      </c>
      <c r="B47" s="5" t="s">
        <v>163</v>
      </c>
      <c r="C47" s="5" t="s">
        <v>158</v>
      </c>
      <c r="D47" s="5">
        <v>1</v>
      </c>
      <c r="E47" s="5">
        <v>0.16582635717909688</v>
      </c>
      <c r="F47" s="5">
        <v>0.16582635717909688</v>
      </c>
      <c r="G47" s="5">
        <v>0.16582635717909688</v>
      </c>
      <c r="H47" s="5">
        <v>0.16582635717909688</v>
      </c>
      <c r="I47" s="5">
        <v>0.16582635717909688</v>
      </c>
      <c r="J47" s="5">
        <v>0.16582635717909688</v>
      </c>
      <c r="K47" s="5">
        <v>0.16582635717909688</v>
      </c>
      <c r="L47" s="5">
        <v>0.16582635717909688</v>
      </c>
    </row>
    <row r="48" spans="1:12" x14ac:dyDescent="0.25">
      <c r="A48" t="s">
        <v>333</v>
      </c>
      <c r="B48" s="5" t="s">
        <v>164</v>
      </c>
      <c r="C48" s="5" t="s">
        <v>157</v>
      </c>
      <c r="D48" s="5">
        <v>1</v>
      </c>
      <c r="E48" s="5">
        <v>0.16582635717909688</v>
      </c>
      <c r="F48" s="5">
        <v>0.16582635717909688</v>
      </c>
      <c r="G48" s="5">
        <v>0.16582635717909688</v>
      </c>
      <c r="H48" s="5">
        <v>0.16582635717909688</v>
      </c>
      <c r="I48" s="5">
        <v>0.16582635717909688</v>
      </c>
      <c r="J48" s="5">
        <v>0.16582635717909688</v>
      </c>
      <c r="K48" s="5">
        <v>0.16582635717909688</v>
      </c>
      <c r="L48" s="5">
        <v>0.16582635717909688</v>
      </c>
    </row>
    <row r="49" spans="1:12" x14ac:dyDescent="0.25">
      <c r="A49" t="s">
        <v>333</v>
      </c>
      <c r="B49" s="5" t="s">
        <v>150</v>
      </c>
      <c r="C49" s="5" t="s">
        <v>133</v>
      </c>
      <c r="D49" s="5">
        <v>1</v>
      </c>
      <c r="E49" s="5">
        <v>1.1764705882352942</v>
      </c>
      <c r="F49" s="5">
        <v>1.1764705882352942</v>
      </c>
      <c r="G49" s="5">
        <v>1.1764705882352942</v>
      </c>
      <c r="H49" s="5">
        <v>1.1764705882352942</v>
      </c>
      <c r="I49" s="5">
        <v>1.1764705882352942</v>
      </c>
      <c r="J49" s="5">
        <v>1.1764705882352942</v>
      </c>
      <c r="K49" s="5">
        <v>1.1764705882352942</v>
      </c>
      <c r="L49" s="5">
        <v>1.1764705882352942</v>
      </c>
    </row>
    <row r="50" spans="1:12" x14ac:dyDescent="0.25">
      <c r="A50" t="s">
        <v>333</v>
      </c>
      <c r="B50" s="5" t="s">
        <v>112</v>
      </c>
      <c r="C50" s="5" t="s">
        <v>19</v>
      </c>
      <c r="D50" s="5">
        <v>1</v>
      </c>
      <c r="E50" s="5">
        <v>0.2857142857142857</v>
      </c>
      <c r="F50" s="5">
        <v>0.27027027027027023</v>
      </c>
      <c r="G50" s="5">
        <v>0.26666666666666666</v>
      </c>
      <c r="H50" s="5">
        <v>0.26315789473684209</v>
      </c>
      <c r="I50" s="5">
        <v>0.25974025974025972</v>
      </c>
      <c r="J50" s="5">
        <v>0.25641025641025644</v>
      </c>
      <c r="K50" s="5">
        <v>0.25316455696202528</v>
      </c>
      <c r="L50" s="5">
        <v>0.25</v>
      </c>
    </row>
    <row r="51" spans="1:12" x14ac:dyDescent="0.25">
      <c r="A51" t="s">
        <v>333</v>
      </c>
      <c r="B51" s="5" t="s">
        <v>96</v>
      </c>
      <c r="C51" s="5" t="s">
        <v>146</v>
      </c>
      <c r="D51" s="5">
        <v>1</v>
      </c>
      <c r="E51" s="5">
        <v>2.5555555555555554</v>
      </c>
      <c r="F51" s="5">
        <v>2.5126050420168062</v>
      </c>
      <c r="G51" s="5">
        <v>2.4696545284780576</v>
      </c>
      <c r="H51" s="5">
        <v>2.4267040149393084</v>
      </c>
      <c r="I51" s="5">
        <v>2.3837535014005597</v>
      </c>
      <c r="J51" s="5">
        <v>2.3408029878618111</v>
      </c>
      <c r="K51" s="5">
        <v>2.2978524743230619</v>
      </c>
      <c r="L51" s="5">
        <v>2.2549019607843133</v>
      </c>
    </row>
    <row r="52" spans="1:12" x14ac:dyDescent="0.25">
      <c r="A52" t="s">
        <v>333</v>
      </c>
      <c r="B52" s="5" t="s">
        <v>95</v>
      </c>
      <c r="C52" s="5" t="s">
        <v>147</v>
      </c>
      <c r="D52" s="5">
        <v>1</v>
      </c>
      <c r="E52" s="5">
        <v>2.3809523809523809</v>
      </c>
      <c r="F52" s="5">
        <v>2.2222222222222223</v>
      </c>
      <c r="G52" s="5">
        <v>2.1739130434782608</v>
      </c>
      <c r="H52" s="5">
        <v>2.1276595744680851</v>
      </c>
      <c r="I52" s="5">
        <v>2.1276595744680851</v>
      </c>
      <c r="J52" s="5">
        <v>2.1276595744680851</v>
      </c>
      <c r="K52" s="5">
        <v>2.1276595744680851</v>
      </c>
      <c r="L52" s="5">
        <v>2.1276595744680851</v>
      </c>
    </row>
    <row r="53" spans="1:12" x14ac:dyDescent="0.25">
      <c r="A53" t="s">
        <v>333</v>
      </c>
      <c r="B53" s="5" t="s">
        <v>17</v>
      </c>
      <c r="C53" s="5" t="s">
        <v>186</v>
      </c>
      <c r="D53" s="5">
        <v>1</v>
      </c>
      <c r="E53" s="5">
        <v>1.7241379310344829</v>
      </c>
      <c r="F53" s="5">
        <v>1.6666666666666667</v>
      </c>
      <c r="G53" s="5">
        <v>1.639344262295082</v>
      </c>
      <c r="H53" s="5">
        <v>1.6129032258064517</v>
      </c>
      <c r="I53" s="5">
        <v>1.6129032258064517</v>
      </c>
      <c r="J53" s="5">
        <v>1.6129032258064517</v>
      </c>
      <c r="K53" s="5">
        <v>1.6</v>
      </c>
      <c r="L53" s="5">
        <v>1.5873015873015872</v>
      </c>
    </row>
    <row r="54" spans="1:12" x14ac:dyDescent="0.25">
      <c r="A54" t="s">
        <v>333</v>
      </c>
      <c r="B54" t="s">
        <v>18</v>
      </c>
      <c r="C54" s="5" t="s">
        <v>134</v>
      </c>
      <c r="D54" s="5">
        <v>1</v>
      </c>
      <c r="E54" s="5">
        <v>2.7027027027027026</v>
      </c>
      <c r="F54" s="5">
        <v>2.7027027027027026</v>
      </c>
      <c r="G54" s="5">
        <v>2.6666666666666665</v>
      </c>
      <c r="H54" s="5">
        <v>2.6315789473684212</v>
      </c>
      <c r="I54" s="5">
        <v>2.5</v>
      </c>
      <c r="J54" s="5">
        <v>2.3809523809523809</v>
      </c>
      <c r="K54" s="5">
        <v>2.3809523809523809</v>
      </c>
      <c r="L54" s="5">
        <v>2.3809523809523809</v>
      </c>
    </row>
    <row r="55" spans="1:12" x14ac:dyDescent="0.25">
      <c r="A55" t="s">
        <v>333</v>
      </c>
      <c r="B55" t="s">
        <v>50</v>
      </c>
      <c r="C55" s="5" t="s">
        <v>133</v>
      </c>
      <c r="D55" s="5">
        <v>1</v>
      </c>
      <c r="E55" s="5">
        <v>2.6315789473684212</v>
      </c>
      <c r="F55" s="5">
        <v>2.6315789473684212</v>
      </c>
      <c r="G55" s="5">
        <v>2.6315789473684212</v>
      </c>
      <c r="H55" s="5">
        <v>2.6315789473684212</v>
      </c>
      <c r="I55" s="5">
        <v>2.6315789473684212</v>
      </c>
      <c r="J55" s="5">
        <v>2.6315789473684212</v>
      </c>
      <c r="K55" s="5">
        <v>2.6315789473684212</v>
      </c>
      <c r="L55" s="5">
        <v>2.6315789473684212</v>
      </c>
    </row>
    <row r="56" spans="1:12" x14ac:dyDescent="0.25">
      <c r="A56" t="s">
        <v>333</v>
      </c>
      <c r="B56" t="s">
        <v>153</v>
      </c>
      <c r="C56" t="s">
        <v>136</v>
      </c>
      <c r="D56" s="5">
        <v>1</v>
      </c>
      <c r="E56" s="5">
        <v>2.9411764705882351</v>
      </c>
      <c r="F56" s="5">
        <v>2.8694404591104727</v>
      </c>
      <c r="G56" s="5">
        <v>2.7977044476327118</v>
      </c>
      <c r="H56" s="5">
        <v>2.7259684361549494</v>
      </c>
      <c r="I56" s="5">
        <v>2.6542324246771876</v>
      </c>
      <c r="J56" s="5">
        <v>2.5824964131994257</v>
      </c>
      <c r="K56" s="5">
        <v>2.5107604017216638</v>
      </c>
      <c r="L56" s="5">
        <v>2.4390243902439024</v>
      </c>
    </row>
    <row r="57" spans="1:12" x14ac:dyDescent="0.25">
      <c r="A57" t="s">
        <v>333</v>
      </c>
      <c r="B57" t="s">
        <v>126</v>
      </c>
      <c r="C57" t="s">
        <v>259</v>
      </c>
      <c r="D57" s="5">
        <v>1</v>
      </c>
      <c r="E57" s="5">
        <v>1.3642458100558659</v>
      </c>
      <c r="F57" s="5">
        <v>1.3396648044692738</v>
      </c>
      <c r="G57" s="5">
        <v>1.3150837988826816</v>
      </c>
      <c r="H57" s="5">
        <v>1.2905027932960895</v>
      </c>
      <c r="I57" s="5">
        <v>1.2659217877094973</v>
      </c>
      <c r="J57" s="5">
        <v>1.2413407821229052</v>
      </c>
      <c r="K57" s="5">
        <v>1.216759776536313</v>
      </c>
      <c r="L57" s="5">
        <v>1.1921787709497209</v>
      </c>
    </row>
    <row r="58" spans="1:12" x14ac:dyDescent="0.25">
      <c r="A58" t="s">
        <v>333</v>
      </c>
      <c r="B58" s="5" t="s">
        <v>54</v>
      </c>
      <c r="C58" t="s">
        <v>133</v>
      </c>
      <c r="D58" s="5">
        <v>1</v>
      </c>
      <c r="E58" s="5">
        <v>1.2402234636871508</v>
      </c>
      <c r="F58" s="5">
        <v>1.217877094972067</v>
      </c>
      <c r="G58" s="5">
        <v>1.1955307262569832</v>
      </c>
      <c r="H58" s="5">
        <v>1.1731843575418994</v>
      </c>
      <c r="I58" s="5">
        <v>1.1508379888268156</v>
      </c>
      <c r="J58" s="5">
        <v>1.1284916201117319</v>
      </c>
      <c r="K58" s="5">
        <v>1.1061452513966481</v>
      </c>
      <c r="L58" s="5">
        <v>1.0837988826815643</v>
      </c>
    </row>
    <row r="59" spans="1:12" x14ac:dyDescent="0.25">
      <c r="A59" t="s">
        <v>333</v>
      </c>
      <c r="B59" s="5" t="s">
        <v>127</v>
      </c>
      <c r="C59" t="s">
        <v>135</v>
      </c>
      <c r="D59" s="5">
        <v>1</v>
      </c>
      <c r="E59" s="5">
        <v>1.2650279329608938</v>
      </c>
      <c r="F59" s="5">
        <v>1.2422346368715083</v>
      </c>
      <c r="G59" s="5">
        <v>1.219441340782123</v>
      </c>
      <c r="H59" s="5">
        <v>1.1966480446927374</v>
      </c>
      <c r="I59" s="5">
        <v>1.1738547486033519</v>
      </c>
      <c r="J59" s="5">
        <v>1.1510614525139666</v>
      </c>
      <c r="K59" s="5">
        <v>1.1282681564245811</v>
      </c>
      <c r="L59" s="5">
        <v>1.1054748603351956</v>
      </c>
    </row>
    <row r="60" spans="1:12" x14ac:dyDescent="0.25">
      <c r="A60" t="s">
        <v>333</v>
      </c>
      <c r="B60" s="5" t="s">
        <v>121</v>
      </c>
      <c r="C60" t="s">
        <v>133</v>
      </c>
      <c r="D60" s="5">
        <v>1</v>
      </c>
      <c r="E60" s="5">
        <v>0.67391304347826086</v>
      </c>
      <c r="F60" s="5">
        <v>0.65965033356337699</v>
      </c>
      <c r="G60" s="5">
        <v>0.64538762364849322</v>
      </c>
      <c r="H60" s="5">
        <v>0.63112491373360935</v>
      </c>
      <c r="I60" s="5">
        <v>0.61686220381872559</v>
      </c>
      <c r="J60" s="5">
        <v>0.60259949390384171</v>
      </c>
      <c r="K60" s="5">
        <v>0.58833678398895795</v>
      </c>
      <c r="L60" s="5">
        <v>0.57407407407407418</v>
      </c>
    </row>
    <row r="61" spans="1:12" x14ac:dyDescent="0.25">
      <c r="A61" t="s">
        <v>333</v>
      </c>
      <c r="B61" s="5" t="s">
        <v>122</v>
      </c>
      <c r="C61" t="s">
        <v>19</v>
      </c>
      <c r="D61" s="5">
        <v>1</v>
      </c>
      <c r="E61" s="5">
        <v>0.375</v>
      </c>
      <c r="F61" s="5">
        <v>0.36607142857142855</v>
      </c>
      <c r="G61" s="5">
        <v>0.3571428571428571</v>
      </c>
      <c r="H61" s="5">
        <v>0.3482142857142857</v>
      </c>
      <c r="I61" s="5">
        <v>0.33928571428571425</v>
      </c>
      <c r="J61" s="5">
        <v>0.33035714285714285</v>
      </c>
      <c r="K61" s="5">
        <v>0.3214285714285714</v>
      </c>
      <c r="L61" s="5">
        <v>0.3125</v>
      </c>
    </row>
    <row r="62" spans="1:12" x14ac:dyDescent="0.25">
      <c r="A62" t="s">
        <v>333</v>
      </c>
      <c r="B62" s="5" t="s">
        <v>56</v>
      </c>
      <c r="C62" t="s">
        <v>19</v>
      </c>
      <c r="D62" s="5">
        <v>1</v>
      </c>
      <c r="E62" s="5">
        <v>0.45999999999999996</v>
      </c>
      <c r="F62" s="5">
        <v>0.36000000000000004</v>
      </c>
      <c r="G62" s="5">
        <v>0.32666666666666666</v>
      </c>
      <c r="H62" s="5">
        <v>0.31833333333333336</v>
      </c>
      <c r="I62" s="5">
        <v>0.31416666666666671</v>
      </c>
      <c r="J62" s="5">
        <v>0.31208333333333338</v>
      </c>
      <c r="K62" s="5">
        <v>0.31104166666666666</v>
      </c>
      <c r="L62" s="5">
        <v>0.31</v>
      </c>
    </row>
    <row r="63" spans="1:12" x14ac:dyDescent="0.25">
      <c r="A63" t="s">
        <v>333</v>
      </c>
      <c r="B63" s="5" t="s">
        <v>116</v>
      </c>
      <c r="C63" t="s">
        <v>135</v>
      </c>
      <c r="D63" s="5">
        <v>1</v>
      </c>
      <c r="E63" s="5">
        <v>0.45333333333333337</v>
      </c>
      <c r="F63" s="5">
        <v>0.43142857142857144</v>
      </c>
      <c r="G63" s="5">
        <v>0.40952380952380951</v>
      </c>
      <c r="H63" s="5">
        <v>0.38761904761904759</v>
      </c>
      <c r="I63" s="5">
        <v>0.36571428571428566</v>
      </c>
      <c r="J63" s="5">
        <v>0.34380952380952379</v>
      </c>
      <c r="K63" s="5">
        <v>0.32190476190476186</v>
      </c>
      <c r="L63" s="5">
        <v>0.3</v>
      </c>
    </row>
    <row r="64" spans="1:12" x14ac:dyDescent="0.25">
      <c r="A64" t="s">
        <v>333</v>
      </c>
      <c r="B64" s="5" t="s">
        <v>55</v>
      </c>
      <c r="C64" t="s">
        <v>133</v>
      </c>
      <c r="D64" s="5">
        <v>1</v>
      </c>
      <c r="E64" s="5">
        <v>1.4266666666666667</v>
      </c>
      <c r="F64" s="5">
        <v>1.3757142857142857</v>
      </c>
      <c r="G64" s="5">
        <v>1.324761904761905</v>
      </c>
      <c r="H64" s="5">
        <v>1.2738095238095237</v>
      </c>
      <c r="I64" s="5">
        <v>1.2228571428571429</v>
      </c>
      <c r="J64" s="5">
        <v>1.171904761904762</v>
      </c>
      <c r="K64" s="5">
        <v>1.1209523809523809</v>
      </c>
      <c r="L64" s="5">
        <v>1.07</v>
      </c>
    </row>
    <row r="65" spans="1:12" x14ac:dyDescent="0.25">
      <c r="A65" t="s">
        <v>333</v>
      </c>
      <c r="B65" s="5" t="s">
        <v>55</v>
      </c>
      <c r="C65" t="s">
        <v>259</v>
      </c>
      <c r="D65" s="5">
        <v>2</v>
      </c>
      <c r="E65" s="5">
        <v>1.712</v>
      </c>
      <c r="F65" s="5">
        <v>1.712</v>
      </c>
      <c r="G65" s="5">
        <v>1.712</v>
      </c>
      <c r="H65" s="5">
        <v>1.712</v>
      </c>
      <c r="I65" s="5">
        <v>1.712</v>
      </c>
      <c r="J65" s="5">
        <v>1.712</v>
      </c>
      <c r="K65" s="5">
        <v>1.712</v>
      </c>
      <c r="L65" s="5">
        <v>1.712</v>
      </c>
    </row>
    <row r="66" spans="1:12" x14ac:dyDescent="0.25">
      <c r="A66" t="s">
        <v>333</v>
      </c>
      <c r="B66" t="s">
        <v>117</v>
      </c>
      <c r="C66" t="s">
        <v>19</v>
      </c>
      <c r="D66">
        <v>1</v>
      </c>
      <c r="E66" s="5">
        <v>0.19600000000000001</v>
      </c>
      <c r="F66" s="5">
        <v>0.14866666666666667</v>
      </c>
      <c r="G66" s="5">
        <v>0.13288888888888889</v>
      </c>
      <c r="H66" s="5">
        <v>0.12894444444444444</v>
      </c>
      <c r="I66" s="5">
        <v>0.12697222222222221</v>
      </c>
      <c r="J66" s="5">
        <v>0.1259861111111111</v>
      </c>
      <c r="K66" s="5">
        <v>0.12549305555555557</v>
      </c>
      <c r="L66" s="5">
        <v>0.125</v>
      </c>
    </row>
    <row r="67" spans="1:12" x14ac:dyDescent="0.25">
      <c r="A67" t="s">
        <v>333</v>
      </c>
      <c r="B67" t="s">
        <v>117</v>
      </c>
      <c r="C67" t="s">
        <v>133</v>
      </c>
      <c r="D67">
        <v>1</v>
      </c>
      <c r="E67" s="5">
        <v>0.78400000000000003</v>
      </c>
      <c r="F67" s="5">
        <v>0.59466666666666668</v>
      </c>
      <c r="G67" s="5">
        <v>0.53155555555555556</v>
      </c>
      <c r="H67" s="5">
        <v>0.51577777777777778</v>
      </c>
      <c r="I67" s="5">
        <v>0.50788888888888883</v>
      </c>
      <c r="J67" s="5">
        <v>0.50394444444444442</v>
      </c>
      <c r="K67" s="5">
        <v>0.50197222222222226</v>
      </c>
      <c r="L67" s="5">
        <v>0.5</v>
      </c>
    </row>
    <row r="68" spans="1:12" x14ac:dyDescent="0.25">
      <c r="A68" t="s">
        <v>333</v>
      </c>
      <c r="B68" t="s">
        <v>117</v>
      </c>
      <c r="C68" t="s">
        <v>19</v>
      </c>
      <c r="D68">
        <v>2</v>
      </c>
      <c r="E68" s="5">
        <v>0.23519999999999999</v>
      </c>
      <c r="F68" s="5">
        <v>0.1784</v>
      </c>
      <c r="G68" s="5">
        <v>0.15946666666666667</v>
      </c>
      <c r="H68" s="5">
        <v>0.15473333333333333</v>
      </c>
      <c r="I68" s="5">
        <v>0.15236666666666665</v>
      </c>
      <c r="J68" s="5">
        <v>0.15118333333333334</v>
      </c>
      <c r="K68" s="5">
        <v>0.15059166666666668</v>
      </c>
      <c r="L68" s="5">
        <v>0.15</v>
      </c>
    </row>
    <row r="69" spans="1:12" x14ac:dyDescent="0.25">
      <c r="A69" t="s">
        <v>333</v>
      </c>
      <c r="B69" t="s">
        <v>117</v>
      </c>
      <c r="C69" t="s">
        <v>259</v>
      </c>
      <c r="D69">
        <v>2</v>
      </c>
      <c r="E69" s="5">
        <v>0.94079999999999997</v>
      </c>
      <c r="F69" s="5">
        <v>0.71360000000000001</v>
      </c>
      <c r="G69" s="5">
        <v>0.63786666666666669</v>
      </c>
      <c r="H69" s="5">
        <v>0.61893333333333334</v>
      </c>
      <c r="I69" s="5">
        <v>0.6094666666666666</v>
      </c>
      <c r="J69" s="5">
        <v>0.60473333333333334</v>
      </c>
      <c r="K69" s="5">
        <v>0.60236666666666672</v>
      </c>
      <c r="L69" s="5">
        <v>0.6</v>
      </c>
    </row>
    <row r="70" spans="1:12" x14ac:dyDescent="0.25">
      <c r="A70" t="s">
        <v>333</v>
      </c>
      <c r="B70" t="s">
        <v>161</v>
      </c>
      <c r="C70" s="5" t="s">
        <v>158</v>
      </c>
      <c r="D70">
        <v>1</v>
      </c>
      <c r="E70" s="5">
        <v>0.16582635717909688</v>
      </c>
      <c r="F70" s="5">
        <v>0.16582635717909688</v>
      </c>
      <c r="G70" s="5">
        <v>0.16582635717909688</v>
      </c>
      <c r="H70" s="5">
        <v>0.16582635717909688</v>
      </c>
      <c r="I70" s="5">
        <v>0.16582635717909688</v>
      </c>
      <c r="J70" s="5">
        <v>0.16582635717909688</v>
      </c>
      <c r="K70" s="5">
        <v>0.16582635717909688</v>
      </c>
      <c r="L70" s="5">
        <v>0.16582635717909688</v>
      </c>
    </row>
    <row r="71" spans="1:12" x14ac:dyDescent="0.25">
      <c r="A71" t="s">
        <v>333</v>
      </c>
      <c r="B71" t="s">
        <v>162</v>
      </c>
      <c r="C71" s="5" t="s">
        <v>157</v>
      </c>
      <c r="D71">
        <v>1</v>
      </c>
      <c r="E71" s="5">
        <v>0.16582635717909688</v>
      </c>
      <c r="F71" s="5">
        <v>0.16582635717909688</v>
      </c>
      <c r="G71" s="5">
        <v>0.16582635717909688</v>
      </c>
      <c r="H71" s="5">
        <v>0.16582635717909688</v>
      </c>
      <c r="I71" s="5">
        <v>0.16582635717909688</v>
      </c>
      <c r="J71" s="5">
        <v>0.16582635717909688</v>
      </c>
      <c r="K71" s="5">
        <v>0.16582635717909688</v>
      </c>
      <c r="L71" s="5">
        <v>0.16582635717909688</v>
      </c>
    </row>
    <row r="72" spans="1:12" x14ac:dyDescent="0.25">
      <c r="A72" t="s">
        <v>333</v>
      </c>
      <c r="B72" t="s">
        <v>114</v>
      </c>
      <c r="C72" s="5" t="s">
        <v>19</v>
      </c>
      <c r="D72">
        <v>1</v>
      </c>
      <c r="E72" s="5">
        <v>1.5625</v>
      </c>
      <c r="F72" s="5">
        <v>1.3647151898734176</v>
      </c>
      <c r="G72" s="5">
        <v>1.2987869198312234</v>
      </c>
      <c r="H72" s="5">
        <v>1.2823048523206748</v>
      </c>
      <c r="I72" s="5">
        <v>1.2740638185654007</v>
      </c>
      <c r="J72" s="5">
        <v>1.2699433016877637</v>
      </c>
      <c r="K72" s="5">
        <v>1.2678830432489452</v>
      </c>
      <c r="L72" s="5">
        <v>1.2658227848101264</v>
      </c>
    </row>
    <row r="73" spans="1:12" x14ac:dyDescent="0.25">
      <c r="A73" t="s">
        <v>333</v>
      </c>
      <c r="B73" t="s">
        <v>115</v>
      </c>
      <c r="C73" s="5" t="s">
        <v>135</v>
      </c>
      <c r="D73">
        <v>1</v>
      </c>
      <c r="E73" s="5">
        <v>2.1276595744680851</v>
      </c>
      <c r="F73" s="5">
        <v>2.0833333333333335</v>
      </c>
      <c r="G73" s="5">
        <v>2.0408163265306123</v>
      </c>
      <c r="H73" s="5">
        <v>2</v>
      </c>
      <c r="I73" s="5">
        <v>1.9801980198019802</v>
      </c>
      <c r="J73" s="5">
        <v>1.9607843137254901</v>
      </c>
      <c r="K73" s="5">
        <v>1.9607843137254901</v>
      </c>
      <c r="L73" s="5">
        <v>1.9607843137254901</v>
      </c>
    </row>
    <row r="74" spans="1:12" x14ac:dyDescent="0.25">
      <c r="A74" t="s">
        <v>333</v>
      </c>
      <c r="B74" t="s">
        <v>115</v>
      </c>
      <c r="C74" s="5" t="s">
        <v>135</v>
      </c>
      <c r="D74">
        <v>2</v>
      </c>
      <c r="E74" s="5">
        <v>2.7027027027027026</v>
      </c>
      <c r="F74" s="5">
        <v>2.6315789473684212</v>
      </c>
      <c r="G74" s="5">
        <v>2.5974025974025974</v>
      </c>
      <c r="H74" s="5">
        <v>2.5641025641025639</v>
      </c>
      <c r="I74" s="5">
        <v>2.5316455696202529</v>
      </c>
      <c r="J74" s="5">
        <v>2.5</v>
      </c>
      <c r="K74" s="5">
        <v>2.5</v>
      </c>
      <c r="L74" s="5">
        <v>2.5</v>
      </c>
    </row>
    <row r="75" spans="1:12" x14ac:dyDescent="0.25">
      <c r="A75" t="s">
        <v>333</v>
      </c>
      <c r="B75" t="s">
        <v>152</v>
      </c>
      <c r="C75" s="5" t="s">
        <v>135</v>
      </c>
      <c r="D75">
        <v>1</v>
      </c>
      <c r="E75" s="5">
        <v>1.6666666666666667</v>
      </c>
      <c r="F75" s="5">
        <v>1.6141001855287569</v>
      </c>
      <c r="G75" s="5">
        <v>1.5615337043908473</v>
      </c>
      <c r="H75" s="5">
        <v>1.5089672232529374</v>
      </c>
      <c r="I75" s="5">
        <v>1.4564007421150278</v>
      </c>
      <c r="J75" s="5">
        <v>1.4038342609771179</v>
      </c>
      <c r="K75" s="5">
        <v>1.3512677798392083</v>
      </c>
      <c r="L75" s="5">
        <v>1.2987012987012987</v>
      </c>
    </row>
    <row r="76" spans="1:12" x14ac:dyDescent="0.25">
      <c r="A76" t="s">
        <v>333</v>
      </c>
      <c r="B76" t="s">
        <v>152</v>
      </c>
      <c r="C76" t="s">
        <v>136</v>
      </c>
      <c r="D76">
        <v>2</v>
      </c>
      <c r="E76" s="5">
        <v>2.5641025641025639</v>
      </c>
      <c r="F76" s="5">
        <v>2.3908523908523907</v>
      </c>
      <c r="G76" s="5">
        <v>2.2176022176022174</v>
      </c>
      <c r="H76" s="5">
        <v>2.0443520443520438</v>
      </c>
      <c r="I76" s="5">
        <v>1.871101871101871</v>
      </c>
      <c r="J76" s="5">
        <v>1.6978516978516978</v>
      </c>
      <c r="K76" s="5">
        <v>1.5246015246015245</v>
      </c>
      <c r="L76" s="5">
        <v>1.3513513513513513</v>
      </c>
    </row>
    <row r="77" spans="1:12" x14ac:dyDescent="0.25">
      <c r="A77" t="s">
        <v>333</v>
      </c>
      <c r="B77" t="s">
        <v>182</v>
      </c>
      <c r="C77" s="5" t="s">
        <v>136</v>
      </c>
      <c r="D77" s="5">
        <v>1</v>
      </c>
      <c r="E77" s="5">
        <v>3.3333333333333335</v>
      </c>
      <c r="F77" s="5">
        <v>3.125</v>
      </c>
      <c r="G77" s="5">
        <v>3.0769230769230766</v>
      </c>
      <c r="H77" s="5">
        <v>3.0303030303030303</v>
      </c>
      <c r="I77" s="5">
        <v>2.9850746268656714</v>
      </c>
      <c r="J77" s="5">
        <v>2.9411764705882351</v>
      </c>
      <c r="K77" s="5">
        <v>2.8985507246376816</v>
      </c>
      <c r="L77" s="5">
        <v>2.8571428571428572</v>
      </c>
    </row>
    <row r="78" spans="1:12" x14ac:dyDescent="0.25">
      <c r="A78" t="s">
        <v>333</v>
      </c>
      <c r="B78" t="s">
        <v>183</v>
      </c>
      <c r="C78" t="s">
        <v>136</v>
      </c>
      <c r="D78">
        <v>1</v>
      </c>
      <c r="E78" s="5">
        <v>2.9411764705882351</v>
      </c>
      <c r="F78" s="5">
        <v>2.8571428571428572</v>
      </c>
      <c r="G78" s="5">
        <v>2.8169014084507045</v>
      </c>
      <c r="H78" s="5">
        <v>1.6666666666666667</v>
      </c>
      <c r="I78" s="5">
        <v>2.7027027027027026</v>
      </c>
      <c r="J78" s="5">
        <v>2.6315789473684212</v>
      </c>
      <c r="K78" s="5">
        <v>2.6315789473684212</v>
      </c>
      <c r="L78" s="5">
        <v>2.6315789473684212</v>
      </c>
    </row>
    <row r="79" spans="1:12" x14ac:dyDescent="0.25">
      <c r="A79" t="s">
        <v>333</v>
      </c>
      <c r="B79" t="s">
        <v>182</v>
      </c>
      <c r="C79" t="s">
        <v>185</v>
      </c>
      <c r="D79">
        <v>1</v>
      </c>
      <c r="E79" s="5">
        <v>0.25666666666666665</v>
      </c>
      <c r="F79" s="5">
        <v>0.24062500000000001</v>
      </c>
      <c r="G79" s="5">
        <v>0.2369230769230769</v>
      </c>
      <c r="H79" s="5">
        <v>0.23333333333333334</v>
      </c>
      <c r="I79" s="5">
        <v>0.2298507462686567</v>
      </c>
      <c r="J79" s="5">
        <v>0.22647058823529409</v>
      </c>
      <c r="K79" s="5">
        <v>0.22318840579710147</v>
      </c>
      <c r="L79" s="5">
        <v>0.22</v>
      </c>
    </row>
    <row r="80" spans="1:12" x14ac:dyDescent="0.25">
      <c r="A80" t="s">
        <v>333</v>
      </c>
      <c r="B80" t="s">
        <v>183</v>
      </c>
      <c r="C80" t="s">
        <v>185</v>
      </c>
      <c r="D80">
        <v>1</v>
      </c>
      <c r="E80" s="5">
        <v>0.22647058823529409</v>
      </c>
      <c r="F80" s="5">
        <v>0.22</v>
      </c>
      <c r="G80" s="5">
        <v>0.21690140845070424</v>
      </c>
      <c r="H80" s="5">
        <v>0.12833333333333333</v>
      </c>
      <c r="I80" s="5">
        <v>0.20810810810810809</v>
      </c>
      <c r="J80" s="5">
        <v>0.20263157894736844</v>
      </c>
      <c r="K80" s="5">
        <v>0.20263157894736844</v>
      </c>
      <c r="L80" s="5">
        <v>0.20263157894736844</v>
      </c>
    </row>
    <row r="81" spans="1:12" x14ac:dyDescent="0.25">
      <c r="A81" t="s">
        <v>333</v>
      </c>
      <c r="B81" t="s">
        <v>99</v>
      </c>
      <c r="C81" s="5" t="s">
        <v>187</v>
      </c>
      <c r="D81">
        <v>2</v>
      </c>
      <c r="E81" s="5">
        <v>1.7543859649122808</v>
      </c>
      <c r="F81" s="5">
        <v>1.6949152542372883</v>
      </c>
      <c r="G81" s="5">
        <v>1.6666666666666667</v>
      </c>
      <c r="H81" s="5">
        <v>1.639344262295082</v>
      </c>
      <c r="I81" s="5">
        <v>1.6260162601626016</v>
      </c>
      <c r="J81" s="5">
        <v>1.6129032258064517</v>
      </c>
      <c r="K81" s="5">
        <v>1.6</v>
      </c>
      <c r="L81" s="5">
        <v>1.5873015873015872</v>
      </c>
    </row>
    <row r="82" spans="1:12" x14ac:dyDescent="0.25">
      <c r="A82" t="s">
        <v>333</v>
      </c>
      <c r="B82" t="s">
        <v>105</v>
      </c>
      <c r="C82" t="s">
        <v>187</v>
      </c>
      <c r="D82">
        <v>2</v>
      </c>
      <c r="E82" s="5">
        <v>1.1111111111111112</v>
      </c>
      <c r="F82" s="5">
        <v>1.1111111111111112</v>
      </c>
      <c r="G82" s="5">
        <v>1.1111111111111112</v>
      </c>
      <c r="H82" s="5">
        <v>1.1111111111111112</v>
      </c>
      <c r="I82" s="5">
        <v>1.1111111111111112</v>
      </c>
      <c r="J82" s="5">
        <v>1.1111111111111112</v>
      </c>
      <c r="K82" s="5">
        <v>1.1111111111111112</v>
      </c>
      <c r="L82" s="5">
        <v>1.1111111111111112</v>
      </c>
    </row>
    <row r="83" spans="1:12" x14ac:dyDescent="0.25">
      <c r="A83" t="s">
        <v>333</v>
      </c>
      <c r="B83" t="s">
        <v>111</v>
      </c>
      <c r="C83" t="s">
        <v>187</v>
      </c>
      <c r="D83">
        <v>2</v>
      </c>
      <c r="E83" s="5">
        <v>1.1111111111111112</v>
      </c>
      <c r="F83" s="5">
        <v>1.1111111111111112</v>
      </c>
      <c r="G83" s="5">
        <v>1.1111111111111112</v>
      </c>
      <c r="H83" s="5">
        <v>1.1111111111111112</v>
      </c>
      <c r="I83" s="5">
        <v>1.1111111111111112</v>
      </c>
      <c r="J83" s="5">
        <v>1.1111111111111112</v>
      </c>
      <c r="K83" s="5">
        <v>1.1111111111111112</v>
      </c>
      <c r="L83" s="5">
        <v>1.1111111111111112</v>
      </c>
    </row>
    <row r="84" spans="1:12" x14ac:dyDescent="0.25">
      <c r="A84" t="s">
        <v>333</v>
      </c>
      <c r="B84" t="s">
        <v>17</v>
      </c>
      <c r="C84" t="s">
        <v>187</v>
      </c>
      <c r="D84">
        <v>2</v>
      </c>
      <c r="E84" s="5">
        <v>1.7241379310344829</v>
      </c>
      <c r="F84" s="5">
        <v>1.6666666666666667</v>
      </c>
      <c r="G84" s="5">
        <v>1.639344262295082</v>
      </c>
      <c r="H84" s="5">
        <v>1.6129032258064517</v>
      </c>
      <c r="I84" s="5">
        <v>1.6129032258064517</v>
      </c>
      <c r="J84" s="5">
        <v>1.6129032258064517</v>
      </c>
      <c r="K84" s="5">
        <v>1.6</v>
      </c>
      <c r="L84" s="5">
        <v>1.5873015873015872</v>
      </c>
    </row>
    <row r="85" spans="1:12" x14ac:dyDescent="0.25">
      <c r="A85" t="s">
        <v>333</v>
      </c>
      <c r="B85" t="s">
        <v>99</v>
      </c>
      <c r="C85" t="s">
        <v>188</v>
      </c>
      <c r="D85">
        <v>3</v>
      </c>
      <c r="E85" s="5">
        <v>1.7543859649122808</v>
      </c>
      <c r="F85" s="5">
        <v>1.6949152542372883</v>
      </c>
      <c r="G85" s="5">
        <v>1.6666666666666667</v>
      </c>
      <c r="H85" s="5">
        <v>1.639344262295082</v>
      </c>
      <c r="I85" s="5">
        <v>1.6260162601626016</v>
      </c>
      <c r="J85" s="5">
        <v>1.6129032258064517</v>
      </c>
      <c r="K85" s="5">
        <v>1.6</v>
      </c>
      <c r="L85" s="5">
        <v>1.5873015873015872</v>
      </c>
    </row>
    <row r="86" spans="1:12" x14ac:dyDescent="0.25">
      <c r="A86" t="s">
        <v>333</v>
      </c>
      <c r="B86" t="s">
        <v>105</v>
      </c>
      <c r="C86" t="s">
        <v>188</v>
      </c>
      <c r="D86">
        <v>3</v>
      </c>
      <c r="E86" s="5">
        <v>1.1111111111111112</v>
      </c>
      <c r="F86" s="5">
        <v>1.1111111111111112</v>
      </c>
      <c r="G86" s="5">
        <v>1.1111111111111112</v>
      </c>
      <c r="H86" s="5">
        <v>1.1111111111111112</v>
      </c>
      <c r="I86" s="5">
        <v>1.1111111111111112</v>
      </c>
      <c r="J86" s="5">
        <v>1.1111111111111112</v>
      </c>
      <c r="K86" s="5">
        <v>1.1111111111111112</v>
      </c>
      <c r="L86" s="5">
        <v>1.1111111111111112</v>
      </c>
    </row>
    <row r="87" spans="1:12" x14ac:dyDescent="0.25">
      <c r="A87" t="s">
        <v>333</v>
      </c>
      <c r="B87" t="s">
        <v>111</v>
      </c>
      <c r="C87" t="s">
        <v>188</v>
      </c>
      <c r="D87">
        <v>3</v>
      </c>
      <c r="E87" s="5">
        <v>1.1111111111111112</v>
      </c>
      <c r="F87" s="5">
        <v>1.1111111111111112</v>
      </c>
      <c r="G87" s="5">
        <v>1.1111111111111112</v>
      </c>
      <c r="H87" s="5">
        <v>1.1111111111111112</v>
      </c>
      <c r="I87" s="5">
        <v>1.1111111111111112</v>
      </c>
      <c r="J87" s="5">
        <v>1.1111111111111112</v>
      </c>
      <c r="K87" s="5">
        <v>1.1111111111111112</v>
      </c>
      <c r="L87" s="5">
        <v>1.1111111111111112</v>
      </c>
    </row>
    <row r="88" spans="1:12" x14ac:dyDescent="0.25">
      <c r="A88" t="s">
        <v>333</v>
      </c>
      <c r="B88" t="s">
        <v>17</v>
      </c>
      <c r="C88" s="5" t="s">
        <v>188</v>
      </c>
      <c r="D88">
        <v>3</v>
      </c>
      <c r="E88" s="5">
        <v>1.7241379310344829</v>
      </c>
      <c r="F88" s="5">
        <v>1.6666666666666667</v>
      </c>
      <c r="G88" s="5">
        <v>1.639344262295082</v>
      </c>
      <c r="H88" s="5">
        <v>1.6129032258064517</v>
      </c>
      <c r="I88" s="5">
        <v>1.6129032258064517</v>
      </c>
      <c r="J88" s="5">
        <v>1.6129032258064517</v>
      </c>
      <c r="K88" s="5">
        <v>1.6</v>
      </c>
      <c r="L88" s="5">
        <v>1.5873015873015872</v>
      </c>
    </row>
    <row r="89" spans="1:12" x14ac:dyDescent="0.25">
      <c r="A89" t="s">
        <v>333</v>
      </c>
      <c r="B89" t="s">
        <v>207</v>
      </c>
      <c r="C89" s="5" t="s">
        <v>186</v>
      </c>
      <c r="D89">
        <v>1</v>
      </c>
      <c r="E89" s="5">
        <v>1.1111111111111112</v>
      </c>
      <c r="F89" s="5">
        <v>1.1111111111111112</v>
      </c>
      <c r="G89" s="5">
        <v>1.1111111111111112</v>
      </c>
      <c r="H89" s="5">
        <v>1.1111111111111112</v>
      </c>
      <c r="I89" s="5">
        <v>1.1111111111111112</v>
      </c>
      <c r="J89" s="5">
        <v>1.1111111111111112</v>
      </c>
      <c r="K89" s="5">
        <v>1.1111111111111112</v>
      </c>
      <c r="L89" s="5">
        <v>1.1111111111111112</v>
      </c>
    </row>
    <row r="90" spans="1:12" x14ac:dyDescent="0.25">
      <c r="A90" t="s">
        <v>333</v>
      </c>
      <c r="B90" t="s">
        <v>207</v>
      </c>
      <c r="C90" s="5" t="s">
        <v>187</v>
      </c>
      <c r="D90">
        <v>2</v>
      </c>
      <c r="E90" s="5">
        <v>1.1111111111111112</v>
      </c>
      <c r="F90" s="5">
        <v>1.1111111111111112</v>
      </c>
      <c r="G90" s="5">
        <v>1.1111111111111112</v>
      </c>
      <c r="H90" s="5">
        <v>1.1111111111111112</v>
      </c>
      <c r="I90" s="5">
        <v>1.1111111111111112</v>
      </c>
      <c r="J90" s="5">
        <v>1.1111111111111112</v>
      </c>
      <c r="K90" s="5">
        <v>1.1111111111111112</v>
      </c>
      <c r="L90" s="5">
        <v>1.1111111111111112</v>
      </c>
    </row>
    <row r="91" spans="1:12" x14ac:dyDescent="0.25">
      <c r="A91" t="s">
        <v>333</v>
      </c>
      <c r="B91" t="s">
        <v>207</v>
      </c>
      <c r="C91" s="5" t="s">
        <v>188</v>
      </c>
      <c r="D91">
        <v>3</v>
      </c>
      <c r="E91" s="5">
        <v>1.1111111111111112</v>
      </c>
      <c r="F91" s="5">
        <v>1.1111111111111112</v>
      </c>
      <c r="G91" s="5">
        <v>1.1111111111111112</v>
      </c>
      <c r="H91" s="5">
        <v>1.1111111111111112</v>
      </c>
      <c r="I91" s="5">
        <v>1.1111111111111112</v>
      </c>
      <c r="J91" s="5">
        <v>1.1111111111111112</v>
      </c>
      <c r="K91" s="5">
        <v>1.1111111111111112</v>
      </c>
      <c r="L91" s="5">
        <v>1.1111111111111112</v>
      </c>
    </row>
    <row r="92" spans="1:12" x14ac:dyDescent="0.25">
      <c r="A92" t="s">
        <v>333</v>
      </c>
      <c r="B92" t="s">
        <v>194</v>
      </c>
      <c r="C92" s="5" t="s">
        <v>186</v>
      </c>
      <c r="D92">
        <v>1</v>
      </c>
      <c r="E92" s="5">
        <v>1.2195121951219512</v>
      </c>
      <c r="F92" s="5">
        <v>1.2195121951219512</v>
      </c>
      <c r="G92" s="5">
        <v>1.2195121951219512</v>
      </c>
      <c r="H92" s="5">
        <v>1.2195121951219512</v>
      </c>
      <c r="I92" s="5">
        <v>1.2195121951219512</v>
      </c>
      <c r="J92" s="5">
        <v>1.2195121951219512</v>
      </c>
      <c r="K92" s="5">
        <v>1.2195121951219512</v>
      </c>
      <c r="L92" s="5">
        <v>1.2195121951219512</v>
      </c>
    </row>
    <row r="93" spans="1:12" x14ac:dyDescent="0.25">
      <c r="A93" t="s">
        <v>333</v>
      </c>
      <c r="B93" t="s">
        <v>194</v>
      </c>
      <c r="C93" s="5" t="s">
        <v>187</v>
      </c>
      <c r="D93">
        <v>2</v>
      </c>
      <c r="E93" s="5">
        <v>1.2195121951219512</v>
      </c>
      <c r="F93" s="5">
        <v>1.2195121951219512</v>
      </c>
      <c r="G93" s="5">
        <v>1.2195121951219512</v>
      </c>
      <c r="H93" s="5">
        <v>1.2195121951219512</v>
      </c>
      <c r="I93" s="5">
        <v>1.2195121951219512</v>
      </c>
      <c r="J93" s="5">
        <v>1.2195121951219512</v>
      </c>
      <c r="K93" s="5">
        <v>1.2195121951219512</v>
      </c>
      <c r="L93" s="5">
        <v>1.2195121951219512</v>
      </c>
    </row>
    <row r="94" spans="1:12" x14ac:dyDescent="0.25">
      <c r="A94" t="s">
        <v>333</v>
      </c>
      <c r="B94" t="s">
        <v>194</v>
      </c>
      <c r="C94" t="s">
        <v>188</v>
      </c>
      <c r="D94">
        <v>3</v>
      </c>
      <c r="E94" s="5">
        <v>1.2195121951219512</v>
      </c>
      <c r="F94" s="5">
        <v>1.2195121951219512</v>
      </c>
      <c r="G94" s="5">
        <v>1.2195121951219512</v>
      </c>
      <c r="H94" s="5">
        <v>1.2195121951219512</v>
      </c>
      <c r="I94" s="5">
        <v>1.2195121951219512</v>
      </c>
      <c r="J94" s="5">
        <v>1.2195121951219512</v>
      </c>
      <c r="K94" s="5">
        <v>1.2195121951219512</v>
      </c>
      <c r="L94" s="5">
        <v>1.2195121951219512</v>
      </c>
    </row>
    <row r="95" spans="1:12" x14ac:dyDescent="0.25">
      <c r="A95" t="s">
        <v>333</v>
      </c>
      <c r="B95" t="s">
        <v>189</v>
      </c>
      <c r="C95" s="5" t="s">
        <v>136</v>
      </c>
      <c r="D95" s="5">
        <v>1</v>
      </c>
      <c r="E95" s="5">
        <v>1.25</v>
      </c>
      <c r="F95" s="5">
        <v>1.2195121951219512</v>
      </c>
      <c r="G95" s="5">
        <v>1.2048192771084338</v>
      </c>
      <c r="H95" s="5">
        <v>1.1904761904761905</v>
      </c>
      <c r="I95" s="5">
        <v>1.1764705882352942</v>
      </c>
      <c r="J95" s="5">
        <v>1.1764705882352942</v>
      </c>
      <c r="K95" s="5">
        <v>1.1764705882352942</v>
      </c>
      <c r="L95" s="5">
        <v>1.1764705882352942</v>
      </c>
    </row>
    <row r="96" spans="1:12" x14ac:dyDescent="0.25">
      <c r="A96" t="s">
        <v>333</v>
      </c>
      <c r="B96" t="s">
        <v>193</v>
      </c>
      <c r="C96" s="5" t="s">
        <v>136</v>
      </c>
      <c r="D96" s="5">
        <v>1</v>
      </c>
      <c r="E96" s="5">
        <v>1.5384615384615383</v>
      </c>
      <c r="F96" s="5">
        <v>1.346153846153846</v>
      </c>
      <c r="G96" s="5">
        <v>1.2820512820512819</v>
      </c>
      <c r="H96" s="5">
        <v>1.266025641025641</v>
      </c>
      <c r="I96" s="5">
        <v>1.2580128205128205</v>
      </c>
      <c r="J96" s="5">
        <v>1.2540064102564101</v>
      </c>
      <c r="K96" s="5">
        <v>1.2520032051282051</v>
      </c>
      <c r="L96" s="5">
        <v>1.25</v>
      </c>
    </row>
    <row r="97" spans="1:12" x14ac:dyDescent="0.25">
      <c r="A97" t="s">
        <v>333</v>
      </c>
      <c r="B97" t="s">
        <v>190</v>
      </c>
      <c r="C97" s="5" t="s">
        <v>146</v>
      </c>
      <c r="D97" s="5">
        <v>1</v>
      </c>
      <c r="E97" s="5">
        <v>1.3333333333333333</v>
      </c>
      <c r="F97" s="5">
        <v>1.3333333333333333</v>
      </c>
      <c r="G97" s="5">
        <v>1.3333333333333333</v>
      </c>
      <c r="H97" s="5">
        <v>1.3333333333333333</v>
      </c>
      <c r="I97" s="5">
        <v>1.3333333333333333</v>
      </c>
      <c r="J97" s="5">
        <v>1.3333333333333333</v>
      </c>
      <c r="K97" s="5">
        <v>1.3333333333333333</v>
      </c>
      <c r="L97" s="5">
        <v>1.3333333333333333</v>
      </c>
    </row>
    <row r="98" spans="1:12" x14ac:dyDescent="0.25">
      <c r="A98" t="s">
        <v>333</v>
      </c>
      <c r="B98" t="s">
        <v>191</v>
      </c>
      <c r="C98" t="s">
        <v>147</v>
      </c>
      <c r="D98">
        <v>1</v>
      </c>
      <c r="E98" s="5">
        <v>1.3333333333333333</v>
      </c>
      <c r="F98" s="5">
        <v>1.3333333333333333</v>
      </c>
      <c r="G98" s="5">
        <v>1.3333333333333333</v>
      </c>
      <c r="H98" s="5">
        <v>1.3333333333333333</v>
      </c>
      <c r="I98" s="5">
        <v>1.3333333333333333</v>
      </c>
      <c r="J98" s="5">
        <v>1.3333333333333333</v>
      </c>
      <c r="K98" s="5">
        <v>1.3333333333333333</v>
      </c>
      <c r="L98" s="5">
        <v>1.3333333333333333</v>
      </c>
    </row>
    <row r="99" spans="1:12" x14ac:dyDescent="0.25">
      <c r="A99" t="s">
        <v>333</v>
      </c>
      <c r="B99" t="s">
        <v>192</v>
      </c>
      <c r="C99" s="5" t="s">
        <v>146</v>
      </c>
      <c r="D99">
        <v>1</v>
      </c>
      <c r="E99" s="5">
        <v>1.6666666666666667</v>
      </c>
      <c r="F99" s="5">
        <v>1.6666666666666667</v>
      </c>
      <c r="G99" s="5">
        <v>1.6666666666666667</v>
      </c>
      <c r="H99" s="5">
        <v>1.6666666666666667</v>
      </c>
      <c r="I99" s="5">
        <v>1.6666666666666667</v>
      </c>
      <c r="J99" s="5">
        <v>1.6666666666666667</v>
      </c>
      <c r="K99" s="5">
        <v>1.6666666666666667</v>
      </c>
      <c r="L99" s="5">
        <v>1.6666666666666667</v>
      </c>
    </row>
    <row r="100" spans="1:12" x14ac:dyDescent="0.25">
      <c r="A100" t="s">
        <v>333</v>
      </c>
      <c r="B100" t="s">
        <v>215</v>
      </c>
      <c r="C100" s="5" t="s">
        <v>147</v>
      </c>
      <c r="D100">
        <v>1</v>
      </c>
      <c r="E100" s="5">
        <v>1.6666666666666667</v>
      </c>
      <c r="F100" s="5">
        <v>1.6666666666666667</v>
      </c>
      <c r="G100" s="5">
        <v>1.6666666666666667</v>
      </c>
      <c r="H100" s="5">
        <v>1.6666666666666667</v>
      </c>
      <c r="I100" s="5">
        <v>1.6666666666666667</v>
      </c>
      <c r="J100" s="5">
        <v>1.6666666666666667</v>
      </c>
      <c r="K100" s="5">
        <v>1.6666666666666667</v>
      </c>
      <c r="L100" s="5">
        <v>1.6666666666666667</v>
      </c>
    </row>
    <row r="101" spans="1:12" x14ac:dyDescent="0.25">
      <c r="A101" t="s">
        <v>333</v>
      </c>
      <c r="B101" t="s">
        <v>216</v>
      </c>
      <c r="C101" t="s">
        <v>19</v>
      </c>
      <c r="D101">
        <v>1</v>
      </c>
      <c r="E101" s="5">
        <v>1.0416666666666667</v>
      </c>
      <c r="F101" s="5">
        <v>1.0309278350515465</v>
      </c>
      <c r="G101" s="5">
        <v>1.0256410256410258</v>
      </c>
      <c r="H101" s="5">
        <v>1.0204081632653061</v>
      </c>
      <c r="I101" s="5">
        <v>1.015228426395939</v>
      </c>
      <c r="J101" s="5">
        <v>1.0101010101010102</v>
      </c>
      <c r="K101" s="5">
        <v>1.0050251256281406</v>
      </c>
      <c r="L101" s="5">
        <v>1</v>
      </c>
    </row>
    <row r="102" spans="1:12" x14ac:dyDescent="0.25">
      <c r="A102" t="s">
        <v>333</v>
      </c>
      <c r="B102" t="s">
        <v>217</v>
      </c>
      <c r="C102" t="s">
        <v>157</v>
      </c>
      <c r="D102">
        <v>1</v>
      </c>
      <c r="E102" s="5">
        <v>0.16582635717909688</v>
      </c>
      <c r="F102" s="5">
        <v>0.16582635717909688</v>
      </c>
      <c r="G102" s="5">
        <v>0.16582635717909688</v>
      </c>
      <c r="H102" s="5">
        <v>0.16582635717909688</v>
      </c>
      <c r="I102" s="5">
        <v>0.16582635717909688</v>
      </c>
      <c r="J102" s="5">
        <v>0.16582635717909688</v>
      </c>
      <c r="K102" s="5">
        <v>0.16582635717909688</v>
      </c>
      <c r="L102" s="5">
        <v>0.16582635717909688</v>
      </c>
    </row>
    <row r="103" spans="1:12" x14ac:dyDescent="0.25">
      <c r="A103" t="s">
        <v>333</v>
      </c>
      <c r="B103" t="s">
        <v>218</v>
      </c>
      <c r="C103" t="s">
        <v>19</v>
      </c>
      <c r="D103">
        <v>1</v>
      </c>
      <c r="E103" s="5">
        <v>0.4</v>
      </c>
      <c r="F103" s="5">
        <v>0.35555555555555557</v>
      </c>
      <c r="G103" s="5">
        <v>0.34074074074074073</v>
      </c>
      <c r="H103" s="5">
        <v>0.33703703703703702</v>
      </c>
      <c r="I103" s="5">
        <v>0.33518518518518514</v>
      </c>
      <c r="J103" s="5">
        <v>0.33425925925925926</v>
      </c>
      <c r="K103" s="5">
        <v>0.33379629629629626</v>
      </c>
      <c r="L103" s="5">
        <v>0.33333333333333331</v>
      </c>
    </row>
    <row r="104" spans="1:12" x14ac:dyDescent="0.25">
      <c r="A104" t="s">
        <v>333</v>
      </c>
      <c r="B104" t="s">
        <v>219</v>
      </c>
      <c r="C104" s="5" t="s">
        <v>19</v>
      </c>
      <c r="D104">
        <v>1</v>
      </c>
      <c r="E104" s="5">
        <v>0.2857142857142857</v>
      </c>
      <c r="F104" s="5">
        <v>0.26190476190476192</v>
      </c>
      <c r="G104" s="5">
        <v>0.25396825396825395</v>
      </c>
      <c r="H104" s="5">
        <v>0.25198412698412698</v>
      </c>
      <c r="I104" s="5">
        <v>0.25099206349206349</v>
      </c>
      <c r="J104" s="5">
        <v>0.25049603174603174</v>
      </c>
      <c r="K104" s="5">
        <v>0.25024801587301587</v>
      </c>
      <c r="L104" s="5">
        <v>0.25</v>
      </c>
    </row>
    <row r="105" spans="1:12" x14ac:dyDescent="0.25">
      <c r="A105" t="s">
        <v>333</v>
      </c>
      <c r="B105" t="s">
        <v>198</v>
      </c>
      <c r="C105" s="5" t="s">
        <v>225</v>
      </c>
      <c r="D105">
        <v>1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</row>
    <row r="106" spans="1:12" x14ac:dyDescent="0.25">
      <c r="A106" t="s">
        <v>333</v>
      </c>
      <c r="B106" t="s">
        <v>208</v>
      </c>
      <c r="C106" s="5" t="s">
        <v>133</v>
      </c>
      <c r="D106">
        <v>1</v>
      </c>
      <c r="E106" s="5">
        <v>1.1764705882352942</v>
      </c>
      <c r="F106" s="5">
        <v>1.1764705882352942</v>
      </c>
      <c r="G106" s="5">
        <v>1.1764705882352942</v>
      </c>
      <c r="H106" s="5">
        <v>1.1764705882352942</v>
      </c>
      <c r="I106" s="5">
        <v>1.1764705882352942</v>
      </c>
      <c r="J106" s="5">
        <v>1.1764705882352942</v>
      </c>
      <c r="K106" s="5">
        <v>1.1764705882352942</v>
      </c>
      <c r="L106" s="5">
        <v>1.1764705882352942</v>
      </c>
    </row>
    <row r="107" spans="1:12" x14ac:dyDescent="0.25">
      <c r="A107" t="s">
        <v>333</v>
      </c>
      <c r="B107" t="s">
        <v>209</v>
      </c>
      <c r="C107" t="s">
        <v>186</v>
      </c>
      <c r="D107">
        <v>1</v>
      </c>
      <c r="E107" s="5">
        <v>1.1111111111111112</v>
      </c>
      <c r="F107" s="5">
        <v>1.1111111111111112</v>
      </c>
      <c r="G107" s="5">
        <v>1.1111111111111112</v>
      </c>
      <c r="H107" s="5">
        <v>1.1111111111111112</v>
      </c>
      <c r="I107" s="5">
        <v>1.1111111111111112</v>
      </c>
      <c r="J107" s="5">
        <v>1.1111111111111112</v>
      </c>
      <c r="K107" s="5">
        <v>1.1111111111111112</v>
      </c>
      <c r="L107" s="5">
        <v>1.1111111111111112</v>
      </c>
    </row>
    <row r="108" spans="1:12" x14ac:dyDescent="0.25">
      <c r="A108" t="s">
        <v>333</v>
      </c>
      <c r="B108" t="s">
        <v>209</v>
      </c>
      <c r="C108" s="5" t="s">
        <v>187</v>
      </c>
      <c r="D108">
        <v>2</v>
      </c>
      <c r="E108" s="5">
        <v>1.1111111111111112</v>
      </c>
      <c r="F108" s="5">
        <v>1.1111111111111112</v>
      </c>
      <c r="G108" s="5">
        <v>1.1111111111111112</v>
      </c>
      <c r="H108" s="5">
        <v>1.1111111111111112</v>
      </c>
      <c r="I108" s="5">
        <v>1.1111111111111112</v>
      </c>
      <c r="J108" s="5">
        <v>1.1111111111111112</v>
      </c>
      <c r="K108" s="5">
        <v>1.1111111111111112</v>
      </c>
      <c r="L108" s="5">
        <v>1.1111111111111112</v>
      </c>
    </row>
    <row r="109" spans="1:12" x14ac:dyDescent="0.25">
      <c r="A109" t="s">
        <v>333</v>
      </c>
      <c r="B109" t="s">
        <v>209</v>
      </c>
      <c r="C109" s="5" t="s">
        <v>188</v>
      </c>
      <c r="D109">
        <v>3</v>
      </c>
      <c r="E109" s="5">
        <v>1.1111111111111112</v>
      </c>
      <c r="F109" s="5">
        <v>1.1111111111111112</v>
      </c>
      <c r="G109" s="5">
        <v>1.1111111111111112</v>
      </c>
      <c r="H109" s="5">
        <v>1.1111111111111112</v>
      </c>
      <c r="I109" s="5">
        <v>1.1111111111111112</v>
      </c>
      <c r="J109" s="5">
        <v>1.1111111111111112</v>
      </c>
      <c r="K109" s="5">
        <v>1.1111111111111112</v>
      </c>
      <c r="L109" s="5">
        <v>1.1111111111111112</v>
      </c>
    </row>
    <row r="110" spans="1:12" x14ac:dyDescent="0.25">
      <c r="A110" t="s">
        <v>333</v>
      </c>
      <c r="B110" t="s">
        <v>199</v>
      </c>
      <c r="C110" s="5" t="s">
        <v>186</v>
      </c>
      <c r="D110">
        <v>1</v>
      </c>
      <c r="E110" s="5">
        <v>1.2195121951219512</v>
      </c>
      <c r="F110" s="5">
        <v>1.2195121951219512</v>
      </c>
      <c r="G110" s="5">
        <v>1.2195121951219512</v>
      </c>
      <c r="H110" s="5">
        <v>1.2195121951219512</v>
      </c>
      <c r="I110" s="5">
        <v>1.2195121951219512</v>
      </c>
      <c r="J110" s="5">
        <v>1.2195121951219512</v>
      </c>
      <c r="K110" s="5">
        <v>1.2195121951219512</v>
      </c>
      <c r="L110" s="5">
        <v>1.2195121951219512</v>
      </c>
    </row>
    <row r="111" spans="1:12" x14ac:dyDescent="0.25">
      <c r="A111" t="s">
        <v>333</v>
      </c>
      <c r="B111" t="s">
        <v>199</v>
      </c>
      <c r="C111" t="s">
        <v>187</v>
      </c>
      <c r="D111">
        <v>2</v>
      </c>
      <c r="E111" s="5">
        <v>1.2195121951219512</v>
      </c>
      <c r="F111" s="5">
        <v>1.2195121951219512</v>
      </c>
      <c r="G111" s="5">
        <v>1.2195121951219512</v>
      </c>
      <c r="H111" s="5">
        <v>1.2195121951219512</v>
      </c>
      <c r="I111" s="5">
        <v>1.2195121951219512</v>
      </c>
      <c r="J111" s="5">
        <v>1.2195121951219512</v>
      </c>
      <c r="K111" s="5">
        <v>1.2195121951219512</v>
      </c>
      <c r="L111" s="5">
        <v>1.2195121951219512</v>
      </c>
    </row>
    <row r="112" spans="1:12" x14ac:dyDescent="0.25">
      <c r="A112" t="s">
        <v>333</v>
      </c>
      <c r="B112" t="s">
        <v>199</v>
      </c>
      <c r="C112" s="5" t="s">
        <v>188</v>
      </c>
      <c r="D112">
        <v>3</v>
      </c>
      <c r="E112" s="5">
        <v>1.2195121951219512</v>
      </c>
      <c r="F112" s="5">
        <v>1.2195121951219512</v>
      </c>
      <c r="G112" s="5">
        <v>1.2195121951219512</v>
      </c>
      <c r="H112" s="5">
        <v>1.2195121951219512</v>
      </c>
      <c r="I112" s="5">
        <v>1.2195121951219512</v>
      </c>
      <c r="J112" s="5">
        <v>1.2195121951219512</v>
      </c>
      <c r="K112" s="5">
        <v>1.2195121951219512</v>
      </c>
      <c r="L112" s="5">
        <v>1.2195121951219512</v>
      </c>
    </row>
    <row r="113" spans="1:12" x14ac:dyDescent="0.25">
      <c r="A113" t="s">
        <v>333</v>
      </c>
      <c r="B113" t="s">
        <v>200</v>
      </c>
      <c r="C113" t="s">
        <v>136</v>
      </c>
      <c r="D113">
        <v>1</v>
      </c>
      <c r="E113" s="5">
        <v>1.25</v>
      </c>
      <c r="F113" s="5">
        <v>1.2195121951219512</v>
      </c>
      <c r="G113" s="5">
        <v>1.2048192771084338</v>
      </c>
      <c r="H113" s="5">
        <v>1.1904761904761905</v>
      </c>
      <c r="I113" s="5">
        <v>1.1764705882352942</v>
      </c>
      <c r="J113" s="5">
        <v>1.1764705882352942</v>
      </c>
      <c r="K113" s="5">
        <v>1.1764705882352942</v>
      </c>
      <c r="L113" s="5">
        <v>1.1764705882352942</v>
      </c>
    </row>
    <row r="114" spans="1:12" x14ac:dyDescent="0.25">
      <c r="A114" t="s">
        <v>333</v>
      </c>
      <c r="B114" t="s">
        <v>201</v>
      </c>
      <c r="C114" s="5" t="s">
        <v>136</v>
      </c>
      <c r="D114">
        <v>1</v>
      </c>
      <c r="E114" s="5">
        <v>1.5384615384615383</v>
      </c>
      <c r="F114" s="5">
        <v>1.346153846153846</v>
      </c>
      <c r="G114" s="5">
        <v>1.2820512820512819</v>
      </c>
      <c r="H114" s="5">
        <v>1.266025641025641</v>
      </c>
      <c r="I114" s="5">
        <v>1.2580128205128205</v>
      </c>
      <c r="J114" s="5">
        <v>1.2540064102564101</v>
      </c>
      <c r="K114" s="5">
        <v>1.2520032051282051</v>
      </c>
      <c r="L114" s="5">
        <v>1.25</v>
      </c>
    </row>
    <row r="115" spans="1:12" x14ac:dyDescent="0.25">
      <c r="A115" t="s">
        <v>333</v>
      </c>
      <c r="B115" t="s">
        <v>202</v>
      </c>
      <c r="C115" t="s">
        <v>146</v>
      </c>
      <c r="D115">
        <v>1</v>
      </c>
      <c r="E115" s="5">
        <v>1.3333333333333333</v>
      </c>
      <c r="F115" s="5">
        <v>1.3333333333333333</v>
      </c>
      <c r="G115" s="5">
        <v>1.3333333333333333</v>
      </c>
      <c r="H115" s="5">
        <v>1.3333333333333333</v>
      </c>
      <c r="I115" s="5">
        <v>1.3333333333333333</v>
      </c>
      <c r="J115" s="5">
        <v>1.3333333333333333</v>
      </c>
      <c r="K115" s="5">
        <v>1.3333333333333333</v>
      </c>
      <c r="L115" s="5">
        <v>1.3333333333333333</v>
      </c>
    </row>
    <row r="116" spans="1:12" x14ac:dyDescent="0.25">
      <c r="A116" t="s">
        <v>333</v>
      </c>
      <c r="B116" t="s">
        <v>203</v>
      </c>
      <c r="C116" t="s">
        <v>147</v>
      </c>
      <c r="D116">
        <v>1</v>
      </c>
      <c r="E116" s="5">
        <v>1.3333333333333333</v>
      </c>
      <c r="F116" s="5">
        <v>1.3333333333333333</v>
      </c>
      <c r="G116" s="5">
        <v>1.3333333333333333</v>
      </c>
      <c r="H116" s="5">
        <v>1.3333333333333333</v>
      </c>
      <c r="I116" s="5">
        <v>1.3333333333333333</v>
      </c>
      <c r="J116" s="5">
        <v>1.3333333333333333</v>
      </c>
      <c r="K116" s="5">
        <v>1.3333333333333333</v>
      </c>
      <c r="L116" s="5">
        <v>1.3333333333333333</v>
      </c>
    </row>
    <row r="117" spans="1:12" x14ac:dyDescent="0.25">
      <c r="A117" t="s">
        <v>333</v>
      </c>
      <c r="B117" t="s">
        <v>204</v>
      </c>
      <c r="C117" t="s">
        <v>146</v>
      </c>
      <c r="D117">
        <v>1</v>
      </c>
      <c r="E117" s="5">
        <v>1.6666666666666667</v>
      </c>
      <c r="F117" s="5">
        <v>1.6666666666666667</v>
      </c>
      <c r="G117" s="5">
        <v>1.6666666666666667</v>
      </c>
      <c r="H117" s="5">
        <v>1.6666666666666667</v>
      </c>
      <c r="I117" s="5">
        <v>1.6666666666666667</v>
      </c>
      <c r="J117" s="5">
        <v>1.6666666666666667</v>
      </c>
      <c r="K117" s="5">
        <v>1.6666666666666667</v>
      </c>
      <c r="L117" s="5">
        <v>1.6666666666666667</v>
      </c>
    </row>
    <row r="118" spans="1:12" x14ac:dyDescent="0.25">
      <c r="A118" t="s">
        <v>333</v>
      </c>
      <c r="B118" t="s">
        <v>232</v>
      </c>
      <c r="C118" t="s">
        <v>147</v>
      </c>
      <c r="D118">
        <v>1</v>
      </c>
      <c r="E118" s="5">
        <v>1.6666666666666667</v>
      </c>
      <c r="F118" s="5">
        <v>1.6666666666666667</v>
      </c>
      <c r="G118" s="5">
        <v>1.6666666666666667</v>
      </c>
      <c r="H118" s="5">
        <v>1.6666666666666667</v>
      </c>
      <c r="I118" s="5">
        <v>1.6666666666666667</v>
      </c>
      <c r="J118" s="5">
        <v>1.6666666666666667</v>
      </c>
      <c r="K118" s="5">
        <v>1.6666666666666667</v>
      </c>
      <c r="L118" s="5">
        <v>1.6666666666666667</v>
      </c>
    </row>
    <row r="119" spans="1:12" x14ac:dyDescent="0.25">
      <c r="A119" t="s">
        <v>333</v>
      </c>
      <c r="B119" t="s">
        <v>220</v>
      </c>
      <c r="C119" t="s">
        <v>19</v>
      </c>
      <c r="D119">
        <v>1</v>
      </c>
      <c r="E119" s="5">
        <v>1.0101010101010102</v>
      </c>
      <c r="F119" s="5">
        <v>1.0101010101010102</v>
      </c>
      <c r="G119" s="5">
        <v>1.0101010101010102</v>
      </c>
      <c r="H119" s="5">
        <v>1.0101010101010102</v>
      </c>
      <c r="I119" s="5">
        <v>1.0101010101010102</v>
      </c>
      <c r="J119" s="5">
        <v>1.0101010101010102</v>
      </c>
      <c r="K119" s="5">
        <v>1.0101010101010102</v>
      </c>
      <c r="L119" s="5">
        <v>1.0101010101010102</v>
      </c>
    </row>
    <row r="120" spans="1:12" x14ac:dyDescent="0.25">
      <c r="A120" t="s">
        <v>333</v>
      </c>
      <c r="B120" t="s">
        <v>221</v>
      </c>
      <c r="C120" t="s">
        <v>158</v>
      </c>
      <c r="D120">
        <v>1</v>
      </c>
      <c r="E120" s="5">
        <v>0.16582635717909688</v>
      </c>
      <c r="F120" s="5">
        <v>0.16582635717909688</v>
      </c>
      <c r="G120" s="5">
        <v>0.16582635717909688</v>
      </c>
      <c r="H120" s="5">
        <v>0.16582635717909688</v>
      </c>
      <c r="I120" s="5">
        <v>0.16582635717909688</v>
      </c>
      <c r="J120" s="5">
        <v>0.16582635717909688</v>
      </c>
      <c r="K120" s="5">
        <v>0.16582635717909688</v>
      </c>
      <c r="L120" s="5">
        <v>0.16582635717909688</v>
      </c>
    </row>
    <row r="121" spans="1:12" x14ac:dyDescent="0.25">
      <c r="A121" t="s">
        <v>333</v>
      </c>
      <c r="B121" t="s">
        <v>222</v>
      </c>
      <c r="C121" t="s">
        <v>135</v>
      </c>
      <c r="D121">
        <v>1</v>
      </c>
      <c r="E121" s="5">
        <v>2.1276595744680851</v>
      </c>
      <c r="F121" s="5">
        <v>2.0833333333333335</v>
      </c>
      <c r="G121" s="5">
        <v>2.0408163265306123</v>
      </c>
      <c r="H121" s="5">
        <v>2</v>
      </c>
      <c r="I121" s="5">
        <v>1.9801980198019802</v>
      </c>
      <c r="J121" s="5">
        <v>1.9607843137254901</v>
      </c>
      <c r="K121" s="5">
        <v>1.9607843137254901</v>
      </c>
      <c r="L121" s="5">
        <v>1.9607843137254901</v>
      </c>
    </row>
    <row r="122" spans="1:12" x14ac:dyDescent="0.25">
      <c r="A122" t="s">
        <v>333</v>
      </c>
      <c r="B122" t="s">
        <v>222</v>
      </c>
      <c r="C122" t="s">
        <v>135</v>
      </c>
      <c r="D122">
        <v>2</v>
      </c>
      <c r="E122" s="5">
        <v>2.7027027027027026</v>
      </c>
      <c r="F122" s="5">
        <v>2.6315789473684212</v>
      </c>
      <c r="G122" s="5">
        <v>2.5974025974025974</v>
      </c>
      <c r="H122" s="5">
        <v>2.5641025641025639</v>
      </c>
      <c r="I122" s="5">
        <v>2.5316455696202529</v>
      </c>
      <c r="J122" s="5">
        <v>2.5</v>
      </c>
      <c r="K122" s="5">
        <v>2.5</v>
      </c>
      <c r="L122" s="5">
        <v>2.5</v>
      </c>
    </row>
    <row r="123" spans="1:12" x14ac:dyDescent="0.25">
      <c r="A123" t="s">
        <v>333</v>
      </c>
      <c r="B123" t="s">
        <v>205</v>
      </c>
      <c r="C123" t="s">
        <v>225</v>
      </c>
      <c r="D123">
        <v>1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</row>
    <row r="124" spans="1:12" x14ac:dyDescent="0.25">
      <c r="A124" t="s">
        <v>333</v>
      </c>
      <c r="B124" t="s">
        <v>210</v>
      </c>
      <c r="C124" s="5" t="s">
        <v>133</v>
      </c>
      <c r="D124">
        <v>1</v>
      </c>
      <c r="E124" s="5">
        <v>1.1764705882352942</v>
      </c>
      <c r="F124" s="5">
        <v>1.1764705882352942</v>
      </c>
      <c r="G124" s="5">
        <v>1.1764705882352942</v>
      </c>
      <c r="H124" s="5">
        <v>1.1764705882352942</v>
      </c>
      <c r="I124" s="5">
        <v>1.1764705882352942</v>
      </c>
      <c r="J124" s="5">
        <v>1.1764705882352942</v>
      </c>
      <c r="K124" s="5">
        <v>1.1764705882352942</v>
      </c>
      <c r="L124" s="5">
        <v>1.1764705882352942</v>
      </c>
    </row>
    <row r="125" spans="1:12" x14ac:dyDescent="0.25">
      <c r="A125" t="s">
        <v>333</v>
      </c>
      <c r="B125" t="s">
        <v>206</v>
      </c>
      <c r="C125" t="s">
        <v>133</v>
      </c>
      <c r="D125">
        <v>1</v>
      </c>
      <c r="E125" s="5">
        <v>1.3513513513513513</v>
      </c>
      <c r="F125" s="5">
        <v>1.3513513513513513</v>
      </c>
      <c r="G125" s="5">
        <v>1.3513513513513513</v>
      </c>
      <c r="H125" s="5">
        <v>1.3513513513513513</v>
      </c>
      <c r="I125" s="5">
        <v>1.3513513513513513</v>
      </c>
      <c r="J125" s="5">
        <v>1.3513513513513513</v>
      </c>
      <c r="K125" s="5">
        <v>1.3513513513513513</v>
      </c>
      <c r="L125" s="5">
        <v>1.3513513513513513</v>
      </c>
    </row>
    <row r="126" spans="1:12" x14ac:dyDescent="0.25">
      <c r="A126" t="s">
        <v>333</v>
      </c>
      <c r="B126" t="s">
        <v>213</v>
      </c>
      <c r="C126" s="5" t="s">
        <v>186</v>
      </c>
      <c r="D126">
        <v>1</v>
      </c>
      <c r="E126" s="5">
        <v>1.0989010989010988</v>
      </c>
      <c r="F126" s="5">
        <v>1.0989010989010988</v>
      </c>
      <c r="G126" s="5">
        <v>1.0989010989010988</v>
      </c>
      <c r="H126" s="5">
        <v>1.0989010989010988</v>
      </c>
      <c r="I126" s="5">
        <v>1.0989010989010988</v>
      </c>
      <c r="J126" s="5">
        <v>1.0989010989010988</v>
      </c>
      <c r="K126" s="5">
        <v>1.0989010989010988</v>
      </c>
      <c r="L126" s="5">
        <v>1.0989010989010988</v>
      </c>
    </row>
    <row r="127" spans="1:12" x14ac:dyDescent="0.25">
      <c r="A127" t="s">
        <v>333</v>
      </c>
      <c r="B127" t="s">
        <v>213</v>
      </c>
      <c r="C127" t="s">
        <v>187</v>
      </c>
      <c r="D127">
        <v>2</v>
      </c>
      <c r="E127" s="5">
        <v>1.0989010989010988</v>
      </c>
      <c r="F127" s="5">
        <v>1.0989010989010988</v>
      </c>
      <c r="G127" s="5">
        <v>1.0989010989010988</v>
      </c>
      <c r="H127" s="5">
        <v>1.0989010989010988</v>
      </c>
      <c r="I127" s="5">
        <v>1.0989010989010988</v>
      </c>
      <c r="J127" s="5">
        <v>1.0989010989010988</v>
      </c>
      <c r="K127" s="5">
        <v>1.0989010989010988</v>
      </c>
      <c r="L127" s="5">
        <v>1.0989010989010988</v>
      </c>
    </row>
    <row r="128" spans="1:12" x14ac:dyDescent="0.25">
      <c r="A128" t="s">
        <v>333</v>
      </c>
      <c r="B128" t="s">
        <v>213</v>
      </c>
      <c r="C128" s="5" t="s">
        <v>188</v>
      </c>
      <c r="D128">
        <v>3</v>
      </c>
      <c r="E128" s="5">
        <v>1.0989010989010988</v>
      </c>
      <c r="F128" s="5">
        <v>1.0989010989010988</v>
      </c>
      <c r="G128" s="5">
        <v>1.0989010989010988</v>
      </c>
      <c r="H128" s="5">
        <v>1.0989010989010988</v>
      </c>
      <c r="I128" s="5">
        <v>1.0989010989010988</v>
      </c>
      <c r="J128" s="5">
        <v>1.0989010989010988</v>
      </c>
      <c r="K128" s="5">
        <v>1.0989010989010988</v>
      </c>
      <c r="L128" s="5">
        <v>1.0989010989010988</v>
      </c>
    </row>
    <row r="129" spans="1:12" x14ac:dyDescent="0.25">
      <c r="A129" t="s">
        <v>333</v>
      </c>
      <c r="B129" t="s">
        <v>224</v>
      </c>
      <c r="C129" t="s">
        <v>135</v>
      </c>
      <c r="D129">
        <v>1</v>
      </c>
      <c r="E129" s="5">
        <v>1.0989010989010988</v>
      </c>
      <c r="F129" s="5">
        <v>1.0989010989010988</v>
      </c>
      <c r="G129" s="5">
        <v>1.0989010989010988</v>
      </c>
      <c r="H129" s="5">
        <v>1.0989010989010988</v>
      </c>
      <c r="I129" s="5">
        <v>1.0989010989010988</v>
      </c>
      <c r="J129" s="5">
        <v>1.0989010989010988</v>
      </c>
      <c r="K129" s="5">
        <v>1.0989010989010988</v>
      </c>
      <c r="L129" s="5">
        <v>1.0989010989010988</v>
      </c>
    </row>
    <row r="130" spans="1:12" x14ac:dyDescent="0.25">
      <c r="A130" t="s">
        <v>333</v>
      </c>
      <c r="B130" t="s">
        <v>211</v>
      </c>
      <c r="C130" s="5" t="s">
        <v>136</v>
      </c>
      <c r="D130">
        <v>1</v>
      </c>
      <c r="E130" s="5">
        <v>1.3574660633484159</v>
      </c>
      <c r="F130" s="5">
        <v>1.3574660633484159</v>
      </c>
      <c r="G130" s="5">
        <v>1.3574660633484159</v>
      </c>
      <c r="H130" s="5">
        <v>1.3574660633484159</v>
      </c>
      <c r="I130" s="5">
        <v>1.3574660633484159</v>
      </c>
      <c r="J130" s="5">
        <v>1.3574660633484159</v>
      </c>
      <c r="K130" s="5">
        <v>1.3574660633484159</v>
      </c>
      <c r="L130" s="5">
        <v>1.3574660633484159</v>
      </c>
    </row>
    <row r="131" spans="1:12" x14ac:dyDescent="0.25">
      <c r="A131" t="s">
        <v>333</v>
      </c>
      <c r="B131" t="s">
        <v>212</v>
      </c>
      <c r="C131" t="s">
        <v>146</v>
      </c>
      <c r="D131">
        <v>1</v>
      </c>
      <c r="E131" s="5">
        <v>1.416361416361416</v>
      </c>
      <c r="F131" s="5">
        <v>1.416361416361416</v>
      </c>
      <c r="G131" s="5">
        <v>1.416361416361416</v>
      </c>
      <c r="H131" s="5">
        <v>1.416361416361416</v>
      </c>
      <c r="I131" s="5">
        <v>1.416361416361416</v>
      </c>
      <c r="J131" s="5">
        <v>1.416361416361416</v>
      </c>
      <c r="K131" s="5">
        <v>1.416361416361416</v>
      </c>
      <c r="L131" s="5">
        <v>1.416361416361416</v>
      </c>
    </row>
    <row r="132" spans="1:12" x14ac:dyDescent="0.25">
      <c r="A132" s="9" t="s">
        <v>333</v>
      </c>
      <c r="B132" t="s">
        <v>223</v>
      </c>
      <c r="C132" s="5" t="s">
        <v>19</v>
      </c>
      <c r="D132">
        <v>1</v>
      </c>
      <c r="E132" s="5">
        <v>1.0309278350515465</v>
      </c>
      <c r="F132" s="5">
        <v>1.0309278350515465</v>
      </c>
      <c r="G132" s="5">
        <v>1.0309278350515465</v>
      </c>
      <c r="H132" s="5">
        <v>1.0309278350515465</v>
      </c>
      <c r="I132" s="5">
        <v>1.0309278350515465</v>
      </c>
      <c r="J132" s="5">
        <v>1.0309278350515465</v>
      </c>
      <c r="K132" s="5">
        <v>1.0309278350515465</v>
      </c>
      <c r="L132" s="5">
        <v>1.0309278350515465</v>
      </c>
    </row>
    <row r="133" spans="1:12" x14ac:dyDescent="0.25">
      <c r="A133" s="9" t="s">
        <v>333</v>
      </c>
      <c r="B133" t="s">
        <v>214</v>
      </c>
      <c r="C133" t="s">
        <v>133</v>
      </c>
      <c r="D133">
        <v>1</v>
      </c>
      <c r="E133" s="5">
        <v>1.6772700983227298</v>
      </c>
      <c r="F133" s="5">
        <v>1.6772700983227298</v>
      </c>
      <c r="G133" s="5">
        <v>1.6772700983227298</v>
      </c>
      <c r="H133" s="5">
        <v>1.6772700983227298</v>
      </c>
      <c r="I133" s="5">
        <v>1.6772700983227298</v>
      </c>
      <c r="J133" s="5">
        <v>1.6772700983227298</v>
      </c>
      <c r="K133" s="5">
        <v>1.6772700983227298</v>
      </c>
      <c r="L133" s="5">
        <v>1.6772700983227298</v>
      </c>
    </row>
    <row r="134" spans="1:12" x14ac:dyDescent="0.25">
      <c r="A134" s="9" t="s">
        <v>333</v>
      </c>
      <c r="B134" t="s">
        <v>226</v>
      </c>
      <c r="C134" s="5" t="s">
        <v>146</v>
      </c>
      <c r="D134">
        <v>1</v>
      </c>
      <c r="E134" s="5">
        <v>2.2624434389140271</v>
      </c>
      <c r="F134" s="5">
        <v>2.2330610565904681</v>
      </c>
      <c r="G134" s="5">
        <v>2.2036786742669094</v>
      </c>
      <c r="H134" s="5">
        <v>2.1742962919433504</v>
      </c>
      <c r="I134" s="5">
        <v>2.1449139096197918</v>
      </c>
      <c r="J134" s="5">
        <v>2.1155315272962332</v>
      </c>
      <c r="K134" s="5">
        <v>2.0861491449726741</v>
      </c>
      <c r="L134" s="5">
        <v>2.0567667626491155</v>
      </c>
    </row>
    <row r="135" spans="1:12" x14ac:dyDescent="0.25">
      <c r="A135" s="9" t="s">
        <v>333</v>
      </c>
      <c r="B135" t="s">
        <v>226</v>
      </c>
      <c r="C135" t="s">
        <v>146</v>
      </c>
      <c r="D135">
        <v>2</v>
      </c>
      <c r="E135" s="5">
        <v>1.6017298682577186</v>
      </c>
      <c r="F135" s="5">
        <v>1.5809281816569689</v>
      </c>
      <c r="G135" s="5">
        <v>1.5601264950562195</v>
      </c>
      <c r="H135" s="5">
        <v>1.5393248084554698</v>
      </c>
      <c r="I135" s="5">
        <v>1.5185231218547202</v>
      </c>
      <c r="J135" s="5">
        <v>1.4977214352539705</v>
      </c>
      <c r="K135" s="5">
        <v>1.4769197486532211</v>
      </c>
      <c r="L135" s="5">
        <v>1.4561180620524714</v>
      </c>
    </row>
    <row r="136" spans="1:12" x14ac:dyDescent="0.25">
      <c r="A136" s="9" t="s">
        <v>333</v>
      </c>
      <c r="B136" t="s">
        <v>226</v>
      </c>
      <c r="C136" t="s">
        <v>186</v>
      </c>
      <c r="D136">
        <v>2</v>
      </c>
      <c r="E136" s="5">
        <v>0.40043246706442964</v>
      </c>
      <c r="F136" s="5">
        <v>0.39523204541424223</v>
      </c>
      <c r="G136" s="5">
        <v>0.39003162376405487</v>
      </c>
      <c r="H136" s="5">
        <v>0.38483120211386745</v>
      </c>
      <c r="I136" s="5">
        <v>0.37963078046368004</v>
      </c>
      <c r="J136" s="5">
        <v>0.37443035881349263</v>
      </c>
      <c r="K136" s="5">
        <v>0.36922993716330527</v>
      </c>
      <c r="L136" s="5">
        <v>0.36402951551311785</v>
      </c>
    </row>
    <row r="137" spans="1:12" x14ac:dyDescent="0.25">
      <c r="A137" s="9" t="s">
        <v>333</v>
      </c>
      <c r="B137" t="s">
        <v>226</v>
      </c>
      <c r="C137" s="5" t="s">
        <v>146</v>
      </c>
      <c r="D137">
        <v>3</v>
      </c>
      <c r="E137" s="5">
        <v>1.6017298682577186</v>
      </c>
      <c r="F137" s="5">
        <v>1.5809281816569689</v>
      </c>
      <c r="G137" s="5">
        <v>1.5601264950562195</v>
      </c>
      <c r="H137" s="5">
        <v>1.5393248084554698</v>
      </c>
      <c r="I137" s="5">
        <v>1.5185231218547202</v>
      </c>
      <c r="J137" s="5">
        <v>1.4977214352539705</v>
      </c>
      <c r="K137" s="5">
        <v>1.4769197486532211</v>
      </c>
      <c r="L137" s="5">
        <v>1.4561180620524714</v>
      </c>
    </row>
    <row r="138" spans="1:12" x14ac:dyDescent="0.25">
      <c r="A138" s="9" t="s">
        <v>333</v>
      </c>
      <c r="B138" t="s">
        <v>226</v>
      </c>
      <c r="C138" t="s">
        <v>188</v>
      </c>
      <c r="D138">
        <v>3</v>
      </c>
      <c r="E138" s="5">
        <v>0.40043246706442964</v>
      </c>
      <c r="F138" s="5">
        <v>0.39523204541424223</v>
      </c>
      <c r="G138" s="5">
        <v>0.39003162376405487</v>
      </c>
      <c r="H138" s="5">
        <v>0.38483120211386745</v>
      </c>
      <c r="I138" s="5">
        <v>0.37963078046368004</v>
      </c>
      <c r="J138" s="5">
        <v>0.37443035881349263</v>
      </c>
      <c r="K138" s="5">
        <v>0.36922993716330527</v>
      </c>
      <c r="L138" s="5">
        <v>0.36402951551311785</v>
      </c>
    </row>
    <row r="139" spans="1:12" x14ac:dyDescent="0.25">
      <c r="A139" s="9" t="s">
        <v>333</v>
      </c>
      <c r="B139" t="s">
        <v>226</v>
      </c>
      <c r="C139" t="s">
        <v>146</v>
      </c>
      <c r="D139">
        <v>4</v>
      </c>
      <c r="E139" s="5">
        <v>1.6017298682577186</v>
      </c>
      <c r="F139" s="5">
        <v>1.5809281816569689</v>
      </c>
      <c r="G139" s="5">
        <v>1.5601264950562195</v>
      </c>
      <c r="H139" s="5">
        <v>1.5393248084554698</v>
      </c>
      <c r="I139" s="5">
        <v>1.5185231218547202</v>
      </c>
      <c r="J139" s="5">
        <v>1.4977214352539705</v>
      </c>
      <c r="K139" s="5">
        <v>1.4769197486532211</v>
      </c>
      <c r="L139" s="5">
        <v>1.4561180620524714</v>
      </c>
    </row>
    <row r="140" spans="1:12" x14ac:dyDescent="0.25">
      <c r="A140" s="9" t="s">
        <v>333</v>
      </c>
      <c r="B140" t="s">
        <v>226</v>
      </c>
      <c r="C140" s="5" t="s">
        <v>187</v>
      </c>
      <c r="D140">
        <v>4</v>
      </c>
      <c r="E140" s="5">
        <v>0.40043246706442964</v>
      </c>
      <c r="F140" s="5">
        <v>0.39523204541424223</v>
      </c>
      <c r="G140" s="5">
        <v>0.39003162376405487</v>
      </c>
      <c r="H140" s="5">
        <v>0.38483120211386745</v>
      </c>
      <c r="I140" s="5">
        <v>0.37963078046368004</v>
      </c>
      <c r="J140" s="5">
        <v>0.37443035881349263</v>
      </c>
      <c r="K140" s="5">
        <v>0.36922993716330527</v>
      </c>
      <c r="L140" s="5">
        <v>0.36402951551311785</v>
      </c>
    </row>
    <row r="141" spans="1:12" x14ac:dyDescent="0.25">
      <c r="A141" s="9" t="s">
        <v>333</v>
      </c>
      <c r="B141" t="s">
        <v>227</v>
      </c>
      <c r="C141" t="s">
        <v>19</v>
      </c>
      <c r="D141">
        <v>1</v>
      </c>
      <c r="E141" s="5">
        <v>0.47031158142269258</v>
      </c>
      <c r="F141" s="5">
        <v>0.45911368662691415</v>
      </c>
      <c r="G141" s="5">
        <v>0.44791579183113583</v>
      </c>
      <c r="H141" s="5">
        <v>0.43671789703535741</v>
      </c>
      <c r="I141" s="5">
        <v>0.42552000223957898</v>
      </c>
      <c r="J141" s="5">
        <v>0.4143221074438006</v>
      </c>
      <c r="K141" s="5">
        <v>0.40312421264802223</v>
      </c>
      <c r="L141" s="5">
        <v>0.39192631785224386</v>
      </c>
    </row>
    <row r="142" spans="1:12" x14ac:dyDescent="0.25">
      <c r="A142" s="9" t="s">
        <v>333</v>
      </c>
      <c r="B142" t="s">
        <v>227</v>
      </c>
      <c r="C142" t="s">
        <v>186</v>
      </c>
      <c r="D142">
        <v>1</v>
      </c>
      <c r="E142" s="5">
        <v>2.4691358024691357</v>
      </c>
      <c r="F142" s="5">
        <v>2.4103468547912992</v>
      </c>
      <c r="G142" s="5">
        <v>2.3515579071134627</v>
      </c>
      <c r="H142" s="5">
        <v>2.2927689594356258</v>
      </c>
      <c r="I142" s="5">
        <v>2.2339800117577893</v>
      </c>
      <c r="J142" s="5">
        <v>2.1751910640799528</v>
      </c>
      <c r="K142" s="5">
        <v>2.1164021164021163</v>
      </c>
      <c r="L142" s="5">
        <v>2.0576131687242798</v>
      </c>
    </row>
    <row r="143" spans="1:12" x14ac:dyDescent="0.25">
      <c r="A143" s="9" t="s">
        <v>333</v>
      </c>
      <c r="B143" t="s">
        <v>227</v>
      </c>
      <c r="C143" t="s">
        <v>19</v>
      </c>
      <c r="D143">
        <v>2</v>
      </c>
      <c r="E143" s="5">
        <v>0.47031158142269258</v>
      </c>
      <c r="F143" s="5">
        <v>0.45911368662691415</v>
      </c>
      <c r="G143" s="5">
        <v>0.44791579183113583</v>
      </c>
      <c r="H143" s="5">
        <v>0.43671789703535741</v>
      </c>
      <c r="I143" s="5">
        <v>0.42552000223957898</v>
      </c>
      <c r="J143" s="5">
        <v>0.4143221074438006</v>
      </c>
      <c r="K143" s="5">
        <v>0.40312421264802223</v>
      </c>
      <c r="L143" s="5">
        <v>0.39192631785224386</v>
      </c>
    </row>
    <row r="144" spans="1:12" x14ac:dyDescent="0.25">
      <c r="A144" s="9" t="s">
        <v>333</v>
      </c>
      <c r="B144" t="s">
        <v>227</v>
      </c>
      <c r="C144" t="s">
        <v>188</v>
      </c>
      <c r="D144">
        <v>2</v>
      </c>
      <c r="E144" s="5">
        <v>2.4691358024691357</v>
      </c>
      <c r="F144" s="5">
        <v>2.4103468547912992</v>
      </c>
      <c r="G144" s="5">
        <v>2.3515579071134627</v>
      </c>
      <c r="H144" s="5">
        <v>2.2927689594356258</v>
      </c>
      <c r="I144" s="5">
        <v>2.2339800117577893</v>
      </c>
      <c r="J144" s="5">
        <v>2.1751910640799528</v>
      </c>
      <c r="K144" s="5">
        <v>2.1164021164021163</v>
      </c>
      <c r="L144" s="5">
        <v>2.0576131687242798</v>
      </c>
    </row>
    <row r="145" spans="1:12" x14ac:dyDescent="0.25">
      <c r="A145" s="9" t="s">
        <v>333</v>
      </c>
      <c r="B145" t="s">
        <v>227</v>
      </c>
      <c r="C145" s="5" t="s">
        <v>19</v>
      </c>
      <c r="D145">
        <v>3</v>
      </c>
      <c r="E145" s="5">
        <v>0.47031158142269258</v>
      </c>
      <c r="F145" s="5">
        <v>0.45911368662691415</v>
      </c>
      <c r="G145" s="5">
        <v>0.44791579183113583</v>
      </c>
      <c r="H145" s="5">
        <v>0.43671789703535741</v>
      </c>
      <c r="I145" s="5">
        <v>0.42552000223957898</v>
      </c>
      <c r="J145" s="5">
        <v>0.4143221074438006</v>
      </c>
      <c r="K145" s="5">
        <v>0.40312421264802223</v>
      </c>
      <c r="L145" s="5">
        <v>0.39192631785224386</v>
      </c>
    </row>
    <row r="146" spans="1:12" x14ac:dyDescent="0.25">
      <c r="A146" s="9" t="s">
        <v>333</v>
      </c>
      <c r="B146" t="s">
        <v>227</v>
      </c>
      <c r="C146" t="s">
        <v>187</v>
      </c>
      <c r="D146">
        <v>3</v>
      </c>
      <c r="E146" s="5">
        <v>2.4691358024691357</v>
      </c>
      <c r="F146" s="5">
        <v>2.4103468547912992</v>
      </c>
      <c r="G146" s="5">
        <v>2.3515579071134627</v>
      </c>
      <c r="H146" s="5">
        <v>2.2927689594356258</v>
      </c>
      <c r="I146" s="5">
        <v>2.2339800117577893</v>
      </c>
      <c r="J146" s="5">
        <v>2.1751910640799528</v>
      </c>
      <c r="K146" s="5">
        <v>2.1164021164021163</v>
      </c>
      <c r="L146" s="5">
        <v>2.0576131687242798</v>
      </c>
    </row>
    <row r="147" spans="1:12" x14ac:dyDescent="0.25">
      <c r="A147" s="9" t="s">
        <v>333</v>
      </c>
      <c r="B147" t="s">
        <v>228</v>
      </c>
      <c r="C147" t="s">
        <v>19</v>
      </c>
      <c r="D147">
        <v>1</v>
      </c>
      <c r="E147" s="5">
        <v>1.5873015873015872</v>
      </c>
      <c r="F147" s="5">
        <v>1.5495086923658352</v>
      </c>
      <c r="G147" s="5">
        <v>1.511715797430083</v>
      </c>
      <c r="H147" s="5">
        <v>1.473922902494331</v>
      </c>
      <c r="I147" s="5">
        <v>1.436130007558579</v>
      </c>
      <c r="J147" s="5">
        <v>1.398337112622827</v>
      </c>
      <c r="K147" s="5">
        <v>1.3605442176870748</v>
      </c>
      <c r="L147" s="5">
        <v>1.3227513227513228</v>
      </c>
    </row>
    <row r="148" spans="1:12" x14ac:dyDescent="0.25">
      <c r="A148" s="9" t="s">
        <v>333</v>
      </c>
      <c r="B148" t="s">
        <v>229</v>
      </c>
      <c r="C148" s="5" t="s">
        <v>19</v>
      </c>
      <c r="D148">
        <v>1</v>
      </c>
      <c r="E148" s="5">
        <v>0.97001763668430341</v>
      </c>
      <c r="F148" s="5">
        <v>0.9700176366843033</v>
      </c>
      <c r="G148" s="5">
        <v>0.97001763668430341</v>
      </c>
      <c r="H148" s="5">
        <v>0.9700176366843033</v>
      </c>
      <c r="I148" s="5">
        <v>0.9700176366843033</v>
      </c>
      <c r="J148" s="5">
        <v>0.97001763668430341</v>
      </c>
      <c r="K148" s="5">
        <v>0.9700176366843033</v>
      </c>
      <c r="L148" s="5">
        <v>0.97001763668430341</v>
      </c>
    </row>
    <row r="149" spans="1:12" x14ac:dyDescent="0.25">
      <c r="A149" s="9" t="s">
        <v>333</v>
      </c>
      <c r="B149" t="s">
        <v>229</v>
      </c>
      <c r="C149" s="5" t="s">
        <v>135</v>
      </c>
      <c r="D149">
        <v>1</v>
      </c>
      <c r="E149" s="5">
        <v>1.9694297472075253</v>
      </c>
      <c r="F149" s="5">
        <v>1.9694297472075251</v>
      </c>
      <c r="G149" s="5">
        <v>1.9694297472075253</v>
      </c>
      <c r="H149" s="5">
        <v>1.9694297472075251</v>
      </c>
      <c r="I149" s="5">
        <v>1.9694297472075251</v>
      </c>
      <c r="J149" s="5">
        <v>1.9694297472075253</v>
      </c>
      <c r="K149" s="5">
        <v>1.9694297472075251</v>
      </c>
      <c r="L149" s="5">
        <v>1.9694297472075253</v>
      </c>
    </row>
    <row r="150" spans="1:12" x14ac:dyDescent="0.25">
      <c r="A150" s="9" t="s">
        <v>333</v>
      </c>
      <c r="B150" t="s">
        <v>230</v>
      </c>
      <c r="C150" t="s">
        <v>19</v>
      </c>
      <c r="D150">
        <v>1</v>
      </c>
      <c r="E150" s="5">
        <v>1.25</v>
      </c>
      <c r="F150" s="5">
        <v>1.25</v>
      </c>
      <c r="G150" s="5">
        <v>1.25</v>
      </c>
      <c r="H150" s="5">
        <v>1.25</v>
      </c>
      <c r="I150" s="5">
        <v>1.25</v>
      </c>
      <c r="J150" s="5">
        <v>1.25</v>
      </c>
      <c r="K150" s="5">
        <v>1.25</v>
      </c>
      <c r="L150" s="5">
        <v>1.25</v>
      </c>
    </row>
    <row r="151" spans="1:12" x14ac:dyDescent="0.25">
      <c r="A151" s="9" t="s">
        <v>333</v>
      </c>
      <c r="B151" t="s">
        <v>231</v>
      </c>
      <c r="C151" t="s">
        <v>136</v>
      </c>
      <c r="D151">
        <v>1</v>
      </c>
      <c r="E151" s="5">
        <v>2.0452511824108401</v>
      </c>
      <c r="F151" s="5">
        <v>2.0186894787431666</v>
      </c>
      <c r="G151" s="5">
        <v>1.9921277750754935</v>
      </c>
      <c r="H151" s="5">
        <v>1.9655660714078202</v>
      </c>
      <c r="I151" s="5">
        <v>1.939004367740147</v>
      </c>
      <c r="J151" s="5">
        <v>1.9124426640724739</v>
      </c>
      <c r="K151" s="5">
        <v>1.8858809604048004</v>
      </c>
      <c r="L151" s="5">
        <v>1.8593192567371273</v>
      </c>
    </row>
    <row r="152" spans="1:12" x14ac:dyDescent="0.25">
      <c r="A152" s="9" t="s">
        <v>333</v>
      </c>
      <c r="B152" t="s">
        <v>231</v>
      </c>
      <c r="C152" s="5" t="s">
        <v>186</v>
      </c>
      <c r="D152">
        <v>1</v>
      </c>
      <c r="E152" s="5">
        <v>0.51131279560271004</v>
      </c>
      <c r="F152" s="5">
        <v>0.50467236968579166</v>
      </c>
      <c r="G152" s="5">
        <v>0.49803194376887339</v>
      </c>
      <c r="H152" s="5">
        <v>0.49139151785195506</v>
      </c>
      <c r="I152" s="5">
        <v>0.48475109193503674</v>
      </c>
      <c r="J152" s="5">
        <v>0.47811066601811847</v>
      </c>
      <c r="K152" s="5">
        <v>0.47147024010120009</v>
      </c>
      <c r="L152" s="5">
        <v>0.46482981418428182</v>
      </c>
    </row>
    <row r="153" spans="1:12" x14ac:dyDescent="0.25">
      <c r="A153" s="9" t="s">
        <v>333</v>
      </c>
      <c r="B153" t="s">
        <v>231</v>
      </c>
      <c r="C153" t="s">
        <v>136</v>
      </c>
      <c r="D153">
        <v>2</v>
      </c>
      <c r="E153" s="5">
        <v>2.0452511824108401</v>
      </c>
      <c r="F153" s="5">
        <v>2.0186894787431666</v>
      </c>
      <c r="G153" s="5">
        <v>1.9921277750754935</v>
      </c>
      <c r="H153" s="5">
        <v>1.9655660714078202</v>
      </c>
      <c r="I153" s="5">
        <v>1.939004367740147</v>
      </c>
      <c r="J153" s="5">
        <v>1.9124426640724739</v>
      </c>
      <c r="K153" s="5">
        <v>1.8858809604048004</v>
      </c>
      <c r="L153" s="5">
        <v>1.8593192567371273</v>
      </c>
    </row>
    <row r="154" spans="1:12" x14ac:dyDescent="0.25">
      <c r="A154" s="9" t="s">
        <v>333</v>
      </c>
      <c r="B154" t="s">
        <v>231</v>
      </c>
      <c r="C154" s="5" t="s">
        <v>188</v>
      </c>
      <c r="D154">
        <v>2</v>
      </c>
      <c r="E154" s="5">
        <v>0.51131279560271004</v>
      </c>
      <c r="F154" s="5">
        <v>0.50467236968579166</v>
      </c>
      <c r="G154" s="5">
        <v>0.49803194376887339</v>
      </c>
      <c r="H154" s="5">
        <v>0.49139151785195506</v>
      </c>
      <c r="I154" s="5">
        <v>0.48475109193503674</v>
      </c>
      <c r="J154" s="5">
        <v>0.47811066601811847</v>
      </c>
      <c r="K154" s="5">
        <v>0.47147024010120009</v>
      </c>
      <c r="L154" s="5">
        <v>0.46482981418428182</v>
      </c>
    </row>
    <row r="155" spans="1:12" x14ac:dyDescent="0.25">
      <c r="A155" s="9" t="s">
        <v>333</v>
      </c>
      <c r="B155" t="s">
        <v>231</v>
      </c>
      <c r="C155" s="5" t="s">
        <v>136</v>
      </c>
      <c r="D155">
        <v>3</v>
      </c>
      <c r="E155" s="5">
        <v>2.0452511824108401</v>
      </c>
      <c r="F155" s="5">
        <v>2.0186894787431666</v>
      </c>
      <c r="G155" s="5">
        <v>1.9921277750754935</v>
      </c>
      <c r="H155" s="5">
        <v>1.9655660714078202</v>
      </c>
      <c r="I155" s="5">
        <v>1.939004367740147</v>
      </c>
      <c r="J155" s="5">
        <v>1.9124426640724739</v>
      </c>
      <c r="K155" s="5">
        <v>1.8858809604048004</v>
      </c>
      <c r="L155" s="5">
        <v>1.8593192567371273</v>
      </c>
    </row>
    <row r="156" spans="1:12" x14ac:dyDescent="0.25">
      <c r="A156" s="9" t="s">
        <v>333</v>
      </c>
      <c r="B156" t="s">
        <v>231</v>
      </c>
      <c r="C156" s="5" t="s">
        <v>187</v>
      </c>
      <c r="D156">
        <v>3</v>
      </c>
      <c r="E156" s="5">
        <v>0.51131279560271004</v>
      </c>
      <c r="F156" s="5">
        <v>0.50467236968579166</v>
      </c>
      <c r="G156" s="5">
        <v>0.49803194376887339</v>
      </c>
      <c r="H156" s="5">
        <v>0.49139151785195506</v>
      </c>
      <c r="I156" s="5">
        <v>0.48475109193503674</v>
      </c>
      <c r="J156" s="5">
        <v>0.47811066601811847</v>
      </c>
      <c r="K156" s="5">
        <v>0.47147024010120009</v>
      </c>
      <c r="L156" s="5">
        <v>0.46482981418428182</v>
      </c>
    </row>
    <row r="157" spans="1:12" x14ac:dyDescent="0.25">
      <c r="A157" s="9" t="s">
        <v>333</v>
      </c>
      <c r="B157" t="s">
        <v>238</v>
      </c>
      <c r="C157" t="s">
        <v>146</v>
      </c>
      <c r="D157">
        <v>1</v>
      </c>
      <c r="E157" s="5">
        <v>2.2624434389140271</v>
      </c>
      <c r="F157" s="5">
        <v>2.2330610565904681</v>
      </c>
      <c r="G157" s="5">
        <v>2.2036786742669094</v>
      </c>
      <c r="H157" s="5">
        <v>2.1742962919433504</v>
      </c>
      <c r="I157" s="5">
        <v>2.1449139096197918</v>
      </c>
      <c r="J157" s="5">
        <v>2.1155315272962332</v>
      </c>
      <c r="K157" s="5">
        <v>2.0861491449726741</v>
      </c>
      <c r="L157" s="5">
        <v>2.0567667626491155</v>
      </c>
    </row>
    <row r="158" spans="1:12" x14ac:dyDescent="0.25">
      <c r="A158" s="9" t="s">
        <v>333</v>
      </c>
      <c r="B158" t="s">
        <v>238</v>
      </c>
      <c r="C158" t="s">
        <v>185</v>
      </c>
      <c r="D158">
        <v>1</v>
      </c>
      <c r="E158" s="5">
        <v>2.5683257918552038E-2</v>
      </c>
      <c r="F158" s="5">
        <v>2.5349709114414996E-2</v>
      </c>
      <c r="G158" s="5">
        <v>2.5016160310277959E-2</v>
      </c>
      <c r="H158" s="5">
        <v>2.4682611506140918E-2</v>
      </c>
      <c r="I158" s="5">
        <v>2.4349062702003876E-2</v>
      </c>
      <c r="J158" s="5">
        <v>2.4015513897866839E-2</v>
      </c>
      <c r="K158" s="5">
        <v>2.3681965093729801E-2</v>
      </c>
      <c r="L158" s="5">
        <v>2.334841628959276E-2</v>
      </c>
    </row>
    <row r="159" spans="1:12" x14ac:dyDescent="0.25">
      <c r="A159" s="9" t="s">
        <v>333</v>
      </c>
      <c r="B159" t="s">
        <v>238</v>
      </c>
      <c r="C159" t="s">
        <v>146</v>
      </c>
      <c r="D159">
        <v>2</v>
      </c>
      <c r="E159" s="5">
        <v>1.6017298682577186</v>
      </c>
      <c r="F159" s="5">
        <v>1.5809281816569689</v>
      </c>
      <c r="G159" s="5">
        <v>1.5601264950562195</v>
      </c>
      <c r="H159" s="5">
        <v>1.5393248084554698</v>
      </c>
      <c r="I159" s="5">
        <v>1.5185231218547202</v>
      </c>
      <c r="J159" s="5">
        <v>1.4977214352539705</v>
      </c>
      <c r="K159" s="5">
        <v>1.4769197486532211</v>
      </c>
      <c r="L159" s="5">
        <v>1.4561180620524714</v>
      </c>
    </row>
    <row r="160" spans="1:12" x14ac:dyDescent="0.25">
      <c r="A160" s="9" t="s">
        <v>333</v>
      </c>
      <c r="B160" t="s">
        <v>238</v>
      </c>
      <c r="C160" t="s">
        <v>186</v>
      </c>
      <c r="D160">
        <v>2</v>
      </c>
      <c r="E160" s="5">
        <v>0.40043246706442964</v>
      </c>
      <c r="F160" s="5">
        <v>0.39523204541424223</v>
      </c>
      <c r="G160" s="5">
        <v>0.39003162376405487</v>
      </c>
      <c r="H160" s="5">
        <v>0.38483120211386745</v>
      </c>
      <c r="I160" s="5">
        <v>0.37963078046368004</v>
      </c>
      <c r="J160" s="5">
        <v>0.37443035881349263</v>
      </c>
      <c r="K160" s="5">
        <v>0.36922993716330527</v>
      </c>
      <c r="L160" s="5">
        <v>0.36402951551311785</v>
      </c>
    </row>
    <row r="161" spans="1:12" x14ac:dyDescent="0.25">
      <c r="A161" s="9" t="s">
        <v>333</v>
      </c>
      <c r="B161" t="s">
        <v>238</v>
      </c>
      <c r="C161" t="s">
        <v>185</v>
      </c>
      <c r="D161">
        <v>2</v>
      </c>
      <c r="E161" s="5">
        <v>2.087854883273936E-2</v>
      </c>
      <c r="F161" s="5">
        <v>2.0607398847898587E-2</v>
      </c>
      <c r="G161" s="5">
        <v>2.0336248863057817E-2</v>
      </c>
      <c r="H161" s="5">
        <v>2.0065098878217044E-2</v>
      </c>
      <c r="I161" s="5">
        <v>1.9793948893376274E-2</v>
      </c>
      <c r="J161" s="5">
        <v>1.9522798908535505E-2</v>
      </c>
      <c r="K161" s="5">
        <v>1.9251648923694731E-2</v>
      </c>
      <c r="L161" s="5">
        <v>1.8980498938853962E-2</v>
      </c>
    </row>
    <row r="162" spans="1:12" x14ac:dyDescent="0.25">
      <c r="A162" s="9" t="s">
        <v>333</v>
      </c>
      <c r="B162" t="s">
        <v>238</v>
      </c>
      <c r="C162" t="s">
        <v>146</v>
      </c>
      <c r="D162">
        <v>3</v>
      </c>
      <c r="E162" s="5">
        <v>1.6017298682577186</v>
      </c>
      <c r="F162" s="5">
        <v>1.5809281816569689</v>
      </c>
      <c r="G162" s="5">
        <v>1.5601264950562195</v>
      </c>
      <c r="H162" s="5">
        <v>1.5393248084554698</v>
      </c>
      <c r="I162" s="5">
        <v>1.5185231218547202</v>
      </c>
      <c r="J162" s="5">
        <v>1.4977214352539705</v>
      </c>
      <c r="K162" s="5">
        <v>1.4769197486532211</v>
      </c>
      <c r="L162" s="5">
        <v>1.4561180620524714</v>
      </c>
    </row>
    <row r="163" spans="1:12" x14ac:dyDescent="0.25">
      <c r="A163" s="9" t="s">
        <v>333</v>
      </c>
      <c r="B163" t="s">
        <v>238</v>
      </c>
      <c r="C163" t="s">
        <v>188</v>
      </c>
      <c r="D163" s="4">
        <v>3</v>
      </c>
      <c r="E163" s="5">
        <v>0.40043246706442964</v>
      </c>
      <c r="F163" s="5">
        <v>0.39523204541424223</v>
      </c>
      <c r="G163" s="5">
        <v>0.39003162376405487</v>
      </c>
      <c r="H163" s="5">
        <v>0.38483120211386745</v>
      </c>
      <c r="I163" s="5">
        <v>0.37963078046368004</v>
      </c>
      <c r="J163" s="5">
        <v>0.37443035881349263</v>
      </c>
      <c r="K163" s="5">
        <v>0.36922993716330527</v>
      </c>
      <c r="L163" s="5">
        <v>0.36402951551311785</v>
      </c>
    </row>
    <row r="164" spans="1:12" x14ac:dyDescent="0.25">
      <c r="A164" s="9" t="s">
        <v>333</v>
      </c>
      <c r="B164" t="s">
        <v>238</v>
      </c>
      <c r="C164" t="s">
        <v>185</v>
      </c>
      <c r="D164" s="4">
        <v>3</v>
      </c>
      <c r="E164" s="5">
        <v>1.8182837464461619E-2</v>
      </c>
      <c r="F164" s="5">
        <v>1.7946696718169911E-2</v>
      </c>
      <c r="G164" s="5">
        <v>1.7710555971878199E-2</v>
      </c>
      <c r="H164" s="5">
        <v>1.7474415225586487E-2</v>
      </c>
      <c r="I164" s="5">
        <v>1.7238274479294779E-2</v>
      </c>
      <c r="J164" s="5">
        <v>1.7002133733003071E-2</v>
      </c>
      <c r="K164" s="5">
        <v>1.6765992986711359E-2</v>
      </c>
      <c r="L164" s="5">
        <v>1.6529852240419651E-2</v>
      </c>
    </row>
    <row r="165" spans="1:12" x14ac:dyDescent="0.25">
      <c r="A165" s="9" t="s">
        <v>333</v>
      </c>
      <c r="B165" t="s">
        <v>238</v>
      </c>
      <c r="C165" t="s">
        <v>146</v>
      </c>
      <c r="D165" s="4">
        <v>4</v>
      </c>
      <c r="E165" s="5">
        <v>1.6017298682577186</v>
      </c>
      <c r="F165" s="5">
        <v>1.5809281816569689</v>
      </c>
      <c r="G165" s="5">
        <v>1.5601264950562195</v>
      </c>
      <c r="H165" s="5">
        <v>1.5393248084554698</v>
      </c>
      <c r="I165" s="5">
        <v>1.5185231218547202</v>
      </c>
      <c r="J165" s="5">
        <v>1.4977214352539705</v>
      </c>
      <c r="K165" s="5">
        <v>1.4769197486532211</v>
      </c>
      <c r="L165" s="5">
        <v>1.4561180620524714</v>
      </c>
    </row>
    <row r="166" spans="1:12" x14ac:dyDescent="0.25">
      <c r="A166" s="5" t="s">
        <v>333</v>
      </c>
      <c r="B166" s="5" t="s">
        <v>238</v>
      </c>
      <c r="C166" s="5" t="s">
        <v>187</v>
      </c>
      <c r="D166" s="5">
        <v>4</v>
      </c>
      <c r="E166" s="5">
        <v>0.40043246706442964</v>
      </c>
      <c r="F166" s="5">
        <v>0.39523204541424223</v>
      </c>
      <c r="G166" s="5">
        <v>0.39003162376405487</v>
      </c>
      <c r="H166" s="5">
        <v>0.38483120211386745</v>
      </c>
      <c r="I166" s="5">
        <v>0.37963078046368004</v>
      </c>
      <c r="J166" s="5">
        <v>0.37443035881349263</v>
      </c>
      <c r="K166" s="5">
        <v>0.36922993716330527</v>
      </c>
      <c r="L166" s="5">
        <v>0.36402951551311785</v>
      </c>
    </row>
    <row r="167" spans="1:12" x14ac:dyDescent="0.25">
      <c r="A167" s="5" t="s">
        <v>333</v>
      </c>
      <c r="B167" s="5" t="s">
        <v>238</v>
      </c>
      <c r="C167" s="5" t="s">
        <v>185</v>
      </c>
      <c r="D167" s="5">
        <v>4</v>
      </c>
      <c r="E167" s="5">
        <v>1.8182837464461619E-2</v>
      </c>
      <c r="F167" s="5">
        <v>1.7946696718169911E-2</v>
      </c>
      <c r="G167" s="5">
        <v>1.7710555971878199E-2</v>
      </c>
      <c r="H167" s="5">
        <v>1.7474415225586487E-2</v>
      </c>
      <c r="I167" s="5">
        <v>1.7238274479294779E-2</v>
      </c>
      <c r="J167" s="5">
        <v>1.7002133733003071E-2</v>
      </c>
      <c r="K167" s="5">
        <v>1.6765992986711359E-2</v>
      </c>
      <c r="L167" s="5">
        <v>1.6529852240419651E-2</v>
      </c>
    </row>
    <row r="168" spans="1:12" x14ac:dyDescent="0.25">
      <c r="A168" s="5" t="s">
        <v>333</v>
      </c>
      <c r="B168" s="5" t="s">
        <v>239</v>
      </c>
      <c r="C168" s="5" t="s">
        <v>19</v>
      </c>
      <c r="D168" s="5">
        <v>1</v>
      </c>
      <c r="E168" s="5">
        <v>0.47031158142269258</v>
      </c>
      <c r="F168" s="5">
        <v>0.45911368662691415</v>
      </c>
      <c r="G168" s="5">
        <v>0.44791579183113583</v>
      </c>
      <c r="H168" s="5">
        <v>0.43671789703535741</v>
      </c>
      <c r="I168" s="5">
        <v>0.42552000223957898</v>
      </c>
      <c r="J168" s="5">
        <v>0.4143221074438006</v>
      </c>
      <c r="K168" s="5">
        <v>0.40312421264802223</v>
      </c>
      <c r="L168" s="5">
        <v>0.39192631785224386</v>
      </c>
    </row>
    <row r="169" spans="1:12" x14ac:dyDescent="0.25">
      <c r="A169" s="5" t="s">
        <v>333</v>
      </c>
      <c r="B169" s="5" t="s">
        <v>239</v>
      </c>
      <c r="C169" s="5" t="s">
        <v>186</v>
      </c>
      <c r="D169" s="5">
        <v>1</v>
      </c>
      <c r="E169" s="5">
        <v>2.4691358024691357</v>
      </c>
      <c r="F169" s="5">
        <v>2.4103468547912992</v>
      </c>
      <c r="G169" s="5">
        <v>2.3515579071134627</v>
      </c>
      <c r="H169" s="5">
        <v>2.2927689594356258</v>
      </c>
      <c r="I169" s="5">
        <v>2.2339800117577893</v>
      </c>
      <c r="J169" s="5">
        <v>2.1751910640799528</v>
      </c>
      <c r="K169" s="5">
        <v>2.1164021164021163</v>
      </c>
      <c r="L169" s="5">
        <v>2.0576131687242798</v>
      </c>
    </row>
    <row r="170" spans="1:12" x14ac:dyDescent="0.25">
      <c r="A170" s="5" t="s">
        <v>333</v>
      </c>
      <c r="B170" s="5" t="s">
        <v>239</v>
      </c>
      <c r="C170" s="5" t="s">
        <v>185</v>
      </c>
      <c r="D170" s="5">
        <v>1</v>
      </c>
      <c r="E170" s="5">
        <v>1.6622222222222219E-2</v>
      </c>
      <c r="F170" s="5">
        <v>1.6226455026455023E-2</v>
      </c>
      <c r="G170" s="5">
        <v>1.5830687830687827E-2</v>
      </c>
      <c r="H170" s="5">
        <v>1.5434920634920631E-2</v>
      </c>
      <c r="I170" s="5">
        <v>1.5039153439153435E-2</v>
      </c>
      <c r="J170" s="5">
        <v>1.464338624338624E-2</v>
      </c>
      <c r="K170" s="5">
        <v>1.4247619047619044E-2</v>
      </c>
      <c r="L170" s="5">
        <v>1.385185185185185E-2</v>
      </c>
    </row>
    <row r="171" spans="1:12" x14ac:dyDescent="0.25">
      <c r="A171" s="5" t="s">
        <v>333</v>
      </c>
      <c r="B171" s="5" t="s">
        <v>251</v>
      </c>
      <c r="C171" s="5" t="s">
        <v>136</v>
      </c>
      <c r="D171" s="5">
        <v>1</v>
      </c>
      <c r="E171" s="5">
        <v>1.5384615384615383</v>
      </c>
      <c r="F171" s="5">
        <v>1.346153846153846</v>
      </c>
      <c r="G171" s="5">
        <v>1.2820512820512819</v>
      </c>
      <c r="H171" s="5">
        <v>1.266025641025641</v>
      </c>
      <c r="I171" s="5">
        <v>1.2580128205128205</v>
      </c>
      <c r="J171" s="5">
        <v>1.2540064102564101</v>
      </c>
      <c r="K171" s="5">
        <v>1.2520032051282051</v>
      </c>
      <c r="L171" s="5">
        <v>1.25</v>
      </c>
    </row>
    <row r="172" spans="1:12" x14ac:dyDescent="0.25">
      <c r="A172" s="5" t="s">
        <v>333</v>
      </c>
      <c r="B172" s="5" t="s">
        <v>251</v>
      </c>
      <c r="C172" s="5" t="s">
        <v>185</v>
      </c>
      <c r="D172" s="5">
        <v>1</v>
      </c>
      <c r="E172" s="5">
        <v>0.11846153846153845</v>
      </c>
      <c r="F172" s="5">
        <v>0.10365384615384614</v>
      </c>
      <c r="G172" s="5">
        <v>9.8717948717948714E-2</v>
      </c>
      <c r="H172" s="5">
        <v>9.7483974358974351E-2</v>
      </c>
      <c r="I172" s="5">
        <v>9.6866987179487177E-2</v>
      </c>
      <c r="J172" s="5">
        <v>9.6558493589743583E-2</v>
      </c>
      <c r="K172" s="5">
        <v>9.6404246794871792E-2</v>
      </c>
      <c r="L172" s="5">
        <v>9.6250000000000002E-2</v>
      </c>
    </row>
    <row r="173" spans="1:12" x14ac:dyDescent="0.25">
      <c r="A173" s="5" t="s">
        <v>333</v>
      </c>
      <c r="B173" s="5" t="s">
        <v>245</v>
      </c>
      <c r="C173" s="5" t="s">
        <v>146</v>
      </c>
      <c r="D173" s="5">
        <v>1</v>
      </c>
      <c r="E173" s="5">
        <v>1.6666666666666667</v>
      </c>
      <c r="F173" s="5">
        <v>1.6666666666666667</v>
      </c>
      <c r="G173" s="5">
        <v>1.6666666666666667</v>
      </c>
      <c r="H173" s="5">
        <v>1.6666666666666667</v>
      </c>
      <c r="I173" s="5">
        <v>1.6666666666666667</v>
      </c>
      <c r="J173" s="5">
        <v>1.6666666666666667</v>
      </c>
      <c r="K173" s="5">
        <v>1.6666666666666667</v>
      </c>
      <c r="L173" s="5">
        <v>1.6666666666666667</v>
      </c>
    </row>
    <row r="174" spans="1:12" x14ac:dyDescent="0.25">
      <c r="A174" s="5" t="s">
        <v>333</v>
      </c>
      <c r="B174" s="5" t="s">
        <v>245</v>
      </c>
      <c r="C174" s="5" t="s">
        <v>185</v>
      </c>
      <c r="D174" s="5">
        <v>1</v>
      </c>
      <c r="E174" s="5">
        <v>1.8919999999999999E-2</v>
      </c>
      <c r="F174" s="5">
        <v>1.8919999999999999E-2</v>
      </c>
      <c r="G174" s="5">
        <v>1.8919999999999999E-2</v>
      </c>
      <c r="H174" s="5">
        <v>1.8919999999999999E-2</v>
      </c>
      <c r="I174" s="5">
        <v>1.8919999999999999E-2</v>
      </c>
      <c r="J174" s="5">
        <v>1.8919999999999999E-2</v>
      </c>
      <c r="K174" s="5">
        <v>1.8919999999999999E-2</v>
      </c>
      <c r="L174" s="5">
        <v>1.8919999999999999E-2</v>
      </c>
    </row>
    <row r="175" spans="1:12" x14ac:dyDescent="0.25">
      <c r="A175" s="5" t="s">
        <v>333</v>
      </c>
      <c r="B175" s="5" t="s">
        <v>246</v>
      </c>
      <c r="C175" s="5" t="s">
        <v>147</v>
      </c>
      <c r="D175" s="5">
        <v>1</v>
      </c>
      <c r="E175" s="5">
        <v>1.6666666666666667</v>
      </c>
      <c r="F175" s="5">
        <v>1.6666666666666667</v>
      </c>
      <c r="G175" s="5">
        <v>1.6666666666666667</v>
      </c>
      <c r="H175" s="5">
        <v>1.6666666666666667</v>
      </c>
      <c r="I175" s="5">
        <v>1.6666666666666667</v>
      </c>
      <c r="J175" s="5">
        <v>1.6666666666666667</v>
      </c>
      <c r="K175" s="5">
        <v>1.6666666666666667</v>
      </c>
      <c r="L175" s="5">
        <v>1.6666666666666667</v>
      </c>
    </row>
    <row r="176" spans="1:12" x14ac:dyDescent="0.25">
      <c r="A176" s="5" t="s">
        <v>333</v>
      </c>
      <c r="B176" s="1" t="s">
        <v>246</v>
      </c>
      <c r="C176" t="s">
        <v>185</v>
      </c>
      <c r="D176">
        <v>1</v>
      </c>
      <c r="E176" s="5">
        <v>2.0200000000000003E-2</v>
      </c>
      <c r="F176" s="5">
        <v>2.0200000000000003E-2</v>
      </c>
      <c r="G176" s="5">
        <v>2.0200000000000003E-2</v>
      </c>
      <c r="H176" s="5">
        <v>2.0200000000000003E-2</v>
      </c>
      <c r="I176" s="5">
        <v>2.0200000000000003E-2</v>
      </c>
      <c r="J176" s="5">
        <v>2.0200000000000003E-2</v>
      </c>
      <c r="K176" s="5">
        <v>2.0200000000000003E-2</v>
      </c>
      <c r="L176" s="5">
        <v>2.0200000000000003E-2</v>
      </c>
    </row>
    <row r="177" spans="1:13" x14ac:dyDescent="0.25">
      <c r="A177" s="5" t="s">
        <v>333</v>
      </c>
      <c r="B177" s="1" t="s">
        <v>252</v>
      </c>
      <c r="C177" t="s">
        <v>136</v>
      </c>
      <c r="D177">
        <v>1</v>
      </c>
      <c r="E177" s="5">
        <v>1.5384615384615383</v>
      </c>
      <c r="F177" s="5">
        <v>1.346153846153846</v>
      </c>
      <c r="G177" s="5">
        <v>1.2820512820512819</v>
      </c>
      <c r="H177" s="5">
        <v>1.266025641025641</v>
      </c>
      <c r="I177" s="5">
        <v>1.2580128205128205</v>
      </c>
      <c r="J177" s="5">
        <v>1.2540064102564101</v>
      </c>
      <c r="K177" s="5">
        <v>1.2520032051282051</v>
      </c>
      <c r="L177" s="5">
        <v>1.25</v>
      </c>
    </row>
    <row r="178" spans="1:13" x14ac:dyDescent="0.25">
      <c r="A178" s="5" t="s">
        <v>333</v>
      </c>
      <c r="B178" s="1" t="s">
        <v>252</v>
      </c>
      <c r="C178" t="s">
        <v>185</v>
      </c>
      <c r="D178">
        <v>1</v>
      </c>
      <c r="E178" s="5">
        <v>0.11846153846153845</v>
      </c>
      <c r="F178" s="5">
        <v>0.10365384615384614</v>
      </c>
      <c r="G178" s="5">
        <v>9.8717948717948714E-2</v>
      </c>
      <c r="H178" s="5">
        <v>9.7483974358974351E-2</v>
      </c>
      <c r="I178" s="5">
        <v>9.6866987179487177E-2</v>
      </c>
      <c r="J178" s="5">
        <v>9.6558493589743583E-2</v>
      </c>
      <c r="K178" s="5">
        <v>9.6404246794871792E-2</v>
      </c>
      <c r="L178" s="5">
        <v>9.6250000000000002E-2</v>
      </c>
    </row>
    <row r="179" spans="1:13" x14ac:dyDescent="0.25">
      <c r="A179" s="5" t="s">
        <v>333</v>
      </c>
      <c r="B179" s="1" t="s">
        <v>243</v>
      </c>
      <c r="C179" t="s">
        <v>146</v>
      </c>
      <c r="D179">
        <v>1</v>
      </c>
      <c r="E179" s="5">
        <v>1.6666666666666667</v>
      </c>
      <c r="F179" s="5">
        <v>1.6666666666666667</v>
      </c>
      <c r="G179" s="5">
        <v>1.6666666666666667</v>
      </c>
      <c r="H179" s="5">
        <v>1.6666666666666667</v>
      </c>
      <c r="I179" s="5">
        <v>1.6666666666666667</v>
      </c>
      <c r="J179" s="5">
        <v>1.6666666666666667</v>
      </c>
      <c r="K179" s="5">
        <v>1.6666666666666667</v>
      </c>
      <c r="L179" s="5">
        <v>1.6666666666666667</v>
      </c>
    </row>
    <row r="180" spans="1:13" x14ac:dyDescent="0.25">
      <c r="A180" s="5" t="s">
        <v>333</v>
      </c>
      <c r="B180" s="1" t="s">
        <v>243</v>
      </c>
      <c r="C180" t="s">
        <v>185</v>
      </c>
      <c r="D180">
        <v>1</v>
      </c>
      <c r="E180" s="5">
        <v>1.8919999999999999E-2</v>
      </c>
      <c r="F180" s="5">
        <v>1.8919999999999999E-2</v>
      </c>
      <c r="G180" s="5">
        <v>1.8919999999999999E-2</v>
      </c>
      <c r="H180" s="5">
        <v>1.8919999999999999E-2</v>
      </c>
      <c r="I180" s="5">
        <v>1.8919999999999999E-2</v>
      </c>
      <c r="J180" s="5">
        <v>1.8919999999999999E-2</v>
      </c>
      <c r="K180" s="5">
        <v>1.8919999999999999E-2</v>
      </c>
      <c r="L180" s="5">
        <v>1.8919999999999999E-2</v>
      </c>
    </row>
    <row r="181" spans="1:13" x14ac:dyDescent="0.25">
      <c r="A181" s="5" t="s">
        <v>333</v>
      </c>
      <c r="B181" s="1" t="s">
        <v>244</v>
      </c>
      <c r="C181" t="s">
        <v>147</v>
      </c>
      <c r="D181">
        <v>1</v>
      </c>
      <c r="E181" s="5">
        <v>1.6666666666666667</v>
      </c>
      <c r="F181" s="5">
        <v>1.6666666666666667</v>
      </c>
      <c r="G181" s="5">
        <v>1.6666666666666667</v>
      </c>
      <c r="H181" s="5">
        <v>1.6666666666666667</v>
      </c>
      <c r="I181" s="5">
        <v>1.6666666666666667</v>
      </c>
      <c r="J181" s="5">
        <v>1.6666666666666667</v>
      </c>
      <c r="K181" s="5">
        <v>1.6666666666666667</v>
      </c>
      <c r="L181" s="5">
        <v>1.6666666666666667</v>
      </c>
    </row>
    <row r="182" spans="1:13" x14ac:dyDescent="0.25">
      <c r="A182" s="5" t="s">
        <v>333</v>
      </c>
      <c r="B182" s="1" t="s">
        <v>244</v>
      </c>
      <c r="C182" t="s">
        <v>185</v>
      </c>
      <c r="D182">
        <v>1</v>
      </c>
      <c r="E182" s="5">
        <v>2.0200000000000003E-2</v>
      </c>
      <c r="F182" s="5">
        <v>2.0200000000000003E-2</v>
      </c>
      <c r="G182" s="5">
        <v>2.0200000000000003E-2</v>
      </c>
      <c r="H182" s="5">
        <v>2.0200000000000003E-2</v>
      </c>
      <c r="I182" s="5">
        <v>2.0200000000000003E-2</v>
      </c>
      <c r="J182" s="5">
        <v>2.0200000000000003E-2</v>
      </c>
      <c r="K182" s="5">
        <v>2.0200000000000003E-2</v>
      </c>
      <c r="L182" s="5">
        <v>2.0200000000000003E-2</v>
      </c>
    </row>
    <row r="183" spans="1:13" x14ac:dyDescent="0.25">
      <c r="A183" s="5" t="s">
        <v>333</v>
      </c>
      <c r="B183" s="1" t="s">
        <v>247</v>
      </c>
      <c r="C183" t="s">
        <v>186</v>
      </c>
      <c r="D183">
        <v>1</v>
      </c>
      <c r="E183" s="5">
        <v>1.0989010989010988</v>
      </c>
      <c r="F183" s="5">
        <v>1.0989010989010988</v>
      </c>
      <c r="G183" s="5">
        <v>1.0989010989010988</v>
      </c>
      <c r="H183" s="5">
        <v>1.0989010989010988</v>
      </c>
      <c r="I183" s="5">
        <v>1.0989010989010988</v>
      </c>
      <c r="J183" s="5">
        <v>1.0989010989010988</v>
      </c>
      <c r="K183" s="5">
        <v>1.0989010989010988</v>
      </c>
      <c r="L183" s="5">
        <v>1.0989010989010988</v>
      </c>
    </row>
    <row r="184" spans="1:13" x14ac:dyDescent="0.25">
      <c r="A184" s="5" t="s">
        <v>333</v>
      </c>
      <c r="B184" s="1" t="s">
        <v>247</v>
      </c>
      <c r="C184" t="s">
        <v>185</v>
      </c>
      <c r="D184">
        <v>1</v>
      </c>
      <c r="E184" s="5">
        <v>7.3978021978021967E-3</v>
      </c>
      <c r="F184" s="5">
        <v>7.3978021978021967E-3</v>
      </c>
      <c r="G184" s="5">
        <v>7.3978021978021967E-3</v>
      </c>
      <c r="H184" s="5">
        <v>7.3978021978021967E-3</v>
      </c>
      <c r="I184" s="5">
        <v>7.3978021978021967E-3</v>
      </c>
      <c r="J184" s="5">
        <v>7.3978021978021967E-3</v>
      </c>
      <c r="K184" s="5">
        <v>7.3978021978021967E-3</v>
      </c>
      <c r="L184" s="5">
        <v>7.3978021978021967E-3</v>
      </c>
    </row>
    <row r="185" spans="1:13" x14ac:dyDescent="0.25">
      <c r="A185" s="5" t="s">
        <v>333</v>
      </c>
      <c r="B185" s="1" t="s">
        <v>248</v>
      </c>
      <c r="C185" t="s">
        <v>146</v>
      </c>
      <c r="D185">
        <v>1</v>
      </c>
      <c r="E185" s="5">
        <v>1.416361416361416</v>
      </c>
      <c r="F185" s="5">
        <v>1.416361416361416</v>
      </c>
      <c r="G185" s="5">
        <v>1.416361416361416</v>
      </c>
      <c r="H185" s="5">
        <v>1.416361416361416</v>
      </c>
      <c r="I185" s="5">
        <v>1.416361416361416</v>
      </c>
      <c r="J185" s="5">
        <v>1.416361416361416</v>
      </c>
      <c r="K185" s="5">
        <v>1.416361416361416</v>
      </c>
      <c r="L185" s="5">
        <v>1.416361416361416</v>
      </c>
    </row>
    <row r="186" spans="1:13" x14ac:dyDescent="0.25">
      <c r="A186" s="5" t="s">
        <v>333</v>
      </c>
      <c r="B186" s="1" t="s">
        <v>248</v>
      </c>
      <c r="C186" t="s">
        <v>185</v>
      </c>
      <c r="D186">
        <v>1</v>
      </c>
      <c r="E186" s="5">
        <v>1.6078534798534796E-2</v>
      </c>
      <c r="F186" s="5">
        <v>1.6078534798534796E-2</v>
      </c>
      <c r="G186" s="5">
        <v>1.6078534798534796E-2</v>
      </c>
      <c r="H186" s="5">
        <v>1.6078534798534796E-2</v>
      </c>
      <c r="I186" s="5">
        <v>1.6078534798534796E-2</v>
      </c>
      <c r="J186" s="5">
        <v>1.6078534798534796E-2</v>
      </c>
      <c r="K186" s="5">
        <v>1.6078534798534796E-2</v>
      </c>
      <c r="L186" s="5">
        <v>1.6078534798534796E-2</v>
      </c>
    </row>
    <row r="187" spans="1:13" x14ac:dyDescent="0.25">
      <c r="A187" s="9" t="s">
        <v>333</v>
      </c>
      <c r="B187" t="s">
        <v>240</v>
      </c>
      <c r="C187" t="s">
        <v>146</v>
      </c>
      <c r="D187">
        <v>1</v>
      </c>
      <c r="E187" s="5">
        <v>2.5555555555555554</v>
      </c>
      <c r="F187" s="5">
        <v>2.5126050420168062</v>
      </c>
      <c r="G187" s="5">
        <v>2.4696545284780576</v>
      </c>
      <c r="H187" s="5">
        <v>2.4267040149393084</v>
      </c>
      <c r="I187" s="5">
        <v>2.3837535014005597</v>
      </c>
      <c r="J187" s="5">
        <v>2.3408029878618111</v>
      </c>
      <c r="K187" s="5">
        <v>2.2978524743230619</v>
      </c>
      <c r="L187" s="5">
        <v>2.2549019607843133</v>
      </c>
      <c r="M187" s="4"/>
    </row>
    <row r="188" spans="1:13" x14ac:dyDescent="0.25">
      <c r="A188" t="s">
        <v>333</v>
      </c>
      <c r="B188" s="1" t="s">
        <v>240</v>
      </c>
      <c r="C188" t="s">
        <v>185</v>
      </c>
      <c r="D188" s="5">
        <v>1</v>
      </c>
      <c r="E188" s="5">
        <v>2.9010666666666667E-2</v>
      </c>
      <c r="F188" s="5">
        <v>2.8523092436974783E-2</v>
      </c>
      <c r="G188" s="5">
        <v>2.8035518207282912E-2</v>
      </c>
      <c r="H188" s="5">
        <v>2.7547943977591031E-2</v>
      </c>
      <c r="I188" s="5">
        <v>2.7060369747899153E-2</v>
      </c>
      <c r="J188" s="5">
        <v>2.6572795518207279E-2</v>
      </c>
      <c r="K188" s="5">
        <v>2.6085221288515398E-2</v>
      </c>
      <c r="L188" s="5">
        <v>2.5597647058823524E-2</v>
      </c>
    </row>
    <row r="189" spans="1:13" x14ac:dyDescent="0.25">
      <c r="A189" s="5" t="s">
        <v>333</v>
      </c>
      <c r="B189" s="1" t="s">
        <v>241</v>
      </c>
      <c r="C189" t="s">
        <v>147</v>
      </c>
      <c r="D189" s="5">
        <v>1</v>
      </c>
      <c r="E189" s="5">
        <v>2.3809523809523809</v>
      </c>
      <c r="F189" s="5">
        <v>2.2222222222222223</v>
      </c>
      <c r="G189" s="5">
        <v>2.1739130434782608</v>
      </c>
      <c r="H189" s="5">
        <v>2.1276595744680851</v>
      </c>
      <c r="I189" s="5">
        <v>2.1276595744680851</v>
      </c>
      <c r="J189" s="5">
        <v>2.1276595744680851</v>
      </c>
      <c r="K189" s="5">
        <v>2.1276595744680851</v>
      </c>
      <c r="L189" s="5">
        <v>2.1276595744680851</v>
      </c>
    </row>
    <row r="190" spans="1:13" x14ac:dyDescent="0.25">
      <c r="A190" s="5" t="s">
        <v>333</v>
      </c>
      <c r="B190" s="1" t="s">
        <v>241</v>
      </c>
      <c r="C190" t="s">
        <v>185</v>
      </c>
      <c r="D190" s="5">
        <v>1</v>
      </c>
      <c r="E190" s="5">
        <v>2.8857142857142856E-2</v>
      </c>
      <c r="F190" s="5">
        <v>2.6933333333333337E-2</v>
      </c>
      <c r="G190" s="5">
        <v>2.6347826086956523E-2</v>
      </c>
      <c r="H190" s="5">
        <v>2.5787234042553193E-2</v>
      </c>
      <c r="I190" s="5">
        <v>2.5787234042553193E-2</v>
      </c>
      <c r="J190" s="5">
        <v>2.5787234042553193E-2</v>
      </c>
      <c r="K190" s="5">
        <v>2.5787234042553193E-2</v>
      </c>
      <c r="L190" s="5">
        <v>2.5787234042553193E-2</v>
      </c>
    </row>
    <row r="191" spans="1:13" x14ac:dyDescent="0.25">
      <c r="A191" t="s">
        <v>333</v>
      </c>
      <c r="B191" s="1" t="s">
        <v>242</v>
      </c>
      <c r="C191" t="s">
        <v>186</v>
      </c>
      <c r="D191" s="5">
        <v>1</v>
      </c>
      <c r="E191" s="5">
        <v>1.7241379310344829</v>
      </c>
      <c r="F191" s="5">
        <v>1.6666666666666667</v>
      </c>
      <c r="G191" s="5">
        <v>1.639344262295082</v>
      </c>
      <c r="H191" s="5">
        <v>1.6129032258064517</v>
      </c>
      <c r="I191" s="5">
        <v>1.6129032258064517</v>
      </c>
      <c r="J191" s="5">
        <v>1.6129032258064517</v>
      </c>
      <c r="K191" s="5">
        <v>1.6</v>
      </c>
      <c r="L191" s="5">
        <v>1.5873015873015872</v>
      </c>
    </row>
    <row r="192" spans="1:13" x14ac:dyDescent="0.25">
      <c r="A192" s="5" t="s">
        <v>333</v>
      </c>
      <c r="B192" s="1" t="s">
        <v>242</v>
      </c>
      <c r="C192" t="s">
        <v>185</v>
      </c>
      <c r="D192" s="5">
        <v>1</v>
      </c>
      <c r="E192" s="5">
        <v>1.9572413793103451E-2</v>
      </c>
      <c r="F192" s="5">
        <v>1.8919999999999999E-2</v>
      </c>
      <c r="G192" s="5">
        <v>1.860983606557377E-2</v>
      </c>
      <c r="H192" s="5">
        <v>1.8309677419354839E-2</v>
      </c>
      <c r="I192" s="5">
        <v>1.8309677419354839E-2</v>
      </c>
      <c r="J192" s="5">
        <v>1.8309677419354839E-2</v>
      </c>
      <c r="K192" s="5">
        <v>1.8163200000000001E-2</v>
      </c>
      <c r="L192" s="5">
        <v>1.8019047619047619E-2</v>
      </c>
    </row>
    <row r="193" spans="1:12" x14ac:dyDescent="0.25">
      <c r="A193" s="4" t="s">
        <v>333</v>
      </c>
      <c r="B193" t="s">
        <v>249</v>
      </c>
      <c r="C193" t="s">
        <v>186</v>
      </c>
      <c r="D193" s="4">
        <v>1</v>
      </c>
      <c r="E193" s="5">
        <v>1.6666666666666667</v>
      </c>
      <c r="F193" s="5">
        <v>1.5079365079365079</v>
      </c>
      <c r="G193" s="5">
        <v>1.4550264550264551</v>
      </c>
      <c r="H193" s="5">
        <v>1.4417989417989419</v>
      </c>
      <c r="I193" s="5">
        <v>1.4351851851851851</v>
      </c>
      <c r="J193" s="5">
        <v>1.431878306878307</v>
      </c>
      <c r="K193" s="5">
        <v>1.4302248677248679</v>
      </c>
      <c r="L193" s="5">
        <v>1.4285714285714286</v>
      </c>
    </row>
    <row r="194" spans="1:12" x14ac:dyDescent="0.25">
      <c r="A194" t="s">
        <v>333</v>
      </c>
      <c r="B194" t="s">
        <v>249</v>
      </c>
      <c r="C194" t="s">
        <v>196</v>
      </c>
      <c r="D194">
        <v>1</v>
      </c>
      <c r="E194" s="5">
        <v>0.33301002263174917</v>
      </c>
      <c r="F194" s="5">
        <v>0.30129478238110635</v>
      </c>
      <c r="G194" s="5">
        <v>0.29072303563089213</v>
      </c>
      <c r="H194" s="5">
        <v>0.28808009894333853</v>
      </c>
      <c r="I194" s="5">
        <v>0.28675863059956175</v>
      </c>
      <c r="J194" s="5">
        <v>0.28609789642767336</v>
      </c>
      <c r="K194" s="5">
        <v>0.28576752934172922</v>
      </c>
      <c r="L194" s="5">
        <v>0.28543716225578497</v>
      </c>
    </row>
    <row r="195" spans="1:12" x14ac:dyDescent="0.25">
      <c r="A195" s="5" t="s">
        <v>333</v>
      </c>
      <c r="B195" s="5" t="s">
        <v>250</v>
      </c>
      <c r="C195" s="5" t="s">
        <v>186</v>
      </c>
      <c r="D195" s="5">
        <v>1</v>
      </c>
      <c r="E195" s="5">
        <v>1.6666666666666667</v>
      </c>
      <c r="F195" s="5">
        <v>1.5079365079365079</v>
      </c>
      <c r="G195" s="5">
        <v>1.4550264550264551</v>
      </c>
      <c r="H195" s="5">
        <v>1.4417989417989419</v>
      </c>
      <c r="I195" s="5">
        <v>1.4351851851851851</v>
      </c>
      <c r="J195" s="5">
        <v>1.431878306878307</v>
      </c>
      <c r="K195" s="5">
        <v>1.4302248677248679</v>
      </c>
      <c r="L195" s="5">
        <v>1.4285714285714286</v>
      </c>
    </row>
    <row r="196" spans="1:12" x14ac:dyDescent="0.25">
      <c r="A196" s="5" t="s">
        <v>333</v>
      </c>
      <c r="B196" s="5" t="s">
        <v>250</v>
      </c>
      <c r="C196" s="5" t="s">
        <v>196</v>
      </c>
      <c r="D196" s="5">
        <v>1</v>
      </c>
      <c r="E196" s="5">
        <v>0.33301002263174917</v>
      </c>
      <c r="F196" s="5">
        <v>0.30129478238110635</v>
      </c>
      <c r="G196" s="5">
        <v>0.29072303563089213</v>
      </c>
      <c r="H196" s="5">
        <v>0.28808009894333853</v>
      </c>
      <c r="I196" s="5">
        <v>0.28675863059956175</v>
      </c>
      <c r="J196" s="5">
        <v>0.28609789642767336</v>
      </c>
      <c r="K196" s="5">
        <v>0.28576752934172922</v>
      </c>
      <c r="L196" s="5">
        <v>0.28543716225578497</v>
      </c>
    </row>
    <row r="197" spans="1:12" x14ac:dyDescent="0.25">
      <c r="A197" s="5" t="s">
        <v>333</v>
      </c>
      <c r="B197" s="5" t="s">
        <v>250</v>
      </c>
      <c r="C197" s="5" t="s">
        <v>185</v>
      </c>
      <c r="D197" s="5">
        <v>1</v>
      </c>
      <c r="E197" s="5">
        <v>1.1219999999999999E-2</v>
      </c>
      <c r="F197" s="5">
        <v>1.015142857142857E-2</v>
      </c>
      <c r="G197" s="5">
        <v>9.7952380952380947E-3</v>
      </c>
      <c r="H197" s="5">
        <v>9.7061904761904759E-3</v>
      </c>
      <c r="I197" s="5">
        <v>9.6616666666666656E-3</v>
      </c>
      <c r="J197" s="5">
        <v>9.6394047619047622E-3</v>
      </c>
      <c r="K197" s="5">
        <v>9.6282738095238088E-3</v>
      </c>
      <c r="L197" s="5">
        <v>9.6171428571428571E-3</v>
      </c>
    </row>
    <row r="198" spans="1:12" x14ac:dyDescent="0.25">
      <c r="A198" s="5" t="s">
        <v>333</v>
      </c>
      <c r="B198" s="5" t="s">
        <v>256</v>
      </c>
      <c r="C198" s="5" t="s">
        <v>135</v>
      </c>
      <c r="D198" s="5">
        <v>1</v>
      </c>
      <c r="E198" s="5">
        <v>1.1764705882352942</v>
      </c>
      <c r="F198" s="5">
        <v>1.1247575953458304</v>
      </c>
      <c r="G198" s="5">
        <v>1.1075199310493427</v>
      </c>
      <c r="H198" s="5">
        <v>1.1032105149752207</v>
      </c>
      <c r="I198" s="5">
        <v>1.1010558069381597</v>
      </c>
      <c r="J198" s="5">
        <v>1.0999784529196293</v>
      </c>
      <c r="K198" s="5">
        <v>1.099439775910364</v>
      </c>
      <c r="L198" s="5">
        <v>1.0989010989010988</v>
      </c>
    </row>
    <row r="199" spans="1:12" x14ac:dyDescent="0.25">
      <c r="A199" s="5" t="s">
        <v>333</v>
      </c>
      <c r="B199" s="5" t="s">
        <v>257</v>
      </c>
      <c r="C199" s="5" t="s">
        <v>135</v>
      </c>
      <c r="D199" s="5">
        <v>1</v>
      </c>
      <c r="E199" s="5">
        <v>1.1764705882352942</v>
      </c>
      <c r="F199" s="5">
        <v>1.1247575953458304</v>
      </c>
      <c r="G199" s="5">
        <v>1.1075199310493427</v>
      </c>
      <c r="H199" s="5">
        <v>1.1032105149752207</v>
      </c>
      <c r="I199" s="5">
        <v>1.1010558069381597</v>
      </c>
      <c r="J199" s="5">
        <v>1.0999784529196293</v>
      </c>
      <c r="K199" s="5">
        <v>1.099439775910364</v>
      </c>
      <c r="L199" s="5">
        <v>1.0989010989010988</v>
      </c>
    </row>
    <row r="200" spans="1:12" x14ac:dyDescent="0.25">
      <c r="A200" s="5" t="s">
        <v>333</v>
      </c>
      <c r="B200" s="5" t="s">
        <v>258</v>
      </c>
      <c r="C200" s="5" t="s">
        <v>136</v>
      </c>
      <c r="D200" s="5">
        <v>1</v>
      </c>
      <c r="E200" s="5">
        <v>1.4285714285714286</v>
      </c>
      <c r="F200" s="5">
        <v>1.3650793650793649</v>
      </c>
      <c r="G200" s="5">
        <v>1.343915343915344</v>
      </c>
      <c r="H200" s="5">
        <v>1.3386243386243386</v>
      </c>
      <c r="I200" s="5">
        <v>1.3359788359788358</v>
      </c>
      <c r="J200" s="5">
        <v>1.3346560846560847</v>
      </c>
      <c r="K200" s="5">
        <v>1.3339947089947088</v>
      </c>
      <c r="L200" s="5">
        <v>1.3333333333333333</v>
      </c>
    </row>
    <row r="201" spans="1:12" x14ac:dyDescent="0.25">
      <c r="A201" s="33" t="s">
        <v>333</v>
      </c>
      <c r="B201" s="33" t="s">
        <v>372</v>
      </c>
      <c r="C201" s="33" t="s">
        <v>19</v>
      </c>
      <c r="D201" s="33">
        <v>1</v>
      </c>
      <c r="E201" s="33">
        <v>1.82</v>
      </c>
      <c r="F201" s="33">
        <v>1.79</v>
      </c>
      <c r="G201" s="33">
        <v>1.76</v>
      </c>
      <c r="H201" s="33">
        <v>1.74</v>
      </c>
      <c r="I201" s="33">
        <v>1.71</v>
      </c>
      <c r="J201" s="33">
        <v>1.68</v>
      </c>
      <c r="K201" s="33">
        <v>1.66</v>
      </c>
      <c r="L201" s="33">
        <v>1.63</v>
      </c>
    </row>
  </sheetData>
  <dataValidations count="2">
    <dataValidation type="list" allowBlank="1" showInputMessage="1" showErrorMessage="1" sqref="B22:B33 B185" xr:uid="{00000000-0002-0000-0E00-000000000000}">
      <formula1>Technologies</formula1>
    </dataValidation>
    <dataValidation type="list" allowBlank="1" showInputMessage="1" showErrorMessage="1" sqref="A132:A165 A187" xr:uid="{00000000-0002-0000-0E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1"/>
  <dimension ref="A1:N289"/>
  <sheetViews>
    <sheetView topLeftCell="A260" zoomScaleNormal="100" zoomScalePageLayoutView="90" workbookViewId="0">
      <selection activeCell="M289" sqref="M289"/>
    </sheetView>
  </sheetViews>
  <sheetFormatPr defaultColWidth="11.42578125" defaultRowHeight="15" x14ac:dyDescent="0.25"/>
  <cols>
    <col min="2" max="2" width="23.7109375" customWidth="1"/>
    <col min="3" max="3" width="23.5703125" bestFit="1" customWidth="1"/>
    <col min="4" max="4" width="19.7109375" bestFit="1" customWidth="1"/>
  </cols>
  <sheetData>
    <row r="1" spans="1:14" x14ac:dyDescent="0.25">
      <c r="A1" t="s">
        <v>314</v>
      </c>
    </row>
    <row r="2" spans="1:14" x14ac:dyDescent="0.25">
      <c r="A2" t="s">
        <v>286</v>
      </c>
    </row>
    <row r="3" spans="1:14" x14ac:dyDescent="0.25">
      <c r="A3" t="s">
        <v>304</v>
      </c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t="s">
        <v>15</v>
      </c>
      <c r="B5" t="s">
        <v>21</v>
      </c>
      <c r="C5" t="s">
        <v>16</v>
      </c>
      <c r="D5" t="s">
        <v>284</v>
      </c>
      <c r="E5">
        <v>2018</v>
      </c>
      <c r="F5">
        <v>2020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 x14ac:dyDescent="0.25">
      <c r="A6" t="s">
        <v>333</v>
      </c>
      <c r="B6" t="s">
        <v>159</v>
      </c>
      <c r="C6" t="s">
        <v>158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 x14ac:dyDescent="0.25">
      <c r="A7" t="s">
        <v>333</v>
      </c>
      <c r="B7" t="s">
        <v>160</v>
      </c>
      <c r="C7" t="s">
        <v>157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 x14ac:dyDescent="0.25">
      <c r="A8" t="s">
        <v>333</v>
      </c>
      <c r="B8" t="s">
        <v>129</v>
      </c>
      <c r="C8" t="s">
        <v>19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 x14ac:dyDescent="0.25">
      <c r="A9" t="s">
        <v>333</v>
      </c>
      <c r="B9" t="s">
        <v>130</v>
      </c>
      <c r="C9" t="s">
        <v>19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 x14ac:dyDescent="0.25">
      <c r="A10" t="s">
        <v>333</v>
      </c>
      <c r="B10" t="s">
        <v>142</v>
      </c>
      <c r="C10" t="s">
        <v>135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 x14ac:dyDescent="0.25">
      <c r="A11" t="s">
        <v>333</v>
      </c>
      <c r="B11" t="s">
        <v>143</v>
      </c>
      <c r="C11" t="s">
        <v>186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5" customFormat="1" x14ac:dyDescent="0.25">
      <c r="A12" t="s">
        <v>333</v>
      </c>
      <c r="B12" t="s">
        <v>234</v>
      </c>
      <c r="C12" t="s">
        <v>195</v>
      </c>
      <c r="D12" s="4">
        <v>2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</row>
    <row r="13" spans="1:14" s="5" customFormat="1" x14ac:dyDescent="0.25">
      <c r="A13" t="s">
        <v>333</v>
      </c>
      <c r="B13" t="s">
        <v>236</v>
      </c>
      <c r="C13" t="s">
        <v>260</v>
      </c>
      <c r="D13" s="4">
        <v>2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</row>
    <row r="14" spans="1:14" x14ac:dyDescent="0.25">
      <c r="A14" t="s">
        <v>333</v>
      </c>
      <c r="B14" t="s">
        <v>128</v>
      </c>
      <c r="C14" t="s">
        <v>19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 x14ac:dyDescent="0.25">
      <c r="A15" t="s">
        <v>333</v>
      </c>
      <c r="B15" t="s">
        <v>132</v>
      </c>
      <c r="C15" t="s">
        <v>19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 x14ac:dyDescent="0.25">
      <c r="A16" t="s">
        <v>333</v>
      </c>
      <c r="B16" t="s">
        <v>180</v>
      </c>
      <c r="C16" t="s">
        <v>19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x14ac:dyDescent="0.25">
      <c r="A17" t="s">
        <v>333</v>
      </c>
      <c r="B17" s="1" t="s">
        <v>123</v>
      </c>
      <c r="C17" t="s">
        <v>140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x14ac:dyDescent="0.25">
      <c r="A18" t="s">
        <v>333</v>
      </c>
      <c r="B18" s="1" t="s">
        <v>123</v>
      </c>
      <c r="C18" t="s">
        <v>140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x14ac:dyDescent="0.25">
      <c r="A19" t="s">
        <v>333</v>
      </c>
      <c r="B19" s="1" t="s">
        <v>123</v>
      </c>
      <c r="C19" t="s">
        <v>140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x14ac:dyDescent="0.25">
      <c r="A20" t="s">
        <v>333</v>
      </c>
      <c r="B20" s="1" t="s">
        <v>124</v>
      </c>
      <c r="C20" t="s">
        <v>140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x14ac:dyDescent="0.25">
      <c r="A21" t="s">
        <v>333</v>
      </c>
      <c r="B21" s="1" t="s">
        <v>165</v>
      </c>
      <c r="C21" t="s">
        <v>140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x14ac:dyDescent="0.25">
      <c r="A22" t="s">
        <v>333</v>
      </c>
      <c r="B22" s="1" t="s">
        <v>118</v>
      </c>
      <c r="C22" t="s">
        <v>140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x14ac:dyDescent="0.25">
      <c r="A23" t="s">
        <v>333</v>
      </c>
      <c r="B23" s="1" t="s">
        <v>53</v>
      </c>
      <c r="C23" t="s">
        <v>140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x14ac:dyDescent="0.25">
      <c r="A24" t="s">
        <v>333</v>
      </c>
      <c r="B24" s="1" t="s">
        <v>119</v>
      </c>
      <c r="C24" t="s">
        <v>140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x14ac:dyDescent="0.25">
      <c r="A25" t="s">
        <v>333</v>
      </c>
      <c r="B25" s="1" t="s">
        <v>120</v>
      </c>
      <c r="C25" t="s">
        <v>140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x14ac:dyDescent="0.25">
      <c r="A26" t="s">
        <v>333</v>
      </c>
      <c r="B26" s="1" t="s">
        <v>119</v>
      </c>
      <c r="C26" t="s">
        <v>140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x14ac:dyDescent="0.25">
      <c r="A27" t="s">
        <v>333</v>
      </c>
      <c r="B27" s="1" t="s">
        <v>119</v>
      </c>
      <c r="C27" t="s">
        <v>140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x14ac:dyDescent="0.25">
      <c r="A28" t="s">
        <v>333</v>
      </c>
      <c r="B28" t="s">
        <v>120</v>
      </c>
      <c r="C28" t="s">
        <v>140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x14ac:dyDescent="0.25">
      <c r="A29" t="s">
        <v>333</v>
      </c>
      <c r="B29" t="s">
        <v>120</v>
      </c>
      <c r="C29" t="s">
        <v>140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x14ac:dyDescent="0.25">
      <c r="A30" t="s">
        <v>333</v>
      </c>
      <c r="B30" t="s">
        <v>52</v>
      </c>
      <c r="C30" t="s">
        <v>140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x14ac:dyDescent="0.25">
      <c r="A31" t="s">
        <v>333</v>
      </c>
      <c r="B31" t="s">
        <v>51</v>
      </c>
      <c r="C31" t="s">
        <v>140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x14ac:dyDescent="0.25">
      <c r="A32" t="s">
        <v>333</v>
      </c>
      <c r="B32" t="s">
        <v>51</v>
      </c>
      <c r="C32" t="s">
        <v>140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 x14ac:dyDescent="0.25">
      <c r="A33" t="s">
        <v>333</v>
      </c>
      <c r="B33" t="s">
        <v>96</v>
      </c>
      <c r="C33" t="s">
        <v>19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 x14ac:dyDescent="0.25">
      <c r="A34" t="s">
        <v>333</v>
      </c>
      <c r="B34" s="1" t="s">
        <v>95</v>
      </c>
      <c r="C34" t="s">
        <v>19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 x14ac:dyDescent="0.25">
      <c r="A35" t="s">
        <v>333</v>
      </c>
      <c r="B35" s="1" t="s">
        <v>17</v>
      </c>
      <c r="C35" t="s">
        <v>19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 x14ac:dyDescent="0.25">
      <c r="A36" t="s">
        <v>333</v>
      </c>
      <c r="B36" s="1" t="s">
        <v>18</v>
      </c>
      <c r="C36" t="s">
        <v>19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 x14ac:dyDescent="0.25">
      <c r="A37" t="s">
        <v>333</v>
      </c>
      <c r="B37" s="1" t="s">
        <v>50</v>
      </c>
      <c r="C37" t="s">
        <v>19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 x14ac:dyDescent="0.25">
      <c r="A38" t="s">
        <v>333</v>
      </c>
      <c r="B38" s="1" t="s">
        <v>153</v>
      </c>
      <c r="C38" t="s">
        <v>19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x14ac:dyDescent="0.25">
      <c r="A39" t="s">
        <v>333</v>
      </c>
      <c r="B39" s="1" t="s">
        <v>126</v>
      </c>
      <c r="C39" t="s">
        <v>141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x14ac:dyDescent="0.25">
      <c r="A40" t="s">
        <v>333</v>
      </c>
      <c r="B40" s="1" t="s">
        <v>54</v>
      </c>
      <c r="C40" t="s">
        <v>141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x14ac:dyDescent="0.25">
      <c r="A41" t="s">
        <v>333</v>
      </c>
      <c r="B41" s="1" t="s">
        <v>54</v>
      </c>
      <c r="C41" t="s">
        <v>141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x14ac:dyDescent="0.25">
      <c r="A42" t="s">
        <v>333</v>
      </c>
      <c r="B42" s="1" t="s">
        <v>127</v>
      </c>
      <c r="C42" t="s">
        <v>141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x14ac:dyDescent="0.25">
      <c r="A43" t="s">
        <v>333</v>
      </c>
      <c r="B43" s="1" t="s">
        <v>121</v>
      </c>
      <c r="C43" t="s">
        <v>141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x14ac:dyDescent="0.25">
      <c r="A44" t="s">
        <v>333</v>
      </c>
      <c r="B44" s="1" t="s">
        <v>121</v>
      </c>
      <c r="C44" t="s">
        <v>141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x14ac:dyDescent="0.25">
      <c r="A45" t="s">
        <v>333</v>
      </c>
      <c r="B45" t="s">
        <v>121</v>
      </c>
      <c r="C45" t="s">
        <v>141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x14ac:dyDescent="0.25">
      <c r="A46" t="s">
        <v>333</v>
      </c>
      <c r="B46" t="s">
        <v>122</v>
      </c>
      <c r="C46" t="s">
        <v>141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x14ac:dyDescent="0.25">
      <c r="A47" t="s">
        <v>333</v>
      </c>
      <c r="B47" t="s">
        <v>56</v>
      </c>
      <c r="C47" t="s">
        <v>141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x14ac:dyDescent="0.25">
      <c r="A48" t="s">
        <v>333</v>
      </c>
      <c r="B48" t="s">
        <v>116</v>
      </c>
      <c r="C48" t="s">
        <v>141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x14ac:dyDescent="0.25">
      <c r="A49" t="s">
        <v>333</v>
      </c>
      <c r="B49" t="s">
        <v>55</v>
      </c>
      <c r="C49" t="s">
        <v>141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x14ac:dyDescent="0.25">
      <c r="A50" t="s">
        <v>333</v>
      </c>
      <c r="B50" t="s">
        <v>55</v>
      </c>
      <c r="C50" t="s">
        <v>141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x14ac:dyDescent="0.25">
      <c r="A51" t="s">
        <v>333</v>
      </c>
      <c r="B51" t="s">
        <v>55</v>
      </c>
      <c r="C51" t="s">
        <v>141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x14ac:dyDescent="0.25">
      <c r="A52" t="s">
        <v>333</v>
      </c>
      <c r="B52" t="s">
        <v>117</v>
      </c>
      <c r="C52" t="s">
        <v>141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x14ac:dyDescent="0.25">
      <c r="A53" t="s">
        <v>333</v>
      </c>
      <c r="B53" t="s">
        <v>117</v>
      </c>
      <c r="C53" t="s">
        <v>141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x14ac:dyDescent="0.25">
      <c r="A54" t="s">
        <v>333</v>
      </c>
      <c r="B54" t="s">
        <v>117</v>
      </c>
      <c r="C54" t="s">
        <v>141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x14ac:dyDescent="0.25">
      <c r="A55" t="s">
        <v>333</v>
      </c>
      <c r="B55" t="s">
        <v>79</v>
      </c>
      <c r="C55" t="s">
        <v>146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x14ac:dyDescent="0.25">
      <c r="A56" t="s">
        <v>333</v>
      </c>
      <c r="B56" t="s">
        <v>78</v>
      </c>
      <c r="C56" t="s">
        <v>147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x14ac:dyDescent="0.25">
      <c r="A57" t="s">
        <v>333</v>
      </c>
      <c r="B57" t="s">
        <v>77</v>
      </c>
      <c r="C57" t="s">
        <v>186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x14ac:dyDescent="0.25">
      <c r="A58" t="s">
        <v>333</v>
      </c>
      <c r="B58" t="s">
        <v>80</v>
      </c>
      <c r="C58" t="s">
        <v>134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x14ac:dyDescent="0.25">
      <c r="A59" t="s">
        <v>333</v>
      </c>
      <c r="B59" t="s">
        <v>81</v>
      </c>
      <c r="C59" t="s">
        <v>133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 x14ac:dyDescent="0.25">
      <c r="A60" t="s">
        <v>333</v>
      </c>
      <c r="B60" t="s">
        <v>89</v>
      </c>
      <c r="C60" t="s">
        <v>19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 x14ac:dyDescent="0.25">
      <c r="A61" t="s">
        <v>333</v>
      </c>
      <c r="B61" t="s">
        <v>90</v>
      </c>
      <c r="C61" t="s">
        <v>19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 x14ac:dyDescent="0.25">
      <c r="A62" t="s">
        <v>333</v>
      </c>
      <c r="B62" t="s">
        <v>94</v>
      </c>
      <c r="C62" t="s">
        <v>19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 x14ac:dyDescent="0.25">
      <c r="A63" t="s">
        <v>333</v>
      </c>
      <c r="B63" t="s">
        <v>91</v>
      </c>
      <c r="C63" t="s">
        <v>19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 x14ac:dyDescent="0.25">
      <c r="A64" t="s">
        <v>333</v>
      </c>
      <c r="B64" t="s">
        <v>92</v>
      </c>
      <c r="C64" t="s">
        <v>19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 x14ac:dyDescent="0.25">
      <c r="A65" t="s">
        <v>333</v>
      </c>
      <c r="B65" t="s">
        <v>93</v>
      </c>
      <c r="C65" t="s">
        <v>19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 x14ac:dyDescent="0.25">
      <c r="A66" t="s">
        <v>333</v>
      </c>
      <c r="B66" t="s">
        <v>161</v>
      </c>
      <c r="C66" t="s">
        <v>19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 x14ac:dyDescent="0.25">
      <c r="A67" t="s">
        <v>333</v>
      </c>
      <c r="B67" t="s">
        <v>162</v>
      </c>
      <c r="C67" t="s">
        <v>19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 x14ac:dyDescent="0.25">
      <c r="A68" t="s">
        <v>333</v>
      </c>
      <c r="B68" t="s">
        <v>83</v>
      </c>
      <c r="C68" t="s">
        <v>19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 x14ac:dyDescent="0.25">
      <c r="A69" t="s">
        <v>333</v>
      </c>
      <c r="B69" t="s">
        <v>82</v>
      </c>
      <c r="C69" t="s">
        <v>19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 x14ac:dyDescent="0.25">
      <c r="A70" t="s">
        <v>333</v>
      </c>
      <c r="B70" t="s">
        <v>84</v>
      </c>
      <c r="C70" t="s">
        <v>19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 x14ac:dyDescent="0.25">
      <c r="A71" t="s">
        <v>333</v>
      </c>
      <c r="B71" t="s">
        <v>154</v>
      </c>
      <c r="C71" t="s">
        <v>19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 x14ac:dyDescent="0.25">
      <c r="A72" t="s">
        <v>333</v>
      </c>
      <c r="B72" t="s">
        <v>155</v>
      </c>
      <c r="C72" t="s">
        <v>19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 x14ac:dyDescent="0.25">
      <c r="A73" t="s">
        <v>333</v>
      </c>
      <c r="B73" t="s">
        <v>156</v>
      </c>
      <c r="C73" t="s">
        <v>19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 x14ac:dyDescent="0.25">
      <c r="A74" t="s">
        <v>333</v>
      </c>
      <c r="B74" t="s">
        <v>86</v>
      </c>
      <c r="C74" t="s">
        <v>19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 x14ac:dyDescent="0.25">
      <c r="A75" t="s">
        <v>333</v>
      </c>
      <c r="B75" t="s">
        <v>85</v>
      </c>
      <c r="C75" t="s">
        <v>19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 x14ac:dyDescent="0.25">
      <c r="A76" t="s">
        <v>333</v>
      </c>
      <c r="B76" t="s">
        <v>87</v>
      </c>
      <c r="C76" t="s">
        <v>19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x14ac:dyDescent="0.25">
      <c r="A77" t="s">
        <v>333</v>
      </c>
      <c r="B77" t="s">
        <v>148</v>
      </c>
      <c r="C77" t="s">
        <v>136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x14ac:dyDescent="0.25">
      <c r="A78" t="s">
        <v>333</v>
      </c>
      <c r="B78" t="s">
        <v>114</v>
      </c>
      <c r="C78" t="s">
        <v>135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 x14ac:dyDescent="0.25">
      <c r="A79" t="s">
        <v>333</v>
      </c>
      <c r="B79" t="s">
        <v>115</v>
      </c>
      <c r="C79" t="s">
        <v>19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 x14ac:dyDescent="0.25">
      <c r="A80" t="s">
        <v>333</v>
      </c>
      <c r="B80" t="s">
        <v>115</v>
      </c>
      <c r="C80" t="s">
        <v>19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 x14ac:dyDescent="0.25">
      <c r="A81" t="s">
        <v>333</v>
      </c>
      <c r="B81" t="s">
        <v>115</v>
      </c>
      <c r="C81" t="s">
        <v>29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 x14ac:dyDescent="0.25">
      <c r="A82" t="s">
        <v>333</v>
      </c>
      <c r="B82" t="s">
        <v>152</v>
      </c>
      <c r="C82" t="s">
        <v>188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x14ac:dyDescent="0.25">
      <c r="A83" t="s">
        <v>333</v>
      </c>
      <c r="B83" t="s">
        <v>152</v>
      </c>
      <c r="C83" t="s">
        <v>187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x14ac:dyDescent="0.25">
      <c r="A84" t="s">
        <v>333</v>
      </c>
      <c r="B84" t="s">
        <v>170</v>
      </c>
      <c r="C84" t="s">
        <v>133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x14ac:dyDescent="0.25">
      <c r="A85" t="s">
        <v>333</v>
      </c>
      <c r="B85" t="s">
        <v>169</v>
      </c>
      <c r="C85" t="s">
        <v>146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x14ac:dyDescent="0.25">
      <c r="A86" t="s">
        <v>333</v>
      </c>
      <c r="B86" t="s">
        <v>168</v>
      </c>
      <c r="C86" t="s">
        <v>186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x14ac:dyDescent="0.25">
      <c r="A87" t="s">
        <v>333</v>
      </c>
      <c r="B87" t="s">
        <v>182</v>
      </c>
      <c r="C87" t="s">
        <v>29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 x14ac:dyDescent="0.25">
      <c r="A88" t="s">
        <v>333</v>
      </c>
      <c r="B88" t="s">
        <v>182</v>
      </c>
      <c r="C88" t="s">
        <v>19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 x14ac:dyDescent="0.25">
      <c r="A89" t="s">
        <v>333</v>
      </c>
      <c r="B89" t="s">
        <v>183</v>
      </c>
      <c r="C89" t="s">
        <v>19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x14ac:dyDescent="0.25">
      <c r="A90" t="s">
        <v>333</v>
      </c>
      <c r="B90" t="s">
        <v>184</v>
      </c>
      <c r="C90" t="s">
        <v>185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 x14ac:dyDescent="0.25">
      <c r="A91" t="s">
        <v>333</v>
      </c>
      <c r="B91" t="s">
        <v>17</v>
      </c>
      <c r="C91" t="s">
        <v>19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 x14ac:dyDescent="0.25">
      <c r="A92" t="s">
        <v>333</v>
      </c>
      <c r="B92" t="s">
        <v>17</v>
      </c>
      <c r="C92" t="s">
        <v>19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x14ac:dyDescent="0.25">
      <c r="A93" t="s">
        <v>333</v>
      </c>
      <c r="B93" t="s">
        <v>207</v>
      </c>
      <c r="C93" t="s">
        <v>260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x14ac:dyDescent="0.25">
      <c r="A94" t="s">
        <v>333</v>
      </c>
      <c r="B94" t="s">
        <v>207</v>
      </c>
      <c r="C94" t="s">
        <v>260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x14ac:dyDescent="0.25">
      <c r="A95" t="s">
        <v>333</v>
      </c>
      <c r="B95" t="s">
        <v>207</v>
      </c>
      <c r="C95" t="s">
        <v>260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 x14ac:dyDescent="0.25">
      <c r="A96" t="s">
        <v>333</v>
      </c>
      <c r="B96" t="s">
        <v>194</v>
      </c>
      <c r="C96" t="s">
        <v>19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 x14ac:dyDescent="0.25">
      <c r="A97" t="s">
        <v>333</v>
      </c>
      <c r="B97" t="s">
        <v>194</v>
      </c>
      <c r="C97" t="s">
        <v>260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 x14ac:dyDescent="0.25">
      <c r="A98" t="s">
        <v>333</v>
      </c>
      <c r="B98" t="s">
        <v>194</v>
      </c>
      <c r="C98" t="s">
        <v>19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 x14ac:dyDescent="0.25">
      <c r="A99" t="s">
        <v>333</v>
      </c>
      <c r="B99" t="s">
        <v>194</v>
      </c>
      <c r="C99" t="s">
        <v>260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 x14ac:dyDescent="0.25">
      <c r="A100" t="s">
        <v>333</v>
      </c>
      <c r="B100" t="s">
        <v>194</v>
      </c>
      <c r="C100" t="s">
        <v>19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 x14ac:dyDescent="0.25">
      <c r="A101" t="s">
        <v>333</v>
      </c>
      <c r="B101" t="s">
        <v>194</v>
      </c>
      <c r="C101" t="s">
        <v>260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x14ac:dyDescent="0.25">
      <c r="A102" t="s">
        <v>333</v>
      </c>
      <c r="B102" t="s">
        <v>189</v>
      </c>
      <c r="C102" t="s">
        <v>260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x14ac:dyDescent="0.25">
      <c r="A103" t="s">
        <v>333</v>
      </c>
      <c r="B103" t="s">
        <v>193</v>
      </c>
      <c r="C103" t="s">
        <v>260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x14ac:dyDescent="0.25">
      <c r="A104" t="s">
        <v>333</v>
      </c>
      <c r="B104" t="s">
        <v>193</v>
      </c>
      <c r="C104" t="s">
        <v>260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x14ac:dyDescent="0.25">
      <c r="A105" t="s">
        <v>333</v>
      </c>
      <c r="B105" t="s">
        <v>190</v>
      </c>
      <c r="C105" t="s">
        <v>260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x14ac:dyDescent="0.25">
      <c r="A106" t="s">
        <v>333</v>
      </c>
      <c r="B106" t="s">
        <v>191</v>
      </c>
      <c r="C106" t="s">
        <v>260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 x14ac:dyDescent="0.25">
      <c r="A107" t="s">
        <v>333</v>
      </c>
      <c r="B107" t="s">
        <v>192</v>
      </c>
      <c r="C107" t="s">
        <v>19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 x14ac:dyDescent="0.25">
      <c r="A108" t="s">
        <v>333</v>
      </c>
      <c r="B108" t="s">
        <v>192</v>
      </c>
      <c r="C108" t="s">
        <v>260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 x14ac:dyDescent="0.25">
      <c r="A109" t="s">
        <v>333</v>
      </c>
      <c r="B109" t="s">
        <v>215</v>
      </c>
      <c r="C109" t="s">
        <v>19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 x14ac:dyDescent="0.25">
      <c r="A110" t="s">
        <v>333</v>
      </c>
      <c r="B110" t="s">
        <v>215</v>
      </c>
      <c r="C110" t="s">
        <v>260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x14ac:dyDescent="0.25">
      <c r="A111" t="s">
        <v>333</v>
      </c>
      <c r="B111" t="s">
        <v>216</v>
      </c>
      <c r="C111" t="s">
        <v>260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x14ac:dyDescent="0.25">
      <c r="A112" t="s">
        <v>333</v>
      </c>
      <c r="B112" t="s">
        <v>217</v>
      </c>
      <c r="C112" t="s">
        <v>260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x14ac:dyDescent="0.25">
      <c r="A113" t="s">
        <v>333</v>
      </c>
      <c r="B113" t="s">
        <v>218</v>
      </c>
      <c r="C113" t="s">
        <v>260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x14ac:dyDescent="0.25">
      <c r="A114" t="s">
        <v>333</v>
      </c>
      <c r="B114" t="s">
        <v>219</v>
      </c>
      <c r="C114" t="s">
        <v>260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x14ac:dyDescent="0.25">
      <c r="A115" t="s">
        <v>333</v>
      </c>
      <c r="B115" t="s">
        <v>198</v>
      </c>
      <c r="C115" t="s">
        <v>260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x14ac:dyDescent="0.25">
      <c r="A116" t="s">
        <v>333</v>
      </c>
      <c r="B116" t="s">
        <v>208</v>
      </c>
      <c r="C116" t="s">
        <v>260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x14ac:dyDescent="0.25">
      <c r="A117" t="s">
        <v>333</v>
      </c>
      <c r="B117" t="s">
        <v>209</v>
      </c>
      <c r="C117" t="s">
        <v>195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x14ac:dyDescent="0.25">
      <c r="A118" t="s">
        <v>333</v>
      </c>
      <c r="B118" t="s">
        <v>209</v>
      </c>
      <c r="C118" t="s">
        <v>195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x14ac:dyDescent="0.25">
      <c r="A119" t="s">
        <v>333</v>
      </c>
      <c r="B119" t="s">
        <v>209</v>
      </c>
      <c r="C119" t="s">
        <v>195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 x14ac:dyDescent="0.25">
      <c r="A120" t="s">
        <v>333</v>
      </c>
      <c r="B120" t="s">
        <v>199</v>
      </c>
      <c r="C120" t="s">
        <v>19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 x14ac:dyDescent="0.25">
      <c r="A121" t="s">
        <v>333</v>
      </c>
      <c r="B121" t="s">
        <v>199</v>
      </c>
      <c r="C121" t="s">
        <v>195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 x14ac:dyDescent="0.25">
      <c r="A122" t="s">
        <v>333</v>
      </c>
      <c r="B122" t="s">
        <v>199</v>
      </c>
      <c r="C122" t="s">
        <v>19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 x14ac:dyDescent="0.25">
      <c r="A123" t="s">
        <v>333</v>
      </c>
      <c r="B123" t="s">
        <v>199</v>
      </c>
      <c r="C123" t="s">
        <v>195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 x14ac:dyDescent="0.25">
      <c r="A124" t="s">
        <v>333</v>
      </c>
      <c r="B124" t="s">
        <v>199</v>
      </c>
      <c r="C124" t="s">
        <v>19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 x14ac:dyDescent="0.25">
      <c r="A125" t="s">
        <v>333</v>
      </c>
      <c r="B125" t="s">
        <v>199</v>
      </c>
      <c r="C125" t="s">
        <v>195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x14ac:dyDescent="0.25">
      <c r="A126" t="s">
        <v>333</v>
      </c>
      <c r="B126" t="s">
        <v>200</v>
      </c>
      <c r="C126" t="s">
        <v>195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 x14ac:dyDescent="0.25">
      <c r="A127" t="s">
        <v>333</v>
      </c>
      <c r="B127" t="s">
        <v>201</v>
      </c>
      <c r="C127" t="s">
        <v>19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 x14ac:dyDescent="0.25">
      <c r="A128" t="s">
        <v>333</v>
      </c>
      <c r="B128" t="s">
        <v>201</v>
      </c>
      <c r="C128" t="s">
        <v>195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x14ac:dyDescent="0.25">
      <c r="A129" t="s">
        <v>333</v>
      </c>
      <c r="B129" t="s">
        <v>202</v>
      </c>
      <c r="C129" t="s">
        <v>195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x14ac:dyDescent="0.25">
      <c r="A130" t="s">
        <v>333</v>
      </c>
      <c r="B130" t="s">
        <v>203</v>
      </c>
      <c r="C130" t="s">
        <v>195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 x14ac:dyDescent="0.25">
      <c r="A131" t="s">
        <v>333</v>
      </c>
      <c r="B131" t="s">
        <v>204</v>
      </c>
      <c r="C131" t="s">
        <v>19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 x14ac:dyDescent="0.25">
      <c r="A132" t="s">
        <v>333</v>
      </c>
      <c r="B132" t="s">
        <v>204</v>
      </c>
      <c r="C132" t="s">
        <v>195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5" customFormat="1" x14ac:dyDescent="0.25">
      <c r="A133" t="s">
        <v>333</v>
      </c>
      <c r="B133" t="s">
        <v>232</v>
      </c>
      <c r="C133" t="s">
        <v>19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 x14ac:dyDescent="0.25">
      <c r="A134" t="s">
        <v>333</v>
      </c>
      <c r="B134" s="12" t="s">
        <v>232</v>
      </c>
      <c r="C134" t="s">
        <v>195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x14ac:dyDescent="0.25">
      <c r="A135" t="s">
        <v>333</v>
      </c>
      <c r="B135" s="12" t="s">
        <v>221</v>
      </c>
      <c r="C135" t="s">
        <v>195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 x14ac:dyDescent="0.25">
      <c r="A136" t="s">
        <v>333</v>
      </c>
      <c r="B136" s="12" t="s">
        <v>222</v>
      </c>
      <c r="C136" t="s">
        <v>19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 x14ac:dyDescent="0.25">
      <c r="A137" t="s">
        <v>333</v>
      </c>
      <c r="B137" s="12" t="s">
        <v>222</v>
      </c>
      <c r="C137" t="s">
        <v>19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 x14ac:dyDescent="0.25">
      <c r="A138" t="s">
        <v>333</v>
      </c>
      <c r="B138" s="12" t="s">
        <v>222</v>
      </c>
      <c r="C138" t="s">
        <v>195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 x14ac:dyDescent="0.25">
      <c r="A139" t="s">
        <v>333</v>
      </c>
      <c r="B139" s="12" t="s">
        <v>205</v>
      </c>
      <c r="C139" t="s">
        <v>195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x14ac:dyDescent="0.25">
      <c r="A140" t="s">
        <v>333</v>
      </c>
      <c r="B140" s="12" t="s">
        <v>210</v>
      </c>
      <c r="C140" t="s">
        <v>195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x14ac:dyDescent="0.25">
      <c r="A141" t="s">
        <v>333</v>
      </c>
      <c r="B141" s="12" t="s">
        <v>206</v>
      </c>
      <c r="C141" t="s">
        <v>195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 x14ac:dyDescent="0.25">
      <c r="A142" t="s">
        <v>333</v>
      </c>
      <c r="B142" t="s">
        <v>206</v>
      </c>
      <c r="C142" t="s">
        <v>19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 x14ac:dyDescent="0.25">
      <c r="A143" t="s">
        <v>333</v>
      </c>
      <c r="B143" t="s">
        <v>220</v>
      </c>
      <c r="C143" t="s">
        <v>195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x14ac:dyDescent="0.25">
      <c r="A144" t="s">
        <v>333</v>
      </c>
      <c r="B144" t="s">
        <v>213</v>
      </c>
      <c r="C144" t="s">
        <v>196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x14ac:dyDescent="0.25">
      <c r="A145" t="s">
        <v>333</v>
      </c>
      <c r="B145" t="s">
        <v>213</v>
      </c>
      <c r="C145" t="s">
        <v>196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x14ac:dyDescent="0.25">
      <c r="A146" t="s">
        <v>333</v>
      </c>
      <c r="B146" t="s">
        <v>213</v>
      </c>
      <c r="C146" t="s">
        <v>196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x14ac:dyDescent="0.25">
      <c r="A147" t="s">
        <v>333</v>
      </c>
      <c r="B147" t="s">
        <v>224</v>
      </c>
      <c r="C147" t="s">
        <v>196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x14ac:dyDescent="0.25">
      <c r="A148" t="s">
        <v>333</v>
      </c>
      <c r="B148" t="s">
        <v>211</v>
      </c>
      <c r="C148" t="s">
        <v>196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x14ac:dyDescent="0.25">
      <c r="A149" t="s">
        <v>333</v>
      </c>
      <c r="B149" t="s">
        <v>212</v>
      </c>
      <c r="C149" t="s">
        <v>196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x14ac:dyDescent="0.25">
      <c r="A150" t="s">
        <v>333</v>
      </c>
      <c r="B150" t="s">
        <v>223</v>
      </c>
      <c r="C150" t="s">
        <v>196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x14ac:dyDescent="0.25">
      <c r="A151" t="s">
        <v>333</v>
      </c>
      <c r="B151" t="s">
        <v>214</v>
      </c>
      <c r="C151" t="s">
        <v>196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x14ac:dyDescent="0.25">
      <c r="A152" t="s">
        <v>333</v>
      </c>
      <c r="B152" t="s">
        <v>226</v>
      </c>
      <c r="C152" t="s">
        <v>197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x14ac:dyDescent="0.25">
      <c r="A153" t="s">
        <v>333</v>
      </c>
      <c r="B153" t="s">
        <v>226</v>
      </c>
      <c r="C153" t="s">
        <v>197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x14ac:dyDescent="0.25">
      <c r="A154" t="s">
        <v>333</v>
      </c>
      <c r="B154" t="s">
        <v>226</v>
      </c>
      <c r="C154" t="s">
        <v>197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x14ac:dyDescent="0.25">
      <c r="A155" t="s">
        <v>333</v>
      </c>
      <c r="B155" t="s">
        <v>226</v>
      </c>
      <c r="C155" t="s">
        <v>197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x14ac:dyDescent="0.25">
      <c r="A156" t="s">
        <v>333</v>
      </c>
      <c r="B156" t="s">
        <v>227</v>
      </c>
      <c r="C156" t="s">
        <v>197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x14ac:dyDescent="0.25">
      <c r="A157" t="s">
        <v>333</v>
      </c>
      <c r="B157" t="s">
        <v>227</v>
      </c>
      <c r="C157" t="s">
        <v>197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x14ac:dyDescent="0.25">
      <c r="A158" t="s">
        <v>333</v>
      </c>
      <c r="B158" t="s">
        <v>227</v>
      </c>
      <c r="C158" t="s">
        <v>197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x14ac:dyDescent="0.25">
      <c r="A159" t="s">
        <v>333</v>
      </c>
      <c r="B159" t="s">
        <v>228</v>
      </c>
      <c r="C159" t="s">
        <v>197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x14ac:dyDescent="0.25">
      <c r="A160" t="s">
        <v>333</v>
      </c>
      <c r="B160" t="s">
        <v>229</v>
      </c>
      <c r="C160" t="s">
        <v>197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x14ac:dyDescent="0.25">
      <c r="A161" t="s">
        <v>333</v>
      </c>
      <c r="B161" t="s">
        <v>230</v>
      </c>
      <c r="C161" t="s">
        <v>197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x14ac:dyDescent="0.25">
      <c r="A162" t="s">
        <v>333</v>
      </c>
      <c r="B162" t="s">
        <v>231</v>
      </c>
      <c r="C162" t="s">
        <v>197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x14ac:dyDescent="0.25">
      <c r="A163" t="s">
        <v>333</v>
      </c>
      <c r="B163" t="s">
        <v>231</v>
      </c>
      <c r="C163" t="s">
        <v>197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x14ac:dyDescent="0.25">
      <c r="A164" t="s">
        <v>333</v>
      </c>
      <c r="B164" t="s">
        <v>231</v>
      </c>
      <c r="C164" t="s">
        <v>197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x14ac:dyDescent="0.25">
      <c r="A165" t="s">
        <v>333</v>
      </c>
      <c r="B165" t="s">
        <v>238</v>
      </c>
      <c r="C165" t="s">
        <v>197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x14ac:dyDescent="0.25">
      <c r="A166" t="s">
        <v>333</v>
      </c>
      <c r="B166" t="s">
        <v>238</v>
      </c>
      <c r="C166" t="s">
        <v>197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x14ac:dyDescent="0.25">
      <c r="A167" t="s">
        <v>333</v>
      </c>
      <c r="B167" t="s">
        <v>238</v>
      </c>
      <c r="C167" t="s">
        <v>197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x14ac:dyDescent="0.25">
      <c r="A168" t="s">
        <v>333</v>
      </c>
      <c r="B168" t="s">
        <v>238</v>
      </c>
      <c r="C168" t="s">
        <v>197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x14ac:dyDescent="0.25">
      <c r="A169" t="s">
        <v>333</v>
      </c>
      <c r="B169" t="s">
        <v>239</v>
      </c>
      <c r="C169" t="s">
        <v>197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x14ac:dyDescent="0.25">
      <c r="A170" t="s">
        <v>333</v>
      </c>
      <c r="B170" t="s">
        <v>251</v>
      </c>
      <c r="C170" t="s">
        <v>195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x14ac:dyDescent="0.25">
      <c r="A171" t="s">
        <v>333</v>
      </c>
      <c r="B171" t="s">
        <v>245</v>
      </c>
      <c r="C171" t="s">
        <v>195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x14ac:dyDescent="0.25">
      <c r="A172" t="s">
        <v>333</v>
      </c>
      <c r="B172" t="s">
        <v>246</v>
      </c>
      <c r="C172" t="s">
        <v>195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x14ac:dyDescent="0.25">
      <c r="A173" t="s">
        <v>333</v>
      </c>
      <c r="B173" t="s">
        <v>252</v>
      </c>
      <c r="C173" t="s">
        <v>260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x14ac:dyDescent="0.25">
      <c r="A174" t="s">
        <v>333</v>
      </c>
      <c r="B174" t="s">
        <v>243</v>
      </c>
      <c r="C174" t="s">
        <v>260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x14ac:dyDescent="0.25">
      <c r="A175" t="s">
        <v>333</v>
      </c>
      <c r="B175" t="s">
        <v>244</v>
      </c>
      <c r="C175" t="s">
        <v>260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 x14ac:dyDescent="0.25">
      <c r="A176" t="s">
        <v>333</v>
      </c>
      <c r="B176" t="s">
        <v>251</v>
      </c>
      <c r="C176" t="s">
        <v>19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 x14ac:dyDescent="0.25">
      <c r="A177" t="s">
        <v>333</v>
      </c>
      <c r="B177" t="s">
        <v>245</v>
      </c>
      <c r="C177" t="s">
        <v>19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 x14ac:dyDescent="0.25">
      <c r="A178" t="s">
        <v>333</v>
      </c>
      <c r="B178" t="s">
        <v>246</v>
      </c>
      <c r="C178" t="s">
        <v>19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 x14ac:dyDescent="0.25">
      <c r="A179" t="s">
        <v>333</v>
      </c>
      <c r="B179" t="s">
        <v>193</v>
      </c>
      <c r="C179" t="s">
        <v>19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 x14ac:dyDescent="0.25">
      <c r="A180" t="s">
        <v>333</v>
      </c>
      <c r="B180" t="s">
        <v>252</v>
      </c>
      <c r="C180" t="s">
        <v>19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 x14ac:dyDescent="0.25">
      <c r="A181" t="s">
        <v>333</v>
      </c>
      <c r="B181" t="s">
        <v>243</v>
      </c>
      <c r="C181" t="s">
        <v>19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 x14ac:dyDescent="0.25">
      <c r="A182" t="s">
        <v>333</v>
      </c>
      <c r="B182" t="s">
        <v>244</v>
      </c>
      <c r="C182" t="s">
        <v>19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 x14ac:dyDescent="0.25">
      <c r="A183" t="s">
        <v>333</v>
      </c>
      <c r="B183" t="s">
        <v>247</v>
      </c>
      <c r="C183" t="s">
        <v>196</v>
      </c>
      <c r="D183">
        <v>1</v>
      </c>
      <c r="E183" s="4">
        <v>1</v>
      </c>
      <c r="F183" s="4">
        <v>1</v>
      </c>
      <c r="G183" s="4">
        <v>1</v>
      </c>
      <c r="H183" s="4">
        <v>1</v>
      </c>
      <c r="I183" s="4">
        <v>1</v>
      </c>
      <c r="J183" s="4">
        <v>1</v>
      </c>
      <c r="K183" s="4">
        <v>1</v>
      </c>
      <c r="L183" s="4">
        <v>1</v>
      </c>
    </row>
    <row r="184" spans="1:12" x14ac:dyDescent="0.25">
      <c r="A184" t="s">
        <v>333</v>
      </c>
      <c r="B184" t="s">
        <v>248</v>
      </c>
      <c r="C184" t="s">
        <v>196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 x14ac:dyDescent="0.25">
      <c r="A185" t="s">
        <v>333</v>
      </c>
      <c r="B185" t="s">
        <v>240</v>
      </c>
      <c r="C185" t="s">
        <v>19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 x14ac:dyDescent="0.25">
      <c r="A186" t="s">
        <v>333</v>
      </c>
      <c r="B186" t="s">
        <v>241</v>
      </c>
      <c r="C186" t="s">
        <v>19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 x14ac:dyDescent="0.25">
      <c r="A187" t="s">
        <v>333</v>
      </c>
      <c r="B187" t="s">
        <v>242</v>
      </c>
      <c r="C187" t="s">
        <v>19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x14ac:dyDescent="0.25">
      <c r="A188" t="s">
        <v>333</v>
      </c>
      <c r="B188" t="s">
        <v>249</v>
      </c>
      <c r="C188" t="s">
        <v>135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x14ac:dyDescent="0.25">
      <c r="A189" t="s">
        <v>333</v>
      </c>
      <c r="B189" t="s">
        <v>250</v>
      </c>
      <c r="C189" t="s">
        <v>135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x14ac:dyDescent="0.25">
      <c r="A190" t="s">
        <v>333</v>
      </c>
      <c r="B190" t="s">
        <v>254</v>
      </c>
      <c r="C190" t="s">
        <v>255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x14ac:dyDescent="0.25">
      <c r="A191" t="s">
        <v>333</v>
      </c>
      <c r="B191" t="s">
        <v>256</v>
      </c>
      <c r="C191" t="s">
        <v>260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x14ac:dyDescent="0.25">
      <c r="A192" t="s">
        <v>333</v>
      </c>
      <c r="B192" t="s">
        <v>257</v>
      </c>
      <c r="C192" t="s">
        <v>195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x14ac:dyDescent="0.25">
      <c r="A193" t="s">
        <v>333</v>
      </c>
      <c r="B193" t="s">
        <v>258</v>
      </c>
      <c r="C193" t="s">
        <v>259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 x14ac:dyDescent="0.25">
      <c r="A194" t="s">
        <v>333</v>
      </c>
      <c r="B194" t="s">
        <v>262</v>
      </c>
      <c r="C194" t="s">
        <v>338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 x14ac:dyDescent="0.25">
      <c r="A195" t="s">
        <v>333</v>
      </c>
      <c r="B195" t="s">
        <v>262</v>
      </c>
      <c r="C195" t="s">
        <v>338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x14ac:dyDescent="0.25">
      <c r="A196" t="s">
        <v>333</v>
      </c>
      <c r="B196" t="s">
        <v>263</v>
      </c>
      <c r="C196" t="s">
        <v>136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x14ac:dyDescent="0.25">
      <c r="A197" t="s">
        <v>333</v>
      </c>
      <c r="B197" t="s">
        <v>264</v>
      </c>
      <c r="C197" t="s">
        <v>136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x14ac:dyDescent="0.25">
      <c r="A198" t="s">
        <v>333</v>
      </c>
      <c r="B198" t="s">
        <v>265</v>
      </c>
      <c r="C198" t="s">
        <v>136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x14ac:dyDescent="0.25">
      <c r="A199" t="s">
        <v>333</v>
      </c>
      <c r="B199" t="s">
        <v>266</v>
      </c>
      <c r="C199" t="s">
        <v>136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x14ac:dyDescent="0.25">
      <c r="A200" t="s">
        <v>333</v>
      </c>
      <c r="B200" t="s">
        <v>267</v>
      </c>
      <c r="C200" t="s">
        <v>136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x14ac:dyDescent="0.25">
      <c r="A201" t="s">
        <v>333</v>
      </c>
      <c r="B201" s="1" t="s">
        <v>268</v>
      </c>
      <c r="C201" t="s">
        <v>187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x14ac:dyDescent="0.25">
      <c r="A202" t="s">
        <v>333</v>
      </c>
      <c r="B202" s="1" t="s">
        <v>270</v>
      </c>
      <c r="C202" t="s">
        <v>135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x14ac:dyDescent="0.25">
      <c r="A203" t="s">
        <v>333</v>
      </c>
      <c r="B203" s="1" t="s">
        <v>270</v>
      </c>
      <c r="C203" t="s">
        <v>188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x14ac:dyDescent="0.25">
      <c r="A204" t="s">
        <v>333</v>
      </c>
      <c r="B204" s="1" t="s">
        <v>270</v>
      </c>
      <c r="C204" t="s">
        <v>187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x14ac:dyDescent="0.25">
      <c r="A205" t="s">
        <v>333</v>
      </c>
      <c r="B205" s="1" t="s">
        <v>270</v>
      </c>
      <c r="C205" t="s">
        <v>186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x14ac:dyDescent="0.25">
      <c r="A206" t="s">
        <v>333</v>
      </c>
      <c r="B206" s="1" t="s">
        <v>271</v>
      </c>
      <c r="C206" t="s">
        <v>339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x14ac:dyDescent="0.25">
      <c r="A207" t="s">
        <v>333</v>
      </c>
      <c r="B207" s="1" t="s">
        <v>271</v>
      </c>
      <c r="C207" t="s">
        <v>340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x14ac:dyDescent="0.25">
      <c r="A208" t="s">
        <v>333</v>
      </c>
      <c r="B208" s="1" t="s">
        <v>271</v>
      </c>
      <c r="C208" t="s">
        <v>341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x14ac:dyDescent="0.25">
      <c r="A209" t="s">
        <v>333</v>
      </c>
      <c r="B209" s="1" t="s">
        <v>271</v>
      </c>
      <c r="C209" t="s">
        <v>342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x14ac:dyDescent="0.25">
      <c r="A210" t="s">
        <v>333</v>
      </c>
      <c r="B210" s="1" t="s">
        <v>272</v>
      </c>
      <c r="C210" t="s">
        <v>140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x14ac:dyDescent="0.25">
      <c r="A211" t="s">
        <v>333</v>
      </c>
      <c r="B211" s="1" t="s">
        <v>273</v>
      </c>
      <c r="C211" t="s">
        <v>140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x14ac:dyDescent="0.25">
      <c r="A212" t="s">
        <v>333</v>
      </c>
      <c r="B212" t="s">
        <v>274</v>
      </c>
      <c r="C212" t="s">
        <v>141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x14ac:dyDescent="0.25">
      <c r="A213" t="s">
        <v>333</v>
      </c>
      <c r="B213" t="s">
        <v>269</v>
      </c>
      <c r="C213" t="s">
        <v>342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x14ac:dyDescent="0.25">
      <c r="A214" t="s">
        <v>333</v>
      </c>
      <c r="B214" t="s">
        <v>182</v>
      </c>
      <c r="C214" t="s">
        <v>185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 x14ac:dyDescent="0.25">
      <c r="A215" t="s">
        <v>333</v>
      </c>
      <c r="B215" t="s">
        <v>183</v>
      </c>
      <c r="C215" t="s">
        <v>185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 x14ac:dyDescent="0.25">
      <c r="A216" t="s">
        <v>333</v>
      </c>
      <c r="B216" t="s">
        <v>238</v>
      </c>
      <c r="C216" t="s">
        <v>185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 x14ac:dyDescent="0.25">
      <c r="A217" t="s">
        <v>333</v>
      </c>
      <c r="B217" t="s">
        <v>238</v>
      </c>
      <c r="C217" t="s">
        <v>185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 x14ac:dyDescent="0.25">
      <c r="A218" t="s">
        <v>333</v>
      </c>
      <c r="B218" t="s">
        <v>238</v>
      </c>
      <c r="C218" t="s">
        <v>185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 x14ac:dyDescent="0.25">
      <c r="A219" t="s">
        <v>333</v>
      </c>
      <c r="B219" t="s">
        <v>238</v>
      </c>
      <c r="C219" t="s">
        <v>185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 x14ac:dyDescent="0.25">
      <c r="A220" t="s">
        <v>333</v>
      </c>
      <c r="B220" t="s">
        <v>239</v>
      </c>
      <c r="C220" t="s">
        <v>185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 x14ac:dyDescent="0.25">
      <c r="A221" t="s">
        <v>333</v>
      </c>
      <c r="B221" t="s">
        <v>251</v>
      </c>
      <c r="C221" t="s">
        <v>185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 x14ac:dyDescent="0.25">
      <c r="A222" t="s">
        <v>333</v>
      </c>
      <c r="B222" t="s">
        <v>245</v>
      </c>
      <c r="C222" t="s">
        <v>185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 x14ac:dyDescent="0.25">
      <c r="A223" t="s">
        <v>333</v>
      </c>
      <c r="B223" t="s">
        <v>246</v>
      </c>
      <c r="C223" t="s">
        <v>185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 x14ac:dyDescent="0.25">
      <c r="A224" t="s">
        <v>333</v>
      </c>
      <c r="B224" t="s">
        <v>252</v>
      </c>
      <c r="C224" t="s">
        <v>185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3" x14ac:dyDescent="0.25">
      <c r="A225" t="s">
        <v>333</v>
      </c>
      <c r="B225" t="s">
        <v>243</v>
      </c>
      <c r="C225" t="s">
        <v>185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3" x14ac:dyDescent="0.25">
      <c r="A226" t="s">
        <v>333</v>
      </c>
      <c r="B226" t="s">
        <v>244</v>
      </c>
      <c r="C226" t="s">
        <v>185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3" x14ac:dyDescent="0.25">
      <c r="A227" t="s">
        <v>333</v>
      </c>
      <c r="B227" t="s">
        <v>247</v>
      </c>
      <c r="C227" t="s">
        <v>185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3" x14ac:dyDescent="0.25">
      <c r="A228" t="s">
        <v>333</v>
      </c>
      <c r="B228" t="s">
        <v>248</v>
      </c>
      <c r="C228" t="s">
        <v>185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3" x14ac:dyDescent="0.25">
      <c r="A229" t="s">
        <v>333</v>
      </c>
      <c r="B229" t="s">
        <v>240</v>
      </c>
      <c r="C229" t="s">
        <v>185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3" x14ac:dyDescent="0.25">
      <c r="A230" t="s">
        <v>333</v>
      </c>
      <c r="B230" t="s">
        <v>241</v>
      </c>
      <c r="C230" t="s">
        <v>185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3" x14ac:dyDescent="0.25">
      <c r="A231" t="s">
        <v>333</v>
      </c>
      <c r="B231" t="s">
        <v>242</v>
      </c>
      <c r="C231" t="s">
        <v>185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3" x14ac:dyDescent="0.25">
      <c r="A232" t="s">
        <v>333</v>
      </c>
      <c r="B232" t="s">
        <v>250</v>
      </c>
      <c r="C232" t="s">
        <v>185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4"/>
    </row>
    <row r="233" spans="1:13" x14ac:dyDescent="0.25">
      <c r="A233" t="s">
        <v>333</v>
      </c>
      <c r="B233" s="1" t="s">
        <v>280</v>
      </c>
      <c r="C233" t="s">
        <v>19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3" x14ac:dyDescent="0.25">
      <c r="A234" t="s">
        <v>333</v>
      </c>
      <c r="B234" s="1" t="s">
        <v>343</v>
      </c>
      <c r="C234" t="s">
        <v>344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3" x14ac:dyDescent="0.25">
      <c r="A235" t="s">
        <v>333</v>
      </c>
      <c r="B235" t="s">
        <v>345</v>
      </c>
      <c r="C235" t="s">
        <v>344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3" x14ac:dyDescent="0.25">
      <c r="A236" t="s">
        <v>333</v>
      </c>
      <c r="B236" t="s">
        <v>346</v>
      </c>
      <c r="C236" t="s">
        <v>135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3" x14ac:dyDescent="0.25">
      <c r="A237" t="s">
        <v>333</v>
      </c>
      <c r="B237" t="s">
        <v>347</v>
      </c>
      <c r="C237" t="s">
        <v>348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3" x14ac:dyDescent="0.25">
      <c r="A238" t="s">
        <v>333</v>
      </c>
      <c r="B238" t="s">
        <v>347</v>
      </c>
      <c r="C238" t="s">
        <v>349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3" x14ac:dyDescent="0.25">
      <c r="A239" t="s">
        <v>333</v>
      </c>
      <c r="B239" t="s">
        <v>350</v>
      </c>
      <c r="C239" t="s">
        <v>19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</row>
    <row r="240" spans="1:13" x14ac:dyDescent="0.25">
      <c r="A240" t="s">
        <v>333</v>
      </c>
      <c r="B240" t="s">
        <v>97</v>
      </c>
      <c r="C240" t="s">
        <v>19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</row>
    <row r="241" spans="1:12" x14ac:dyDescent="0.25">
      <c r="A241" t="s">
        <v>333</v>
      </c>
      <c r="B241" t="s">
        <v>98</v>
      </c>
      <c r="C241" t="s">
        <v>19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</row>
    <row r="242" spans="1:12" x14ac:dyDescent="0.25">
      <c r="A242" t="s">
        <v>333</v>
      </c>
      <c r="B242" t="s">
        <v>351</v>
      </c>
      <c r="C242" t="s">
        <v>19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</row>
    <row r="243" spans="1:12" x14ac:dyDescent="0.25">
      <c r="A243" t="s">
        <v>333</v>
      </c>
      <c r="B243" t="s">
        <v>352</v>
      </c>
      <c r="C243" t="s">
        <v>19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</row>
    <row r="244" spans="1:12" x14ac:dyDescent="0.25">
      <c r="A244" t="s">
        <v>333</v>
      </c>
      <c r="B244" t="s">
        <v>353</v>
      </c>
      <c r="C244" t="s">
        <v>19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</row>
    <row r="245" spans="1:12" x14ac:dyDescent="0.25">
      <c r="A245" t="s">
        <v>333</v>
      </c>
      <c r="B245" t="s">
        <v>354</v>
      </c>
      <c r="C245" t="s">
        <v>19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</row>
    <row r="246" spans="1:12" x14ac:dyDescent="0.25">
      <c r="A246" t="s">
        <v>333</v>
      </c>
      <c r="B246" t="s">
        <v>355</v>
      </c>
      <c r="C246" t="s">
        <v>19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</row>
    <row r="247" spans="1:12" x14ac:dyDescent="0.25">
      <c r="A247" t="s">
        <v>333</v>
      </c>
      <c r="B247" t="s">
        <v>356</v>
      </c>
      <c r="C247" t="s">
        <v>19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</row>
    <row r="248" spans="1:12" x14ac:dyDescent="0.25">
      <c r="A248" t="s">
        <v>333</v>
      </c>
      <c r="B248" t="s">
        <v>357</v>
      </c>
      <c r="C248" t="s">
        <v>19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</row>
    <row r="249" spans="1:12" x14ac:dyDescent="0.25">
      <c r="A249" t="s">
        <v>333</v>
      </c>
      <c r="B249" t="s">
        <v>358</v>
      </c>
      <c r="C249" t="s">
        <v>19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</row>
    <row r="250" spans="1:12" x14ac:dyDescent="0.25">
      <c r="A250" t="s">
        <v>333</v>
      </c>
      <c r="B250" t="s">
        <v>350</v>
      </c>
      <c r="C250" t="s">
        <v>19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</row>
    <row r="251" spans="1:12" x14ac:dyDescent="0.25">
      <c r="A251" t="s">
        <v>333</v>
      </c>
      <c r="B251" t="s">
        <v>97</v>
      </c>
      <c r="C251" t="s">
        <v>19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</row>
    <row r="252" spans="1:12" x14ac:dyDescent="0.25">
      <c r="A252" t="s">
        <v>333</v>
      </c>
      <c r="B252" t="s">
        <v>98</v>
      </c>
      <c r="C252" t="s">
        <v>19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</row>
    <row r="253" spans="1:12" x14ac:dyDescent="0.25">
      <c r="A253" t="s">
        <v>333</v>
      </c>
      <c r="B253" t="s">
        <v>351</v>
      </c>
      <c r="C253" t="s">
        <v>19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</row>
    <row r="254" spans="1:12" x14ac:dyDescent="0.25">
      <c r="A254" t="s">
        <v>333</v>
      </c>
      <c r="B254" t="s">
        <v>352</v>
      </c>
      <c r="C254" t="s">
        <v>19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</row>
    <row r="255" spans="1:12" x14ac:dyDescent="0.25">
      <c r="A255" t="s">
        <v>333</v>
      </c>
      <c r="B255" t="s">
        <v>353</v>
      </c>
      <c r="C255" t="s">
        <v>19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</row>
    <row r="256" spans="1:12" x14ac:dyDescent="0.25">
      <c r="A256" t="s">
        <v>333</v>
      </c>
      <c r="B256" t="s">
        <v>354</v>
      </c>
      <c r="C256" t="s">
        <v>19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</row>
    <row r="257" spans="1:12" x14ac:dyDescent="0.25">
      <c r="A257" t="s">
        <v>333</v>
      </c>
      <c r="B257" t="s">
        <v>355</v>
      </c>
      <c r="C257" t="s">
        <v>19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</row>
    <row r="258" spans="1:12" x14ac:dyDescent="0.25">
      <c r="A258" t="s">
        <v>333</v>
      </c>
      <c r="B258" t="s">
        <v>356</v>
      </c>
      <c r="C258" t="s">
        <v>19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</row>
    <row r="259" spans="1:12" x14ac:dyDescent="0.25">
      <c r="A259" t="s">
        <v>333</v>
      </c>
      <c r="B259" t="s">
        <v>357</v>
      </c>
      <c r="C259" t="s">
        <v>19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</row>
    <row r="260" spans="1:12" x14ac:dyDescent="0.25">
      <c r="A260" t="s">
        <v>333</v>
      </c>
      <c r="B260" t="s">
        <v>358</v>
      </c>
      <c r="C260" t="s">
        <v>19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</row>
    <row r="261" spans="1:12" x14ac:dyDescent="0.25">
      <c r="A261" t="s">
        <v>333</v>
      </c>
      <c r="B261" t="s">
        <v>359</v>
      </c>
      <c r="C261" t="s">
        <v>19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</row>
    <row r="262" spans="1:12" x14ac:dyDescent="0.25">
      <c r="A262" t="s">
        <v>333</v>
      </c>
      <c r="B262" t="s">
        <v>350</v>
      </c>
      <c r="C262" t="s">
        <v>360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</row>
    <row r="263" spans="1:12" x14ac:dyDescent="0.25">
      <c r="A263" t="s">
        <v>333</v>
      </c>
      <c r="B263" t="s">
        <v>97</v>
      </c>
      <c r="C263" t="s">
        <v>360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</row>
    <row r="264" spans="1:12" x14ac:dyDescent="0.25">
      <c r="A264" t="s">
        <v>333</v>
      </c>
      <c r="B264" t="s">
        <v>98</v>
      </c>
      <c r="C264" t="s">
        <v>360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</row>
    <row r="265" spans="1:12" x14ac:dyDescent="0.25">
      <c r="A265" t="s">
        <v>333</v>
      </c>
      <c r="B265" t="s">
        <v>351</v>
      </c>
      <c r="C265" t="s">
        <v>360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</row>
    <row r="266" spans="1:12" x14ac:dyDescent="0.25">
      <c r="A266" t="s">
        <v>333</v>
      </c>
      <c r="B266" t="s">
        <v>352</v>
      </c>
      <c r="C266" t="s">
        <v>360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</row>
    <row r="267" spans="1:12" x14ac:dyDescent="0.25">
      <c r="A267" t="s">
        <v>333</v>
      </c>
      <c r="B267" t="s">
        <v>353</v>
      </c>
      <c r="C267" t="s">
        <v>360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</row>
    <row r="268" spans="1:12" x14ac:dyDescent="0.25">
      <c r="A268" t="s">
        <v>333</v>
      </c>
      <c r="B268" t="s">
        <v>354</v>
      </c>
      <c r="C268" t="s">
        <v>360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</row>
    <row r="269" spans="1:12" x14ac:dyDescent="0.25">
      <c r="A269" t="s">
        <v>333</v>
      </c>
      <c r="B269" t="s">
        <v>355</v>
      </c>
      <c r="C269" t="s">
        <v>360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</row>
    <row r="270" spans="1:12" x14ac:dyDescent="0.25">
      <c r="A270" t="s">
        <v>333</v>
      </c>
      <c r="B270" t="s">
        <v>356</v>
      </c>
      <c r="C270" t="s">
        <v>360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</row>
    <row r="271" spans="1:12" x14ac:dyDescent="0.25">
      <c r="A271" t="s">
        <v>333</v>
      </c>
      <c r="B271" t="s">
        <v>357</v>
      </c>
      <c r="C271" t="s">
        <v>360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</row>
    <row r="272" spans="1:12" x14ac:dyDescent="0.25">
      <c r="A272" t="s">
        <v>333</v>
      </c>
      <c r="B272" t="s">
        <v>358</v>
      </c>
      <c r="C272" t="s">
        <v>360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</row>
    <row r="273" spans="1:12" x14ac:dyDescent="0.25">
      <c r="A273" t="s">
        <v>333</v>
      </c>
      <c r="B273" t="s">
        <v>359</v>
      </c>
      <c r="C273" t="s">
        <v>360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</row>
    <row r="274" spans="1:12" x14ac:dyDescent="0.25">
      <c r="A274" t="s">
        <v>333</v>
      </c>
      <c r="B274" t="s">
        <v>361</v>
      </c>
      <c r="C274" t="s">
        <v>195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2" x14ac:dyDescent="0.25">
      <c r="A275" t="s">
        <v>333</v>
      </c>
      <c r="B275" t="s">
        <v>362</v>
      </c>
      <c r="C275" t="s">
        <v>260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2" x14ac:dyDescent="0.25">
      <c r="A276" t="s">
        <v>333</v>
      </c>
      <c r="B276" t="s">
        <v>363</v>
      </c>
      <c r="C276" t="s">
        <v>19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</row>
    <row r="277" spans="1:12" x14ac:dyDescent="0.25">
      <c r="A277" t="s">
        <v>333</v>
      </c>
      <c r="B277" t="s">
        <v>363</v>
      </c>
      <c r="C277" t="s">
        <v>19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</row>
    <row r="278" spans="1:12" x14ac:dyDescent="0.25">
      <c r="A278" t="s">
        <v>333</v>
      </c>
      <c r="B278" t="s">
        <v>363</v>
      </c>
      <c r="C278" t="s">
        <v>360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</row>
    <row r="279" spans="1:12" x14ac:dyDescent="0.25">
      <c r="A279" t="s">
        <v>333</v>
      </c>
      <c r="B279" t="s">
        <v>364</v>
      </c>
      <c r="C279" t="s">
        <v>19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2" x14ac:dyDescent="0.25">
      <c r="A280" t="s">
        <v>333</v>
      </c>
      <c r="B280" t="s">
        <v>365</v>
      </c>
      <c r="C280" t="s">
        <v>19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2" x14ac:dyDescent="0.25">
      <c r="A281" t="s">
        <v>333</v>
      </c>
      <c r="B281" t="s">
        <v>366</v>
      </c>
      <c r="C281" t="s">
        <v>19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2" x14ac:dyDescent="0.25">
      <c r="A282" t="s">
        <v>333</v>
      </c>
      <c r="B282" t="s">
        <v>367</v>
      </c>
      <c r="C282" t="s">
        <v>19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2" x14ac:dyDescent="0.25">
      <c r="A283" t="s">
        <v>333</v>
      </c>
      <c r="B283" t="s">
        <v>365</v>
      </c>
      <c r="C283" t="s">
        <v>19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2" x14ac:dyDescent="0.25">
      <c r="A284" t="s">
        <v>333</v>
      </c>
      <c r="B284" t="s">
        <v>366</v>
      </c>
      <c r="C284" t="s">
        <v>19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2" x14ac:dyDescent="0.25">
      <c r="A285" t="s">
        <v>333</v>
      </c>
      <c r="B285" t="s">
        <v>367</v>
      </c>
      <c r="C285" t="s">
        <v>19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2" x14ac:dyDescent="0.25">
      <c r="A286" t="s">
        <v>333</v>
      </c>
      <c r="B286" t="s">
        <v>365</v>
      </c>
      <c r="C286" t="s">
        <v>19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2" x14ac:dyDescent="0.25">
      <c r="A287" t="s">
        <v>333</v>
      </c>
      <c r="B287" t="s">
        <v>366</v>
      </c>
      <c r="C287" t="s">
        <v>19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2" x14ac:dyDescent="0.25">
      <c r="A288" t="s">
        <v>333</v>
      </c>
      <c r="B288" t="s">
        <v>367</v>
      </c>
      <c r="C288" t="s">
        <v>19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  <row r="289" spans="1:12" x14ac:dyDescent="0.25">
      <c r="A289" t="s">
        <v>333</v>
      </c>
      <c r="B289" t="s">
        <v>372</v>
      </c>
      <c r="C289" t="s">
        <v>141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</row>
  </sheetData>
  <dataValidations count="1">
    <dataValidation type="list" allowBlank="1" showInputMessage="1" showErrorMessage="1" sqref="B23 B25:B27 B210" xr:uid="{1D519BF4-50CB-4441-864B-4607A80D677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3"/>
  <dimension ref="A1:AG278"/>
  <sheetViews>
    <sheetView topLeftCell="A107" zoomScale="85" zoomScaleNormal="85" zoomScalePageLayoutView="85" workbookViewId="0">
      <selection activeCell="C147" sqref="C147"/>
    </sheetView>
  </sheetViews>
  <sheetFormatPr defaultColWidth="11.42578125" defaultRowHeight="15" x14ac:dyDescent="0.25"/>
  <cols>
    <col min="1" max="1" width="18" customWidth="1"/>
    <col min="2" max="2" width="25.7109375" customWidth="1"/>
    <col min="3" max="9" width="15.28515625" customWidth="1"/>
    <col min="10" max="10" width="13.710937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2" x14ac:dyDescent="0.25">
      <c r="A1" t="s">
        <v>315</v>
      </c>
    </row>
    <row r="2" spans="1:12" x14ac:dyDescent="0.25">
      <c r="A2" t="s">
        <v>4</v>
      </c>
    </row>
    <row r="3" spans="1:12" x14ac:dyDescent="0.25">
      <c r="A3" t="s">
        <v>301</v>
      </c>
    </row>
    <row r="5" spans="1:12" x14ac:dyDescent="0.25">
      <c r="B5" t="s">
        <v>21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2" x14ac:dyDescent="0.25">
      <c r="A6" t="s">
        <v>333</v>
      </c>
      <c r="B6" t="s">
        <v>97</v>
      </c>
      <c r="C6" s="13">
        <v>2030</v>
      </c>
      <c r="D6" s="13">
        <v>2030</v>
      </c>
      <c r="E6" s="13">
        <v>2030</v>
      </c>
      <c r="F6" s="13">
        <v>2030</v>
      </c>
      <c r="G6" s="13">
        <v>2030</v>
      </c>
      <c r="H6" s="13">
        <v>2030</v>
      </c>
      <c r="I6" s="13">
        <v>2030</v>
      </c>
      <c r="J6" s="13">
        <v>2030</v>
      </c>
      <c r="L6" s="1"/>
    </row>
    <row r="7" spans="1:12" x14ac:dyDescent="0.25">
      <c r="A7" t="s">
        <v>333</v>
      </c>
      <c r="B7" t="s">
        <v>98</v>
      </c>
      <c r="C7" s="13">
        <v>2030</v>
      </c>
      <c r="D7" s="13">
        <v>2030</v>
      </c>
      <c r="E7" s="13">
        <v>2030</v>
      </c>
      <c r="F7" s="13">
        <v>2030</v>
      </c>
      <c r="G7" s="13">
        <v>2030</v>
      </c>
      <c r="H7" s="13">
        <v>2030</v>
      </c>
      <c r="I7" s="13">
        <v>2030</v>
      </c>
      <c r="J7" s="13">
        <v>2030</v>
      </c>
      <c r="L7" s="1"/>
    </row>
    <row r="8" spans="1:12" x14ac:dyDescent="0.25">
      <c r="A8" t="s">
        <v>333</v>
      </c>
      <c r="B8" t="s">
        <v>99</v>
      </c>
      <c r="C8" s="13">
        <v>976.5</v>
      </c>
      <c r="D8" s="13">
        <v>976.5</v>
      </c>
      <c r="E8" s="13">
        <v>976.5</v>
      </c>
      <c r="F8" s="13">
        <v>976.5</v>
      </c>
      <c r="G8" s="13">
        <v>976.5</v>
      </c>
      <c r="H8" s="13">
        <v>976.5</v>
      </c>
      <c r="I8" s="13">
        <v>976.5</v>
      </c>
      <c r="J8" s="13">
        <v>976.5</v>
      </c>
    </row>
    <row r="9" spans="1:12" x14ac:dyDescent="0.25">
      <c r="A9" t="s">
        <v>333</v>
      </c>
      <c r="B9" t="s">
        <v>100</v>
      </c>
      <c r="C9" s="13">
        <v>5670</v>
      </c>
      <c r="D9" s="13">
        <v>5481</v>
      </c>
      <c r="E9" s="13">
        <v>5323.5</v>
      </c>
      <c r="F9" s="13">
        <v>5166</v>
      </c>
      <c r="G9" s="13">
        <v>4977</v>
      </c>
      <c r="H9" s="13">
        <v>4788</v>
      </c>
      <c r="I9" s="13">
        <v>4756.5</v>
      </c>
      <c r="J9" s="13">
        <v>4725</v>
      </c>
      <c r="L9" s="1"/>
    </row>
    <row r="10" spans="1:12" x14ac:dyDescent="0.25">
      <c r="A10" t="s">
        <v>333</v>
      </c>
      <c r="B10" t="s">
        <v>149</v>
      </c>
      <c r="C10" s="13">
        <v>3670</v>
      </c>
      <c r="D10" s="13">
        <v>3300</v>
      </c>
      <c r="E10" s="13">
        <v>3145</v>
      </c>
      <c r="F10" s="13">
        <v>2990</v>
      </c>
      <c r="G10" s="13">
        <v>2870</v>
      </c>
      <c r="H10" s="13">
        <v>2750</v>
      </c>
      <c r="I10" s="13">
        <v>2645</v>
      </c>
      <c r="J10" s="13">
        <v>2540</v>
      </c>
      <c r="L10" s="1"/>
    </row>
    <row r="11" spans="1:12" x14ac:dyDescent="0.25">
      <c r="A11" t="s">
        <v>333</v>
      </c>
      <c r="B11" t="s">
        <v>129</v>
      </c>
      <c r="C11" s="13">
        <v>1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L11" s="1"/>
    </row>
    <row r="12" spans="1:12" x14ac:dyDescent="0.25">
      <c r="A12" t="s">
        <v>333</v>
      </c>
      <c r="B12" t="s">
        <v>130</v>
      </c>
      <c r="C12" s="13">
        <v>1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L12" s="1"/>
    </row>
    <row r="13" spans="1:12" x14ac:dyDescent="0.25">
      <c r="A13" t="s">
        <v>333</v>
      </c>
      <c r="B13" t="s">
        <v>142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L13" s="1"/>
    </row>
    <row r="14" spans="1:12" x14ac:dyDescent="0.25">
      <c r="A14" t="s">
        <v>333</v>
      </c>
      <c r="B14" t="s">
        <v>143</v>
      </c>
      <c r="C14" s="13">
        <v>1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v>1</v>
      </c>
      <c r="L14" s="1"/>
    </row>
    <row r="15" spans="1:12" x14ac:dyDescent="0.25">
      <c r="A15" t="s">
        <v>333</v>
      </c>
      <c r="B15" t="s">
        <v>128</v>
      </c>
      <c r="C15" s="13">
        <v>1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1</v>
      </c>
      <c r="L15" s="1"/>
    </row>
    <row r="16" spans="1:12" x14ac:dyDescent="0.25">
      <c r="A16" t="s">
        <v>333</v>
      </c>
      <c r="B16" t="s">
        <v>234</v>
      </c>
      <c r="C16" s="13">
        <v>1200</v>
      </c>
      <c r="D16" s="13">
        <v>1200</v>
      </c>
      <c r="E16" s="13">
        <v>1200</v>
      </c>
      <c r="F16" s="13">
        <v>1200</v>
      </c>
      <c r="G16" s="13">
        <v>1200</v>
      </c>
      <c r="H16" s="13">
        <v>1200</v>
      </c>
      <c r="I16" s="13">
        <v>1200</v>
      </c>
      <c r="J16" s="13">
        <v>1200</v>
      </c>
      <c r="L16" s="1"/>
    </row>
    <row r="17" spans="1:16" s="5" customFormat="1" x14ac:dyDescent="0.25">
      <c r="A17" t="s">
        <v>333</v>
      </c>
      <c r="B17" t="s">
        <v>236</v>
      </c>
      <c r="C17" s="13">
        <v>1200</v>
      </c>
      <c r="D17" s="13">
        <v>1200</v>
      </c>
      <c r="E17" s="13">
        <v>1200</v>
      </c>
      <c r="F17" s="13">
        <v>1200</v>
      </c>
      <c r="G17" s="13">
        <v>1200</v>
      </c>
      <c r="H17" s="13">
        <v>1200</v>
      </c>
      <c r="I17" s="13">
        <v>1200</v>
      </c>
      <c r="J17" s="13">
        <v>1200</v>
      </c>
      <c r="K17"/>
      <c r="L17" s="1"/>
      <c r="M17" s="4"/>
      <c r="N17" s="4"/>
      <c r="O17" s="4"/>
      <c r="P17" s="4"/>
    </row>
    <row r="18" spans="1:16" s="5" customFormat="1" x14ac:dyDescent="0.25">
      <c r="A18" t="s">
        <v>333</v>
      </c>
      <c r="B18" t="s">
        <v>132</v>
      </c>
      <c r="C18" s="13">
        <v>1</v>
      </c>
      <c r="D18" s="13">
        <v>1</v>
      </c>
      <c r="E18" s="13">
        <v>1</v>
      </c>
      <c r="F18" s="13">
        <v>1</v>
      </c>
      <c r="G18" s="13">
        <v>1</v>
      </c>
      <c r="H18" s="13">
        <v>1</v>
      </c>
      <c r="I18" s="13">
        <v>1</v>
      </c>
      <c r="J18" s="13">
        <v>1</v>
      </c>
      <c r="K18"/>
      <c r="L18" s="1"/>
      <c r="M18" s="4"/>
      <c r="N18" s="4"/>
      <c r="O18" s="4"/>
      <c r="P18" s="4"/>
    </row>
    <row r="19" spans="1:16" x14ac:dyDescent="0.25">
      <c r="A19" t="s">
        <v>333</v>
      </c>
      <c r="B19" t="s">
        <v>180</v>
      </c>
      <c r="C19" s="13">
        <v>1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L19" s="1"/>
    </row>
    <row r="20" spans="1:16" x14ac:dyDescent="0.25">
      <c r="A20" t="s">
        <v>333</v>
      </c>
      <c r="B20" s="1" t="s">
        <v>123</v>
      </c>
      <c r="C20" s="13">
        <v>3.6184210526315788</v>
      </c>
      <c r="D20" s="13">
        <v>3.5667293233082704</v>
      </c>
      <c r="E20" s="13">
        <v>3.5150375939849625</v>
      </c>
      <c r="F20" s="13">
        <v>3.4633458646616537</v>
      </c>
      <c r="G20" s="13">
        <v>3.4116541353383454</v>
      </c>
      <c r="H20" s="13">
        <v>3.3599624060150379</v>
      </c>
      <c r="I20" s="13">
        <v>3.3082706766917291</v>
      </c>
      <c r="J20" s="13">
        <v>3.2565789473684212</v>
      </c>
    </row>
    <row r="21" spans="1:16" x14ac:dyDescent="0.25">
      <c r="A21" t="s">
        <v>333</v>
      </c>
      <c r="B21" s="1" t="s">
        <v>124</v>
      </c>
      <c r="C21" s="13">
        <v>5.1691729323308264</v>
      </c>
      <c r="D21" s="13">
        <v>4.7630236305048319</v>
      </c>
      <c r="E21" s="13">
        <v>4.3568743286788392</v>
      </c>
      <c r="F21" s="13">
        <v>3.9507250268528447</v>
      </c>
      <c r="G21" s="13">
        <v>3.544575725026851</v>
      </c>
      <c r="H21" s="13">
        <v>3.1384264232008574</v>
      </c>
      <c r="I21" s="13">
        <v>2.7322771213748638</v>
      </c>
      <c r="J21" s="13">
        <v>2.3261278195488702</v>
      </c>
    </row>
    <row r="22" spans="1:16" x14ac:dyDescent="0.25">
      <c r="A22" t="s">
        <v>333</v>
      </c>
      <c r="B22" s="1" t="s">
        <v>165</v>
      </c>
      <c r="C22" s="13">
        <v>8.9952311839104304</v>
      </c>
      <c r="D22" s="13">
        <v>8.8093001984538368</v>
      </c>
      <c r="E22" s="13">
        <v>8.6233692129972468</v>
      </c>
      <c r="F22" s="13">
        <v>8.4374382275406532</v>
      </c>
      <c r="G22" s="13">
        <v>8.2515072420840614</v>
      </c>
      <c r="H22" s="13">
        <v>8.0655762566274696</v>
      </c>
      <c r="I22" s="13">
        <v>7.8796452711708769</v>
      </c>
      <c r="J22" s="13">
        <v>7.6937142857142851</v>
      </c>
      <c r="L22" s="1"/>
    </row>
    <row r="23" spans="1:16" x14ac:dyDescent="0.25">
      <c r="A23" t="s">
        <v>333</v>
      </c>
      <c r="B23" s="1" t="s">
        <v>118</v>
      </c>
      <c r="C23" s="13">
        <v>19.366404036215354</v>
      </c>
      <c r="D23" s="13">
        <f>C23-($C$23-$J$23)/8</f>
        <v>18.882243935309969</v>
      </c>
      <c r="E23" s="13">
        <f t="shared" ref="E23:I23" si="0">D23-($C$23-$J$23)/8</f>
        <v>18.398083834404584</v>
      </c>
      <c r="F23" s="13">
        <f t="shared" si="0"/>
        <v>17.9139237334992</v>
      </c>
      <c r="G23" s="13">
        <f t="shared" si="0"/>
        <v>17.429763632593815</v>
      </c>
      <c r="H23" s="13">
        <f t="shared" si="0"/>
        <v>16.94560353168843</v>
      </c>
      <c r="I23" s="13">
        <f t="shared" si="0"/>
        <v>16.461443430783046</v>
      </c>
      <c r="J23" s="13">
        <f>0.8*C23</f>
        <v>15.493123228972284</v>
      </c>
      <c r="L23" s="1"/>
    </row>
    <row r="24" spans="1:16" x14ac:dyDescent="0.25">
      <c r="A24" t="s">
        <v>333</v>
      </c>
      <c r="B24" t="s">
        <v>53</v>
      </c>
      <c r="C24" s="13">
        <v>17.079933469028656</v>
      </c>
      <c r="D24" s="13">
        <f>C24-($C$24-$J$24)/8</f>
        <v>16.65293513230294</v>
      </c>
      <c r="E24" s="13">
        <f t="shared" ref="E24:I24" si="1">D24-($C$24-$J$24)/8</f>
        <v>16.225936795577223</v>
      </c>
      <c r="F24" s="13">
        <f t="shared" si="1"/>
        <v>15.798938458851506</v>
      </c>
      <c r="G24" s="13">
        <f t="shared" si="1"/>
        <v>15.371940122125789</v>
      </c>
      <c r="H24" s="13">
        <f t="shared" si="1"/>
        <v>14.944941785400072</v>
      </c>
      <c r="I24" s="13">
        <f t="shared" si="1"/>
        <v>14.517943448674355</v>
      </c>
      <c r="J24" s="13">
        <f>0.8*C24</f>
        <v>13.663946775222925</v>
      </c>
      <c r="L24" s="1"/>
    </row>
    <row r="25" spans="1:16" x14ac:dyDescent="0.25">
      <c r="A25" t="s">
        <v>333</v>
      </c>
      <c r="B25" t="s">
        <v>119</v>
      </c>
      <c r="C25" s="13">
        <v>6.1224489795918364</v>
      </c>
      <c r="D25" s="13">
        <v>6.0641399416909616</v>
      </c>
      <c r="E25" s="13">
        <v>6.0058309037900877</v>
      </c>
      <c r="F25" s="13">
        <v>5.9475218658892128</v>
      </c>
      <c r="G25" s="13">
        <v>5.889212827988338</v>
      </c>
      <c r="H25" s="13">
        <v>5.8309037900874632</v>
      </c>
      <c r="I25" s="13">
        <v>5.7725947521865892</v>
      </c>
      <c r="J25" s="13">
        <v>5.7142857142857144</v>
      </c>
      <c r="L25" s="1"/>
    </row>
    <row r="26" spans="1:16" x14ac:dyDescent="0.25">
      <c r="A26" t="s">
        <v>333</v>
      </c>
      <c r="B26" t="s">
        <v>120</v>
      </c>
      <c r="C26" s="13">
        <v>8.6179062463894454</v>
      </c>
      <c r="D26" s="13">
        <v>8.4499254706661713</v>
      </c>
      <c r="E26" s="13">
        <v>8.2819446949428972</v>
      </c>
      <c r="F26" s="13">
        <v>8.1139639192196249</v>
      </c>
      <c r="G26" s="13">
        <v>7.9459831434963508</v>
      </c>
      <c r="H26" s="13">
        <v>7.7780023677730767</v>
      </c>
      <c r="I26" s="13">
        <v>7.6100215920498036</v>
      </c>
      <c r="J26" s="13">
        <v>7.4420408163265304</v>
      </c>
      <c r="L26" s="1"/>
    </row>
    <row r="27" spans="1:16" x14ac:dyDescent="0.25">
      <c r="A27" t="s">
        <v>333</v>
      </c>
      <c r="B27" t="s">
        <v>52</v>
      </c>
      <c r="C27" s="13">
        <v>10.303617571059432</v>
      </c>
      <c r="D27" s="13">
        <v>10.035991140642302</v>
      </c>
      <c r="E27" s="13">
        <v>9.7683647102251747</v>
      </c>
      <c r="F27" s="13">
        <v>9.5007382798080471</v>
      </c>
      <c r="G27" s="13">
        <v>9.2331118493909194</v>
      </c>
      <c r="H27" s="13">
        <v>8.9654854189737918</v>
      </c>
      <c r="I27" s="13">
        <v>8.6978589885566624</v>
      </c>
      <c r="J27" s="13">
        <v>8.4302325581395348</v>
      </c>
      <c r="L27" s="1"/>
    </row>
    <row r="28" spans="1:16" x14ac:dyDescent="0.25">
      <c r="A28" t="s">
        <v>333</v>
      </c>
      <c r="B28" t="s">
        <v>51</v>
      </c>
      <c r="C28" s="13">
        <v>9.3669250645994833</v>
      </c>
      <c r="D28" s="13">
        <v>9.2331118493909177</v>
      </c>
      <c r="E28" s="13">
        <v>9.0992986341823556</v>
      </c>
      <c r="F28" s="13">
        <v>8.96548541897379</v>
      </c>
      <c r="G28" s="13">
        <v>8.8316722037652262</v>
      </c>
      <c r="H28" s="13">
        <v>8.6978589885566642</v>
      </c>
      <c r="I28" s="13">
        <v>8.5640457733480986</v>
      </c>
      <c r="J28" s="13">
        <v>8.4302325581395348</v>
      </c>
      <c r="L28" s="1"/>
    </row>
    <row r="29" spans="1:16" x14ac:dyDescent="0.25">
      <c r="A29" t="s">
        <v>333</v>
      </c>
      <c r="B29" t="s">
        <v>101</v>
      </c>
      <c r="C29" s="13">
        <v>2890</v>
      </c>
      <c r="D29" s="13">
        <v>2620</v>
      </c>
      <c r="E29" s="13">
        <v>2495</v>
      </c>
      <c r="F29" s="13">
        <v>2370</v>
      </c>
      <c r="G29" s="13">
        <v>2260</v>
      </c>
      <c r="H29" s="13">
        <v>2150</v>
      </c>
      <c r="I29" s="13">
        <v>2050</v>
      </c>
      <c r="J29" s="13">
        <v>1950</v>
      </c>
      <c r="L29" s="1"/>
    </row>
    <row r="30" spans="1:16" x14ac:dyDescent="0.25">
      <c r="A30" t="s">
        <v>333</v>
      </c>
      <c r="B30" t="s">
        <v>102</v>
      </c>
      <c r="C30" s="13">
        <v>1600</v>
      </c>
      <c r="D30" s="13">
        <v>1600</v>
      </c>
      <c r="E30" s="13">
        <v>1600</v>
      </c>
      <c r="F30" s="13">
        <v>1600</v>
      </c>
      <c r="G30" s="13">
        <v>1600</v>
      </c>
      <c r="H30" s="13">
        <v>1600</v>
      </c>
      <c r="I30" s="13">
        <v>1600</v>
      </c>
      <c r="J30" s="13">
        <v>1600</v>
      </c>
    </row>
    <row r="31" spans="1:16" x14ac:dyDescent="0.25">
      <c r="A31" t="s">
        <v>333</v>
      </c>
      <c r="B31" t="s">
        <v>103</v>
      </c>
      <c r="C31" s="13">
        <v>2000</v>
      </c>
      <c r="D31" s="13">
        <v>2000</v>
      </c>
      <c r="E31" s="13">
        <v>2000</v>
      </c>
      <c r="F31" s="13">
        <v>2000</v>
      </c>
      <c r="G31" s="13">
        <v>2000</v>
      </c>
      <c r="H31" s="13">
        <v>2000</v>
      </c>
      <c r="I31" s="13">
        <v>2000</v>
      </c>
      <c r="J31" s="13">
        <v>2000</v>
      </c>
      <c r="L31" s="1"/>
    </row>
    <row r="32" spans="1:16" x14ac:dyDescent="0.25">
      <c r="A32" t="s">
        <v>333</v>
      </c>
      <c r="B32" t="s">
        <v>104</v>
      </c>
      <c r="C32" s="13">
        <v>350</v>
      </c>
      <c r="D32" s="13">
        <v>350</v>
      </c>
      <c r="E32" s="13">
        <v>350</v>
      </c>
      <c r="F32" s="13">
        <v>350</v>
      </c>
      <c r="G32" s="13">
        <v>350</v>
      </c>
      <c r="H32" s="13">
        <v>350</v>
      </c>
      <c r="I32" s="13">
        <v>350</v>
      </c>
      <c r="J32" s="13">
        <v>350</v>
      </c>
      <c r="L32" s="1"/>
    </row>
    <row r="33" spans="1:12" x14ac:dyDescent="0.25">
      <c r="A33" t="s">
        <v>333</v>
      </c>
      <c r="B33" t="s">
        <v>105</v>
      </c>
      <c r="C33" s="13">
        <v>775</v>
      </c>
      <c r="D33" s="13">
        <v>775</v>
      </c>
      <c r="E33" s="13">
        <v>775</v>
      </c>
      <c r="F33" s="13">
        <v>775</v>
      </c>
      <c r="G33" s="13">
        <v>775</v>
      </c>
      <c r="H33" s="13">
        <v>775</v>
      </c>
      <c r="I33" s="13">
        <v>775</v>
      </c>
      <c r="J33" s="13">
        <v>775</v>
      </c>
      <c r="L33" s="1"/>
    </row>
    <row r="34" spans="1:12" x14ac:dyDescent="0.25">
      <c r="A34" t="s">
        <v>333</v>
      </c>
      <c r="B34" t="s">
        <v>106</v>
      </c>
      <c r="C34" s="13">
        <v>3500</v>
      </c>
      <c r="D34" s="13">
        <v>3400</v>
      </c>
      <c r="E34" s="13">
        <v>3300</v>
      </c>
      <c r="F34" s="13">
        <v>3200</v>
      </c>
      <c r="G34" s="13">
        <v>3105</v>
      </c>
      <c r="H34" s="13">
        <v>3010</v>
      </c>
      <c r="I34" s="13">
        <v>2920</v>
      </c>
      <c r="J34" s="13">
        <v>2830</v>
      </c>
      <c r="L34" s="1"/>
    </row>
    <row r="35" spans="1:12" x14ac:dyDescent="0.25">
      <c r="A35" t="s">
        <v>333</v>
      </c>
      <c r="B35" t="s">
        <v>151</v>
      </c>
      <c r="C35" s="13">
        <v>130</v>
      </c>
      <c r="D35" s="13">
        <v>130</v>
      </c>
      <c r="E35" s="13">
        <v>130</v>
      </c>
      <c r="F35" s="13">
        <v>130</v>
      </c>
      <c r="G35" s="13">
        <v>130</v>
      </c>
      <c r="H35" s="13">
        <v>130</v>
      </c>
      <c r="I35" s="13">
        <v>130</v>
      </c>
      <c r="J35" s="13">
        <v>130</v>
      </c>
      <c r="L35" s="1"/>
    </row>
    <row r="36" spans="1:12" x14ac:dyDescent="0.25">
      <c r="A36" t="s">
        <v>333</v>
      </c>
      <c r="B36" s="1" t="s">
        <v>178</v>
      </c>
      <c r="C36" s="13">
        <v>3570</v>
      </c>
      <c r="D36" s="13">
        <v>2680</v>
      </c>
      <c r="E36" s="13">
        <v>2380</v>
      </c>
      <c r="F36" s="13">
        <v>2080</v>
      </c>
      <c r="G36" s="13">
        <v>1975</v>
      </c>
      <c r="H36" s="13">
        <v>1870</v>
      </c>
      <c r="I36" s="13">
        <v>1805</v>
      </c>
      <c r="J36" s="13">
        <v>1740</v>
      </c>
    </row>
    <row r="37" spans="1:12" x14ac:dyDescent="0.25">
      <c r="A37" t="s">
        <v>333</v>
      </c>
      <c r="B37" s="1" t="s">
        <v>107</v>
      </c>
      <c r="C37" s="13">
        <v>2890</v>
      </c>
      <c r="D37" s="13">
        <v>2620</v>
      </c>
      <c r="E37" s="13">
        <v>2495</v>
      </c>
      <c r="F37" s="13">
        <v>2370</v>
      </c>
      <c r="G37" s="13">
        <v>2260</v>
      </c>
      <c r="H37" s="13">
        <v>2150</v>
      </c>
      <c r="I37" s="13">
        <v>2050</v>
      </c>
      <c r="J37" s="13">
        <v>1950</v>
      </c>
    </row>
    <row r="38" spans="1:12" x14ac:dyDescent="0.25">
      <c r="A38" t="s">
        <v>333</v>
      </c>
      <c r="B38" s="1" t="s">
        <v>108</v>
      </c>
      <c r="C38" s="13">
        <v>1600</v>
      </c>
      <c r="D38" s="13">
        <v>1600</v>
      </c>
      <c r="E38" s="13">
        <v>1600</v>
      </c>
      <c r="F38" s="13">
        <v>1600</v>
      </c>
      <c r="G38" s="13">
        <v>1600</v>
      </c>
      <c r="H38" s="13">
        <v>1600</v>
      </c>
      <c r="I38" s="13">
        <v>1600</v>
      </c>
      <c r="J38" s="13">
        <v>1600</v>
      </c>
    </row>
    <row r="39" spans="1:12" x14ac:dyDescent="0.25">
      <c r="A39" t="s">
        <v>333</v>
      </c>
      <c r="B39" s="1" t="s">
        <v>109</v>
      </c>
      <c r="C39" s="13">
        <v>2000</v>
      </c>
      <c r="D39" s="13">
        <v>2000</v>
      </c>
      <c r="E39" s="13">
        <v>2000</v>
      </c>
      <c r="F39" s="13">
        <v>2000</v>
      </c>
      <c r="G39" s="13">
        <v>2000</v>
      </c>
      <c r="H39" s="13">
        <v>2000</v>
      </c>
      <c r="I39" s="13">
        <v>2000</v>
      </c>
      <c r="J39" s="13">
        <v>2000</v>
      </c>
    </row>
    <row r="40" spans="1:12" x14ac:dyDescent="0.25">
      <c r="A40" t="s">
        <v>333</v>
      </c>
      <c r="B40" s="1" t="s">
        <v>110</v>
      </c>
      <c r="C40" s="13">
        <v>800</v>
      </c>
      <c r="D40" s="13">
        <v>800</v>
      </c>
      <c r="E40" s="13">
        <v>800</v>
      </c>
      <c r="F40" s="13">
        <v>800</v>
      </c>
      <c r="G40" s="13">
        <v>800</v>
      </c>
      <c r="H40" s="13">
        <v>800</v>
      </c>
      <c r="I40" s="13">
        <v>800</v>
      </c>
      <c r="J40" s="13">
        <v>800</v>
      </c>
    </row>
    <row r="41" spans="1:12" x14ac:dyDescent="0.25">
      <c r="A41" t="s">
        <v>333</v>
      </c>
      <c r="B41" s="1" t="s">
        <v>111</v>
      </c>
      <c r="C41" s="13">
        <v>775</v>
      </c>
      <c r="D41" s="13">
        <v>775</v>
      </c>
      <c r="E41" s="13">
        <v>775</v>
      </c>
      <c r="F41" s="13">
        <v>775</v>
      </c>
      <c r="G41" s="13">
        <v>775</v>
      </c>
      <c r="H41" s="13">
        <v>775</v>
      </c>
      <c r="I41" s="13">
        <v>775</v>
      </c>
      <c r="J41" s="13">
        <v>775</v>
      </c>
    </row>
    <row r="42" spans="1:12" x14ac:dyDescent="0.25">
      <c r="A42" t="s">
        <v>333</v>
      </c>
      <c r="B42" s="1" t="s">
        <v>112</v>
      </c>
      <c r="C42" s="13">
        <v>1700</v>
      </c>
      <c r="D42" s="13">
        <v>1700</v>
      </c>
      <c r="E42" s="13">
        <v>1700</v>
      </c>
      <c r="F42" s="13">
        <v>1700</v>
      </c>
      <c r="G42" s="13">
        <v>1700</v>
      </c>
      <c r="H42" s="13">
        <v>1700</v>
      </c>
      <c r="I42" s="13">
        <v>1700</v>
      </c>
      <c r="J42" s="13">
        <v>1700</v>
      </c>
    </row>
    <row r="43" spans="1:12" x14ac:dyDescent="0.25">
      <c r="A43" t="s">
        <v>333</v>
      </c>
      <c r="B43" s="1" t="s">
        <v>113</v>
      </c>
      <c r="C43" s="13">
        <v>800</v>
      </c>
      <c r="D43" s="13">
        <v>780</v>
      </c>
      <c r="E43" s="13">
        <v>755</v>
      </c>
      <c r="F43" s="13">
        <v>730</v>
      </c>
      <c r="G43" s="13">
        <v>710</v>
      </c>
      <c r="H43" s="13">
        <v>690</v>
      </c>
      <c r="I43" s="13">
        <v>670</v>
      </c>
      <c r="J43" s="13">
        <v>650</v>
      </c>
    </row>
    <row r="44" spans="1:12" x14ac:dyDescent="0.25">
      <c r="A44" t="s">
        <v>333</v>
      </c>
      <c r="B44" s="1" t="s">
        <v>163</v>
      </c>
      <c r="C44" s="13">
        <v>1100</v>
      </c>
      <c r="D44" s="13">
        <v>900</v>
      </c>
      <c r="E44" s="13">
        <v>855</v>
      </c>
      <c r="F44" s="13">
        <v>810</v>
      </c>
      <c r="G44" s="13">
        <v>785</v>
      </c>
      <c r="H44" s="13">
        <v>760</v>
      </c>
      <c r="I44" s="13">
        <v>740</v>
      </c>
      <c r="J44" s="13">
        <v>720</v>
      </c>
    </row>
    <row r="45" spans="1:12" x14ac:dyDescent="0.25">
      <c r="A45" t="s">
        <v>333</v>
      </c>
      <c r="B45" t="s">
        <v>164</v>
      </c>
      <c r="C45" s="13">
        <v>1310</v>
      </c>
      <c r="D45" s="13">
        <v>1100</v>
      </c>
      <c r="E45" s="13">
        <v>1045</v>
      </c>
      <c r="F45" s="13">
        <v>990</v>
      </c>
      <c r="G45" s="13">
        <v>960</v>
      </c>
      <c r="H45" s="13">
        <v>930</v>
      </c>
      <c r="I45" s="13">
        <v>905</v>
      </c>
      <c r="J45" s="13">
        <v>880</v>
      </c>
    </row>
    <row r="46" spans="1:12" x14ac:dyDescent="0.25">
      <c r="A46" t="s">
        <v>333</v>
      </c>
      <c r="B46" t="s">
        <v>150</v>
      </c>
      <c r="C46" s="13">
        <v>495</v>
      </c>
      <c r="D46" s="13">
        <v>495</v>
      </c>
      <c r="E46" s="13">
        <v>495</v>
      </c>
      <c r="F46" s="13">
        <v>495</v>
      </c>
      <c r="G46" s="13">
        <v>495</v>
      </c>
      <c r="H46" s="13">
        <v>495</v>
      </c>
      <c r="I46" s="13">
        <v>495</v>
      </c>
      <c r="J46" s="13">
        <v>495</v>
      </c>
    </row>
    <row r="47" spans="1:12" x14ac:dyDescent="0.25">
      <c r="A47" t="s">
        <v>333</v>
      </c>
      <c r="B47" t="s">
        <v>96</v>
      </c>
      <c r="C47">
        <v>1600</v>
      </c>
      <c r="D47">
        <v>1600</v>
      </c>
      <c r="E47">
        <v>1600</v>
      </c>
      <c r="F47">
        <v>1600</v>
      </c>
      <c r="G47">
        <v>1600</v>
      </c>
      <c r="H47">
        <v>1600</v>
      </c>
      <c r="I47">
        <v>1600</v>
      </c>
      <c r="J47">
        <v>1600</v>
      </c>
    </row>
    <row r="48" spans="1:12" x14ac:dyDescent="0.25">
      <c r="A48" t="s">
        <v>333</v>
      </c>
      <c r="B48" t="s">
        <v>95</v>
      </c>
      <c r="C48">
        <v>1900</v>
      </c>
      <c r="D48">
        <v>1900</v>
      </c>
      <c r="E48">
        <v>1900</v>
      </c>
      <c r="F48">
        <v>1900</v>
      </c>
      <c r="G48">
        <v>1900</v>
      </c>
      <c r="H48">
        <v>1900</v>
      </c>
      <c r="I48">
        <v>1900</v>
      </c>
      <c r="J48">
        <v>1900</v>
      </c>
    </row>
    <row r="49" spans="1:12" x14ac:dyDescent="0.25">
      <c r="A49" t="s">
        <v>333</v>
      </c>
      <c r="B49" t="s">
        <v>17</v>
      </c>
      <c r="C49">
        <v>650</v>
      </c>
      <c r="D49">
        <v>635.71428571428567</v>
      </c>
      <c r="E49">
        <v>621.42857142857144</v>
      </c>
      <c r="F49">
        <v>607.14285714285711</v>
      </c>
      <c r="G49">
        <v>592.85714285714289</v>
      </c>
      <c r="H49">
        <v>578.57142857142856</v>
      </c>
      <c r="I49">
        <v>564.28571428571433</v>
      </c>
      <c r="J49">
        <v>550</v>
      </c>
      <c r="L49" s="1"/>
    </row>
    <row r="50" spans="1:12" x14ac:dyDescent="0.25">
      <c r="A50" t="s">
        <v>333</v>
      </c>
      <c r="B50" t="s">
        <v>18</v>
      </c>
      <c r="C50">
        <v>6000</v>
      </c>
      <c r="D50">
        <v>6000</v>
      </c>
      <c r="E50">
        <v>6000</v>
      </c>
      <c r="F50">
        <v>6000</v>
      </c>
      <c r="G50">
        <v>6000</v>
      </c>
      <c r="H50">
        <v>6000</v>
      </c>
      <c r="I50">
        <v>6000</v>
      </c>
      <c r="J50">
        <v>6000</v>
      </c>
      <c r="L50" s="1"/>
    </row>
    <row r="51" spans="1:12" x14ac:dyDescent="0.25">
      <c r="A51" t="s">
        <v>333</v>
      </c>
      <c r="B51" t="s">
        <v>233</v>
      </c>
      <c r="C51">
        <v>6000</v>
      </c>
      <c r="D51">
        <v>6000</v>
      </c>
      <c r="E51">
        <v>6000</v>
      </c>
      <c r="F51">
        <v>6000</v>
      </c>
      <c r="G51">
        <v>6000</v>
      </c>
      <c r="H51">
        <v>6000</v>
      </c>
      <c r="I51">
        <v>6000</v>
      </c>
      <c r="J51">
        <v>6000</v>
      </c>
      <c r="L51" s="1"/>
    </row>
    <row r="52" spans="1:12" x14ac:dyDescent="0.25">
      <c r="A52" t="s">
        <v>333</v>
      </c>
      <c r="B52" t="s">
        <v>50</v>
      </c>
      <c r="C52" s="13">
        <v>650</v>
      </c>
      <c r="D52" s="13">
        <v>650</v>
      </c>
      <c r="E52" s="13">
        <v>650</v>
      </c>
      <c r="F52" s="13">
        <v>650</v>
      </c>
      <c r="G52" s="13">
        <v>650</v>
      </c>
      <c r="H52" s="13">
        <v>650</v>
      </c>
      <c r="I52" s="13">
        <v>650</v>
      </c>
      <c r="J52" s="13">
        <v>650</v>
      </c>
      <c r="L52" s="1"/>
    </row>
    <row r="53" spans="1:12" x14ac:dyDescent="0.25">
      <c r="A53" t="s">
        <v>333</v>
      </c>
      <c r="B53" t="s">
        <v>153</v>
      </c>
      <c r="C53" s="13">
        <v>2890</v>
      </c>
      <c r="D53" s="13">
        <v>2620</v>
      </c>
      <c r="E53" s="13">
        <v>2495</v>
      </c>
      <c r="F53" s="13">
        <v>2370</v>
      </c>
      <c r="G53" s="13">
        <v>2260</v>
      </c>
      <c r="H53" s="13">
        <v>2150</v>
      </c>
      <c r="I53" s="13">
        <v>2050</v>
      </c>
      <c r="J53" s="13">
        <v>1950</v>
      </c>
      <c r="L53" s="1"/>
    </row>
    <row r="54" spans="1:12" x14ac:dyDescent="0.25">
      <c r="A54" t="s">
        <v>333</v>
      </c>
      <c r="B54" t="s">
        <v>126</v>
      </c>
      <c r="C54" s="13">
        <v>7.7829608938547503</v>
      </c>
      <c r="D54" s="13">
        <v>7.5808060654429381</v>
      </c>
      <c r="E54" s="13">
        <v>7.3786512370311259</v>
      </c>
      <c r="F54" s="13">
        <v>7.1764964086193146</v>
      </c>
      <c r="G54" s="13">
        <v>6.9743415802075024</v>
      </c>
      <c r="H54" s="13">
        <v>6.7721867517956902</v>
      </c>
      <c r="I54" s="13">
        <v>6.5700319233838789</v>
      </c>
      <c r="J54" s="13">
        <v>6.3678770949720667</v>
      </c>
      <c r="L54" s="1"/>
    </row>
    <row r="55" spans="1:12" x14ac:dyDescent="0.25">
      <c r="A55" t="s">
        <v>333</v>
      </c>
      <c r="B55" t="s">
        <v>54</v>
      </c>
      <c r="C55" s="13">
        <v>7.0754189944134076</v>
      </c>
      <c r="D55" s="13">
        <v>6.9743415802075015</v>
      </c>
      <c r="E55" s="13">
        <v>6.8732641660015954</v>
      </c>
      <c r="F55" s="13">
        <v>6.7721867517956902</v>
      </c>
      <c r="G55" s="13">
        <v>6.6711093375897841</v>
      </c>
      <c r="H55" s="13">
        <v>6.570031923383878</v>
      </c>
      <c r="I55" s="13">
        <v>6.4689545091779728</v>
      </c>
      <c r="J55" s="13">
        <v>6.3678770949720667</v>
      </c>
      <c r="L55" s="1"/>
    </row>
    <row r="56" spans="1:12" x14ac:dyDescent="0.25">
      <c r="A56" t="s">
        <v>333</v>
      </c>
      <c r="B56" t="s">
        <v>127</v>
      </c>
      <c r="C56" s="13">
        <v>12.735754189944133</v>
      </c>
      <c r="D56" s="13">
        <v>11.917027134876296</v>
      </c>
      <c r="E56" s="13">
        <v>11.09830007980846</v>
      </c>
      <c r="F56" s="13">
        <v>10.279573024740623</v>
      </c>
      <c r="G56" s="13">
        <v>9.4608459696727856</v>
      </c>
      <c r="H56" s="13">
        <v>8.6421189146049482</v>
      </c>
      <c r="I56" s="13">
        <v>7.8233918595371117</v>
      </c>
      <c r="J56" s="13">
        <v>7.0046648044692752</v>
      </c>
      <c r="L56" s="1"/>
    </row>
    <row r="57" spans="1:12" x14ac:dyDescent="0.25">
      <c r="A57" t="s">
        <v>333</v>
      </c>
      <c r="B57" t="s">
        <v>121</v>
      </c>
      <c r="C57" s="13">
        <v>4.1847826086956514</v>
      </c>
      <c r="D57" s="13">
        <v>4.1249999999999991</v>
      </c>
      <c r="E57" s="13">
        <v>4.0652173913043477</v>
      </c>
      <c r="F57" s="13">
        <v>4.0054347826086953</v>
      </c>
      <c r="G57" s="13">
        <v>3.945652173913043</v>
      </c>
      <c r="H57" s="13">
        <v>3.8858695652173907</v>
      </c>
      <c r="I57" s="13">
        <v>3.8260869565217388</v>
      </c>
      <c r="J57" s="13">
        <v>3.7663043478260869</v>
      </c>
      <c r="L57" s="1"/>
    </row>
    <row r="58" spans="1:12" x14ac:dyDescent="0.25">
      <c r="A58" t="s">
        <v>333</v>
      </c>
      <c r="B58" t="s">
        <v>122</v>
      </c>
      <c r="C58" s="13">
        <v>5.9782608695652177</v>
      </c>
      <c r="D58" s="13">
        <v>5.8928571428571423</v>
      </c>
      <c r="E58" s="13">
        <v>5.8074534161490678</v>
      </c>
      <c r="F58" s="13">
        <v>5.7220496894409933</v>
      </c>
      <c r="G58" s="13">
        <v>5.6366459627329188</v>
      </c>
      <c r="H58" s="13">
        <v>5.5512422360248443</v>
      </c>
      <c r="I58" s="13">
        <v>5.465838509316769</v>
      </c>
      <c r="J58" s="13">
        <v>5.3804347826086953</v>
      </c>
      <c r="L58" s="1"/>
    </row>
    <row r="59" spans="1:12" x14ac:dyDescent="0.25">
      <c r="A59" t="s">
        <v>333</v>
      </c>
      <c r="B59" t="s">
        <v>56</v>
      </c>
      <c r="C59" s="13">
        <v>77.333333333333343</v>
      </c>
      <c r="D59" s="13">
        <f>C59-($C59-$J59)/7</f>
        <v>71.809523809523824</v>
      </c>
      <c r="E59" s="13">
        <f t="shared" ref="E59:I59" si="2">D59-($C59-$J59)/7</f>
        <v>66.285714285714306</v>
      </c>
      <c r="F59" s="13">
        <f t="shared" si="2"/>
        <v>60.761904761904781</v>
      </c>
      <c r="G59" s="13">
        <f t="shared" si="2"/>
        <v>55.238095238095255</v>
      </c>
      <c r="H59" s="13">
        <f t="shared" si="2"/>
        <v>49.71428571428573</v>
      </c>
      <c r="I59" s="13">
        <f t="shared" si="2"/>
        <v>44.190476190476204</v>
      </c>
      <c r="J59" s="13">
        <f>C59*L59</f>
        <v>38.666666666666671</v>
      </c>
      <c r="L59">
        <v>0.5</v>
      </c>
    </row>
    <row r="60" spans="1:12" x14ac:dyDescent="0.25">
      <c r="A60" t="s">
        <v>333</v>
      </c>
      <c r="B60" t="s">
        <v>116</v>
      </c>
      <c r="C60" s="13">
        <v>146.66666666666666</v>
      </c>
      <c r="D60" s="13">
        <f t="shared" ref="D60:I60" si="3">C60-($C60-$J60)/7</f>
        <v>135.14285714285714</v>
      </c>
      <c r="E60" s="13">
        <f t="shared" si="3"/>
        <v>123.61904761904762</v>
      </c>
      <c r="F60" s="13">
        <f t="shared" si="3"/>
        <v>112.0952380952381</v>
      </c>
      <c r="G60" s="13">
        <f t="shared" si="3"/>
        <v>100.57142857142858</v>
      </c>
      <c r="H60" s="13">
        <f t="shared" si="3"/>
        <v>89.047619047619065</v>
      </c>
      <c r="I60" s="13">
        <f t="shared" si="3"/>
        <v>77.523809523809547</v>
      </c>
      <c r="J60" s="13">
        <f t="shared" ref="J60:J62" si="4">C60*L60</f>
        <v>66</v>
      </c>
      <c r="L60">
        <v>0.45</v>
      </c>
    </row>
    <row r="61" spans="1:12" x14ac:dyDescent="0.25">
      <c r="A61" t="s">
        <v>333</v>
      </c>
      <c r="B61" t="s">
        <v>55</v>
      </c>
      <c r="C61" s="13">
        <v>48</v>
      </c>
      <c r="D61" s="13">
        <f t="shared" ref="D61:I61" si="5">C61-($C61-$J61)/7</f>
        <v>47.588571428571427</v>
      </c>
      <c r="E61" s="13">
        <f t="shared" si="5"/>
        <v>47.177142857142854</v>
      </c>
      <c r="F61" s="13">
        <f t="shared" si="5"/>
        <v>46.765714285714282</v>
      </c>
      <c r="G61" s="13">
        <f t="shared" si="5"/>
        <v>46.354285714285709</v>
      </c>
      <c r="H61" s="13">
        <f t="shared" si="5"/>
        <v>45.942857142857136</v>
      </c>
      <c r="I61" s="13">
        <f t="shared" si="5"/>
        <v>45.531428571428563</v>
      </c>
      <c r="J61" s="13">
        <f t="shared" si="4"/>
        <v>45.12</v>
      </c>
      <c r="L61">
        <v>0.94</v>
      </c>
    </row>
    <row r="62" spans="1:12" x14ac:dyDescent="0.25">
      <c r="A62" t="s">
        <v>333</v>
      </c>
      <c r="B62" t="s">
        <v>117</v>
      </c>
      <c r="C62" s="13">
        <v>72</v>
      </c>
      <c r="D62" s="13">
        <f t="shared" ref="D62:I62" si="6">C62-($C62-$J62)/7</f>
        <v>70.765714285714282</v>
      </c>
      <c r="E62" s="13">
        <f t="shared" si="6"/>
        <v>69.531428571428563</v>
      </c>
      <c r="F62" s="13">
        <f t="shared" si="6"/>
        <v>68.297142857142845</v>
      </c>
      <c r="G62" s="13">
        <f t="shared" si="6"/>
        <v>67.062857142857126</v>
      </c>
      <c r="H62" s="13">
        <f t="shared" si="6"/>
        <v>65.828571428571408</v>
      </c>
      <c r="I62" s="13">
        <f t="shared" si="6"/>
        <v>64.594285714285689</v>
      </c>
      <c r="J62" s="13">
        <f t="shared" si="4"/>
        <v>63.36</v>
      </c>
      <c r="L62">
        <v>0.88</v>
      </c>
    </row>
    <row r="63" spans="1:12" x14ac:dyDescent="0.25">
      <c r="A63" t="s">
        <v>333</v>
      </c>
      <c r="B63" t="s">
        <v>148</v>
      </c>
      <c r="C63" s="13">
        <v>0.01</v>
      </c>
      <c r="D63" s="13">
        <v>0.01</v>
      </c>
      <c r="E63" s="13">
        <v>0.01</v>
      </c>
      <c r="F63" s="13">
        <v>0.01</v>
      </c>
      <c r="G63" s="13">
        <v>0.01</v>
      </c>
      <c r="H63" s="13">
        <v>0.01</v>
      </c>
      <c r="I63" s="13">
        <v>0.01</v>
      </c>
      <c r="J63" s="13">
        <v>0.01</v>
      </c>
    </row>
    <row r="64" spans="1:12" x14ac:dyDescent="0.25">
      <c r="A64" t="s">
        <v>333</v>
      </c>
      <c r="B64" t="s">
        <v>89</v>
      </c>
      <c r="C64" s="13">
        <v>3514</v>
      </c>
      <c r="D64" s="13">
        <v>3188</v>
      </c>
      <c r="E64" s="13">
        <v>2964</v>
      </c>
      <c r="F64" s="13">
        <v>2740</v>
      </c>
      <c r="G64" s="13">
        <v>2506</v>
      </c>
      <c r="H64" s="13">
        <v>2374</v>
      </c>
      <c r="I64" s="13">
        <v>2145</v>
      </c>
      <c r="J64" s="13">
        <v>2028</v>
      </c>
      <c r="L64" s="1"/>
    </row>
    <row r="65" spans="1:33" x14ac:dyDescent="0.25">
      <c r="A65" t="s">
        <v>333</v>
      </c>
      <c r="B65" t="s">
        <v>90</v>
      </c>
      <c r="C65" s="13">
        <v>9112</v>
      </c>
      <c r="D65" s="13">
        <v>8588</v>
      </c>
      <c r="E65" s="13">
        <v>8264</v>
      </c>
      <c r="F65" s="13">
        <v>7989.9999999999991</v>
      </c>
      <c r="G65" s="13">
        <v>7623.9999999999991</v>
      </c>
      <c r="H65" s="13">
        <v>7268</v>
      </c>
      <c r="I65" s="13">
        <v>6973</v>
      </c>
      <c r="J65" s="13">
        <v>6795</v>
      </c>
      <c r="M65" s="1"/>
    </row>
    <row r="66" spans="1:33" x14ac:dyDescent="0.25">
      <c r="A66" t="s">
        <v>333</v>
      </c>
      <c r="B66" t="s">
        <v>94</v>
      </c>
      <c r="C66" s="13">
        <v>5250</v>
      </c>
      <c r="D66" s="13">
        <v>4970</v>
      </c>
      <c r="E66" s="13">
        <v>4720</v>
      </c>
      <c r="F66" s="13">
        <v>4470</v>
      </c>
      <c r="G66" s="13">
        <v>4245</v>
      </c>
      <c r="H66" s="13">
        <v>4020</v>
      </c>
      <c r="I66" s="13">
        <v>3815</v>
      </c>
      <c r="J66" s="13">
        <v>3610</v>
      </c>
      <c r="K66" s="14"/>
      <c r="L66" s="1"/>
    </row>
    <row r="67" spans="1:33" x14ac:dyDescent="0.25">
      <c r="A67" t="s">
        <v>333</v>
      </c>
      <c r="B67" t="s">
        <v>91</v>
      </c>
      <c r="C67" s="13">
        <v>2200</v>
      </c>
      <c r="D67" s="13">
        <v>2200</v>
      </c>
      <c r="E67" s="13">
        <v>2200</v>
      </c>
      <c r="F67" s="13">
        <v>2200</v>
      </c>
      <c r="G67" s="13">
        <v>2200</v>
      </c>
      <c r="H67" s="13">
        <v>2200</v>
      </c>
      <c r="I67" s="13">
        <v>2200</v>
      </c>
      <c r="J67" s="13">
        <v>2200</v>
      </c>
      <c r="K67" s="14"/>
      <c r="L67" s="1"/>
    </row>
    <row r="68" spans="1:33" x14ac:dyDescent="0.25">
      <c r="A68" t="s">
        <v>333</v>
      </c>
      <c r="B68" t="s">
        <v>92</v>
      </c>
      <c r="C68" s="13">
        <v>4400</v>
      </c>
      <c r="D68" s="13">
        <v>4480</v>
      </c>
      <c r="E68" s="13">
        <v>4490</v>
      </c>
      <c r="F68" s="13">
        <v>4500</v>
      </c>
      <c r="G68" s="13">
        <v>4500</v>
      </c>
      <c r="H68" s="13">
        <v>4500</v>
      </c>
      <c r="I68" s="13">
        <v>4500</v>
      </c>
      <c r="J68" s="13">
        <v>4500</v>
      </c>
      <c r="L68" s="4"/>
    </row>
    <row r="69" spans="1:33" x14ac:dyDescent="0.25">
      <c r="A69" t="s">
        <v>333</v>
      </c>
      <c r="B69" t="s">
        <v>93</v>
      </c>
      <c r="C69" s="13">
        <v>9890</v>
      </c>
      <c r="D69" s="13">
        <v>5095</v>
      </c>
      <c r="E69" s="13">
        <v>4442.5</v>
      </c>
      <c r="F69" s="13">
        <v>3790</v>
      </c>
      <c r="G69" s="13">
        <v>3082.5</v>
      </c>
      <c r="H69" s="13">
        <v>2375</v>
      </c>
      <c r="I69" s="13">
        <v>2237.5</v>
      </c>
      <c r="J69" s="13">
        <v>2100</v>
      </c>
    </row>
    <row r="70" spans="1:33" x14ac:dyDescent="0.25">
      <c r="A70" t="s">
        <v>333</v>
      </c>
      <c r="B70" t="s">
        <v>161</v>
      </c>
      <c r="C70" s="13">
        <v>1020</v>
      </c>
      <c r="D70" s="13">
        <v>610.5</v>
      </c>
      <c r="E70" s="13">
        <v>514</v>
      </c>
      <c r="F70" s="13">
        <v>450</v>
      </c>
      <c r="G70" s="13">
        <v>380</v>
      </c>
      <c r="H70" s="13">
        <v>327</v>
      </c>
      <c r="I70" s="13">
        <v>295.5</v>
      </c>
      <c r="J70" s="13">
        <v>267</v>
      </c>
      <c r="L70" s="1"/>
    </row>
    <row r="71" spans="1:33" x14ac:dyDescent="0.25">
      <c r="A71" t="s">
        <v>333</v>
      </c>
      <c r="B71" t="s">
        <v>162</v>
      </c>
      <c r="C71" s="13">
        <v>1020</v>
      </c>
      <c r="D71" s="13">
        <v>610.5</v>
      </c>
      <c r="E71" s="13">
        <v>514</v>
      </c>
      <c r="F71" s="13">
        <v>450</v>
      </c>
      <c r="G71" s="13">
        <v>380</v>
      </c>
      <c r="H71" s="13">
        <v>327</v>
      </c>
      <c r="I71" s="13">
        <v>295.5</v>
      </c>
      <c r="J71" s="13">
        <v>267</v>
      </c>
      <c r="L71" s="1"/>
    </row>
    <row r="72" spans="1:33" x14ac:dyDescent="0.25">
      <c r="A72" t="s">
        <v>333</v>
      </c>
      <c r="B72" t="s">
        <v>83</v>
      </c>
      <c r="C72" s="13">
        <v>1020</v>
      </c>
      <c r="D72" s="13">
        <v>610.5</v>
      </c>
      <c r="E72" s="13">
        <v>514</v>
      </c>
      <c r="F72" s="13">
        <v>450</v>
      </c>
      <c r="G72" s="13">
        <v>380</v>
      </c>
      <c r="H72" s="13">
        <v>327</v>
      </c>
      <c r="I72" s="13">
        <v>295.5</v>
      </c>
      <c r="J72" s="13">
        <v>267</v>
      </c>
      <c r="L72" s="1"/>
    </row>
    <row r="73" spans="1:33" x14ac:dyDescent="0.25">
      <c r="A73" t="s">
        <v>333</v>
      </c>
      <c r="B73" t="s">
        <v>82</v>
      </c>
      <c r="C73" s="13">
        <v>1020</v>
      </c>
      <c r="D73" s="13">
        <v>610.5</v>
      </c>
      <c r="E73" s="13">
        <v>514</v>
      </c>
      <c r="F73" s="13">
        <v>450</v>
      </c>
      <c r="G73" s="13">
        <v>380</v>
      </c>
      <c r="H73" s="13">
        <v>327</v>
      </c>
      <c r="I73" s="13">
        <v>295.5</v>
      </c>
      <c r="J73" s="13">
        <v>267</v>
      </c>
      <c r="L73" s="1"/>
    </row>
    <row r="74" spans="1:33" x14ac:dyDescent="0.25">
      <c r="A74" t="s">
        <v>333</v>
      </c>
      <c r="B74" t="s">
        <v>84</v>
      </c>
      <c r="C74" s="13">
        <v>1020</v>
      </c>
      <c r="D74" s="13">
        <v>610.5</v>
      </c>
      <c r="E74" s="13">
        <v>514</v>
      </c>
      <c r="F74" s="13">
        <v>450</v>
      </c>
      <c r="G74" s="13">
        <v>380</v>
      </c>
      <c r="H74" s="13">
        <v>327</v>
      </c>
      <c r="I74" s="13">
        <v>295.5</v>
      </c>
      <c r="J74" s="13">
        <v>267</v>
      </c>
      <c r="L74" s="1"/>
      <c r="AB74" s="27"/>
      <c r="AC74" s="27"/>
      <c r="AD74" s="27"/>
      <c r="AE74" s="27"/>
      <c r="AF74" s="27"/>
      <c r="AG74" s="27"/>
    </row>
    <row r="75" spans="1:33" x14ac:dyDescent="0.25">
      <c r="A75" t="s">
        <v>333</v>
      </c>
      <c r="B75" t="s">
        <v>154</v>
      </c>
      <c r="C75" s="13">
        <v>3500</v>
      </c>
      <c r="D75" s="13">
        <v>2636.6666666666665</v>
      </c>
      <c r="E75" s="13">
        <v>2200</v>
      </c>
      <c r="F75" s="13">
        <v>1936</v>
      </c>
      <c r="G75" s="13">
        <v>1800</v>
      </c>
      <c r="H75" s="13">
        <v>1710</v>
      </c>
      <c r="I75" s="13">
        <v>1641.6</v>
      </c>
      <c r="J75" s="13">
        <v>1592.3519999999999</v>
      </c>
      <c r="L75" s="1"/>
      <c r="AB75" s="27"/>
    </row>
    <row r="76" spans="1:33" x14ac:dyDescent="0.25">
      <c r="A76" t="s">
        <v>333</v>
      </c>
      <c r="B76" t="s">
        <v>155</v>
      </c>
      <c r="C76" s="13">
        <v>2975</v>
      </c>
      <c r="D76" s="13">
        <v>2241.1666666666665</v>
      </c>
      <c r="E76" s="13">
        <v>1870</v>
      </c>
      <c r="F76" s="13">
        <v>1645.6</v>
      </c>
      <c r="G76" s="13">
        <v>1530</v>
      </c>
      <c r="H76" s="13">
        <v>1453.5</v>
      </c>
      <c r="I76" s="13">
        <v>1395.36</v>
      </c>
      <c r="J76" s="13">
        <v>1353.4991999999997</v>
      </c>
      <c r="L76" s="1"/>
      <c r="AB76" s="27"/>
    </row>
    <row r="77" spans="1:33" x14ac:dyDescent="0.25">
      <c r="A77" t="s">
        <v>333</v>
      </c>
      <c r="B77" t="s">
        <v>156</v>
      </c>
      <c r="C77" s="13">
        <v>4024.9999999999995</v>
      </c>
      <c r="D77" s="13">
        <v>3032.1666666666661</v>
      </c>
      <c r="E77" s="13">
        <v>2530</v>
      </c>
      <c r="F77" s="13">
        <v>2226.3999999999996</v>
      </c>
      <c r="G77" s="13">
        <v>2070</v>
      </c>
      <c r="H77" s="13">
        <v>1966.4999999999998</v>
      </c>
      <c r="I77" s="13">
        <v>1887.8399999999997</v>
      </c>
      <c r="J77" s="13">
        <v>1831.2047999999998</v>
      </c>
      <c r="L77" s="4"/>
      <c r="AB77" s="27"/>
    </row>
    <row r="78" spans="1:33" x14ac:dyDescent="0.25">
      <c r="A78" t="s">
        <v>333</v>
      </c>
      <c r="B78" t="s">
        <v>86</v>
      </c>
      <c r="C78" s="13">
        <v>1250</v>
      </c>
      <c r="D78" s="13">
        <v>1150</v>
      </c>
      <c r="E78" s="13">
        <v>1060</v>
      </c>
      <c r="F78" s="13">
        <v>1000</v>
      </c>
      <c r="G78" s="13">
        <v>965</v>
      </c>
      <c r="H78" s="13">
        <v>940</v>
      </c>
      <c r="I78" s="13">
        <v>915</v>
      </c>
      <c r="J78" s="13">
        <v>900</v>
      </c>
      <c r="L78" s="1"/>
      <c r="AB78" s="27"/>
    </row>
    <row r="79" spans="1:33" x14ac:dyDescent="0.25">
      <c r="A79" t="s">
        <v>333</v>
      </c>
      <c r="B79" t="s">
        <v>85</v>
      </c>
      <c r="C79" s="13">
        <v>1250</v>
      </c>
      <c r="D79" s="13">
        <v>1150</v>
      </c>
      <c r="E79" s="13">
        <v>1060</v>
      </c>
      <c r="F79" s="13">
        <v>1000</v>
      </c>
      <c r="G79" s="13">
        <v>965</v>
      </c>
      <c r="H79" s="13">
        <v>940</v>
      </c>
      <c r="I79" s="13">
        <v>915</v>
      </c>
      <c r="J79" s="13">
        <v>900</v>
      </c>
      <c r="L79" s="1"/>
    </row>
    <row r="80" spans="1:33" x14ac:dyDescent="0.25">
      <c r="A80" t="s">
        <v>333</v>
      </c>
      <c r="B80" t="s">
        <v>87</v>
      </c>
      <c r="C80" s="13">
        <v>1250</v>
      </c>
      <c r="D80" s="13">
        <v>1150</v>
      </c>
      <c r="E80" s="13">
        <v>1060</v>
      </c>
      <c r="F80" s="13">
        <v>1000</v>
      </c>
      <c r="G80" s="13">
        <v>965</v>
      </c>
      <c r="H80" s="13">
        <v>940</v>
      </c>
      <c r="I80" s="13">
        <v>915</v>
      </c>
      <c r="J80" s="13">
        <v>900</v>
      </c>
    </row>
    <row r="81" spans="1:28" x14ac:dyDescent="0.25">
      <c r="A81" t="s">
        <v>333</v>
      </c>
      <c r="B81" t="s">
        <v>114</v>
      </c>
      <c r="C81" s="13">
        <v>800</v>
      </c>
      <c r="D81" s="13">
        <v>685</v>
      </c>
      <c r="E81" s="13">
        <v>500</v>
      </c>
      <c r="F81" s="13">
        <v>363</v>
      </c>
      <c r="G81" s="13">
        <v>325</v>
      </c>
      <c r="H81" s="13">
        <v>296</v>
      </c>
      <c r="I81" s="13">
        <v>267</v>
      </c>
      <c r="J81" s="13">
        <v>248</v>
      </c>
      <c r="L81" s="1"/>
    </row>
    <row r="82" spans="1:28" x14ac:dyDescent="0.25">
      <c r="A82" t="s">
        <v>333</v>
      </c>
      <c r="B82" t="s">
        <v>115</v>
      </c>
      <c r="C82" s="13">
        <v>3570</v>
      </c>
      <c r="D82" s="13">
        <v>2680</v>
      </c>
      <c r="E82" s="13">
        <v>2380</v>
      </c>
      <c r="F82" s="13">
        <v>2080</v>
      </c>
      <c r="G82" s="13">
        <v>1975</v>
      </c>
      <c r="H82" s="13">
        <v>1870</v>
      </c>
      <c r="I82" s="13">
        <v>1805</v>
      </c>
      <c r="J82" s="13">
        <v>1740</v>
      </c>
      <c r="L82" s="4"/>
    </row>
    <row r="83" spans="1:28" x14ac:dyDescent="0.25">
      <c r="A83" t="s">
        <v>333</v>
      </c>
      <c r="B83" t="s">
        <v>152</v>
      </c>
      <c r="C83" s="13">
        <v>492</v>
      </c>
      <c r="D83" s="13">
        <v>421</v>
      </c>
      <c r="E83" s="13">
        <v>310</v>
      </c>
      <c r="F83" s="13">
        <v>234</v>
      </c>
      <c r="G83" s="13">
        <v>208</v>
      </c>
      <c r="H83" s="13">
        <v>190</v>
      </c>
      <c r="I83" s="13">
        <v>172</v>
      </c>
      <c r="J83" s="13">
        <v>160</v>
      </c>
      <c r="L83" s="4"/>
    </row>
    <row r="84" spans="1:28" x14ac:dyDescent="0.25">
      <c r="A84" t="s">
        <v>333</v>
      </c>
      <c r="B84" t="s">
        <v>182</v>
      </c>
      <c r="C84" s="13">
        <v>5630</v>
      </c>
      <c r="D84" s="13">
        <v>5560</v>
      </c>
      <c r="E84" s="13">
        <v>5490</v>
      </c>
      <c r="F84" s="13">
        <v>5420</v>
      </c>
      <c r="G84" s="13">
        <v>5350</v>
      </c>
      <c r="H84" s="13">
        <v>5280</v>
      </c>
      <c r="I84" s="13">
        <v>5210</v>
      </c>
      <c r="J84" s="13">
        <v>5140</v>
      </c>
      <c r="L84" s="1"/>
    </row>
    <row r="85" spans="1:28" x14ac:dyDescent="0.25">
      <c r="A85" t="s">
        <v>333</v>
      </c>
      <c r="B85" t="s">
        <v>183</v>
      </c>
      <c r="C85" s="13">
        <v>5630</v>
      </c>
      <c r="D85" s="13">
        <v>5560</v>
      </c>
      <c r="E85" s="13">
        <v>5490</v>
      </c>
      <c r="F85" s="13">
        <v>5420</v>
      </c>
      <c r="G85" s="13">
        <v>5350</v>
      </c>
      <c r="H85" s="13">
        <v>5280</v>
      </c>
      <c r="I85" s="13">
        <v>5210</v>
      </c>
      <c r="J85" s="13">
        <v>5140</v>
      </c>
      <c r="L85" s="1"/>
    </row>
    <row r="86" spans="1:28" x14ac:dyDescent="0.25">
      <c r="A86" t="s">
        <v>333</v>
      </c>
      <c r="B86" t="s">
        <v>207</v>
      </c>
      <c r="C86" s="13">
        <v>195</v>
      </c>
      <c r="D86" s="13">
        <v>195</v>
      </c>
      <c r="E86" s="13">
        <v>195</v>
      </c>
      <c r="F86" s="13">
        <v>195</v>
      </c>
      <c r="G86" s="13">
        <v>195</v>
      </c>
      <c r="H86" s="13">
        <v>195</v>
      </c>
      <c r="I86" s="13">
        <v>195</v>
      </c>
      <c r="J86" s="13">
        <v>195</v>
      </c>
      <c r="L86" s="1"/>
    </row>
    <row r="87" spans="1:28" x14ac:dyDescent="0.25">
      <c r="A87" t="s">
        <v>333</v>
      </c>
      <c r="B87" t="s">
        <v>194</v>
      </c>
      <c r="C87" s="13">
        <v>976.5</v>
      </c>
      <c r="D87" s="13">
        <v>976.5</v>
      </c>
      <c r="E87" s="13">
        <v>976.5</v>
      </c>
      <c r="F87" s="13">
        <v>976.5</v>
      </c>
      <c r="G87" s="13">
        <v>976.5</v>
      </c>
      <c r="H87" s="13">
        <v>976.5</v>
      </c>
      <c r="I87" s="13">
        <v>976.5</v>
      </c>
      <c r="J87" s="13">
        <v>976.5</v>
      </c>
      <c r="L87" s="1"/>
    </row>
    <row r="88" spans="1:28" x14ac:dyDescent="0.25">
      <c r="A88" t="s">
        <v>333</v>
      </c>
      <c r="B88" t="s">
        <v>189</v>
      </c>
      <c r="C88" s="13">
        <v>2890</v>
      </c>
      <c r="D88" s="13">
        <v>2620</v>
      </c>
      <c r="E88" s="13">
        <v>2495</v>
      </c>
      <c r="F88" s="13">
        <v>2370</v>
      </c>
      <c r="G88" s="13">
        <v>2260</v>
      </c>
      <c r="H88" s="13">
        <v>2150</v>
      </c>
      <c r="I88" s="13">
        <v>2050</v>
      </c>
      <c r="J88" s="13">
        <v>1950</v>
      </c>
      <c r="L88" s="1"/>
      <c r="AB88" s="27"/>
    </row>
    <row r="89" spans="1:28" x14ac:dyDescent="0.25">
      <c r="A89" t="s">
        <v>333</v>
      </c>
      <c r="B89" t="s">
        <v>193</v>
      </c>
      <c r="C89" s="13">
        <v>3670</v>
      </c>
      <c r="D89" s="13">
        <v>3300</v>
      </c>
      <c r="E89" s="13">
        <v>3145</v>
      </c>
      <c r="F89" s="13">
        <v>2990</v>
      </c>
      <c r="G89" s="13">
        <v>2870</v>
      </c>
      <c r="H89" s="13">
        <v>2750</v>
      </c>
      <c r="I89" s="13">
        <v>2645</v>
      </c>
      <c r="J89" s="13">
        <v>2540</v>
      </c>
      <c r="L89" s="1"/>
    </row>
    <row r="90" spans="1:28" x14ac:dyDescent="0.25">
      <c r="A90" t="s">
        <v>333</v>
      </c>
      <c r="B90" t="s">
        <v>190</v>
      </c>
      <c r="C90" s="13">
        <v>1600</v>
      </c>
      <c r="D90" s="13">
        <v>1600</v>
      </c>
      <c r="E90" s="13">
        <v>1600</v>
      </c>
      <c r="F90" s="13">
        <v>1600</v>
      </c>
      <c r="G90" s="13">
        <v>1600</v>
      </c>
      <c r="H90" s="13">
        <v>1600</v>
      </c>
      <c r="I90" s="13">
        <v>1600</v>
      </c>
      <c r="J90" s="13">
        <v>1600</v>
      </c>
      <c r="L90" s="1"/>
    </row>
    <row r="91" spans="1:28" x14ac:dyDescent="0.25">
      <c r="A91" t="s">
        <v>333</v>
      </c>
      <c r="B91" t="s">
        <v>191</v>
      </c>
      <c r="C91" s="13">
        <v>2000</v>
      </c>
      <c r="D91" s="13">
        <v>2000</v>
      </c>
      <c r="E91" s="13">
        <v>2000</v>
      </c>
      <c r="F91" s="13">
        <v>2000</v>
      </c>
      <c r="G91" s="13">
        <v>2000</v>
      </c>
      <c r="H91" s="13">
        <v>2000</v>
      </c>
      <c r="I91" s="13">
        <v>2000</v>
      </c>
      <c r="J91" s="13">
        <v>2000</v>
      </c>
      <c r="L91" s="4"/>
    </row>
    <row r="92" spans="1:28" x14ac:dyDescent="0.25">
      <c r="A92" t="s">
        <v>333</v>
      </c>
      <c r="B92" t="s">
        <v>192</v>
      </c>
      <c r="C92" s="13">
        <v>2030</v>
      </c>
      <c r="D92" s="13">
        <v>2030</v>
      </c>
      <c r="E92" s="13">
        <v>2030</v>
      </c>
      <c r="F92" s="13">
        <v>2030</v>
      </c>
      <c r="G92" s="13">
        <v>2030</v>
      </c>
      <c r="H92" s="13">
        <v>2030</v>
      </c>
      <c r="I92" s="13">
        <v>2030</v>
      </c>
      <c r="J92" s="13">
        <v>2030</v>
      </c>
      <c r="L92" s="1"/>
    </row>
    <row r="93" spans="1:28" x14ac:dyDescent="0.25">
      <c r="A93" t="s">
        <v>333</v>
      </c>
      <c r="B93" t="s">
        <v>215</v>
      </c>
      <c r="C93" s="13">
        <v>2030</v>
      </c>
      <c r="D93" s="13">
        <v>2030</v>
      </c>
      <c r="E93" s="13">
        <v>2030</v>
      </c>
      <c r="F93" s="13">
        <v>2030</v>
      </c>
      <c r="G93" s="13">
        <v>2030</v>
      </c>
      <c r="H93" s="13">
        <v>2030</v>
      </c>
      <c r="I93" s="13">
        <v>2030</v>
      </c>
      <c r="J93" s="13">
        <v>2030</v>
      </c>
      <c r="M93" s="1"/>
    </row>
    <row r="94" spans="1:28" x14ac:dyDescent="0.25">
      <c r="A94" t="s">
        <v>333</v>
      </c>
      <c r="B94" t="s">
        <v>216</v>
      </c>
      <c r="C94" s="13">
        <v>800</v>
      </c>
      <c r="D94" s="13">
        <v>800</v>
      </c>
      <c r="E94" s="13">
        <v>800</v>
      </c>
      <c r="F94" s="13">
        <v>800</v>
      </c>
      <c r="G94" s="13">
        <v>800</v>
      </c>
      <c r="H94" s="13">
        <v>800</v>
      </c>
      <c r="I94" s="13">
        <v>800</v>
      </c>
      <c r="J94" s="13">
        <v>800</v>
      </c>
      <c r="L94" s="1"/>
    </row>
    <row r="95" spans="1:28" x14ac:dyDescent="0.25">
      <c r="A95" t="s">
        <v>333</v>
      </c>
      <c r="B95" t="s">
        <v>217</v>
      </c>
      <c r="C95" s="13">
        <v>773</v>
      </c>
      <c r="D95" s="13">
        <v>773</v>
      </c>
      <c r="E95" s="13">
        <v>773</v>
      </c>
      <c r="F95" s="13">
        <v>773</v>
      </c>
      <c r="G95" s="13">
        <v>773</v>
      </c>
      <c r="H95" s="13">
        <v>773</v>
      </c>
      <c r="I95" s="13">
        <v>773</v>
      </c>
      <c r="J95" s="13">
        <v>773</v>
      </c>
      <c r="L95" s="4"/>
    </row>
    <row r="96" spans="1:28" x14ac:dyDescent="0.25">
      <c r="A96" t="s">
        <v>333</v>
      </c>
      <c r="B96" s="12" t="s">
        <v>218</v>
      </c>
      <c r="C96" s="13">
        <v>800</v>
      </c>
      <c r="D96" s="13">
        <v>780</v>
      </c>
      <c r="E96" s="13">
        <v>755</v>
      </c>
      <c r="F96" s="13">
        <v>730</v>
      </c>
      <c r="G96" s="13">
        <v>710</v>
      </c>
      <c r="H96" s="13">
        <v>690</v>
      </c>
      <c r="I96" s="13">
        <v>670</v>
      </c>
      <c r="J96" s="13">
        <v>650</v>
      </c>
      <c r="L96" s="4"/>
    </row>
    <row r="97" spans="1:12" x14ac:dyDescent="0.25">
      <c r="A97" t="s">
        <v>333</v>
      </c>
      <c r="B97" s="12" t="s">
        <v>219</v>
      </c>
      <c r="C97" s="13">
        <v>1700</v>
      </c>
      <c r="D97" s="13">
        <v>1650</v>
      </c>
      <c r="E97" s="13">
        <v>1600</v>
      </c>
      <c r="F97" s="13">
        <v>1550</v>
      </c>
      <c r="G97" s="13">
        <v>1505</v>
      </c>
      <c r="H97" s="13">
        <v>1460</v>
      </c>
      <c r="I97" s="13">
        <v>1415</v>
      </c>
      <c r="J97" s="13">
        <v>1370</v>
      </c>
    </row>
    <row r="98" spans="1:12" x14ac:dyDescent="0.25">
      <c r="A98" t="s">
        <v>333</v>
      </c>
      <c r="B98" s="12" t="s">
        <v>198</v>
      </c>
      <c r="C98" s="13">
        <v>5250</v>
      </c>
      <c r="D98" s="13">
        <v>4970</v>
      </c>
      <c r="E98" s="13">
        <v>4720</v>
      </c>
      <c r="F98" s="13">
        <v>4470</v>
      </c>
      <c r="G98" s="13">
        <v>4245</v>
      </c>
      <c r="H98" s="13">
        <v>4020</v>
      </c>
      <c r="I98" s="13">
        <v>3815</v>
      </c>
      <c r="J98" s="13">
        <v>3610</v>
      </c>
      <c r="L98" s="4"/>
    </row>
    <row r="99" spans="1:12" x14ac:dyDescent="0.25">
      <c r="A99" t="s">
        <v>333</v>
      </c>
      <c r="B99" s="12" t="s">
        <v>208</v>
      </c>
      <c r="C99" s="13">
        <v>495</v>
      </c>
      <c r="D99" s="13">
        <v>495</v>
      </c>
      <c r="E99" s="13">
        <v>495</v>
      </c>
      <c r="F99" s="13">
        <v>495</v>
      </c>
      <c r="G99" s="13">
        <v>495</v>
      </c>
      <c r="H99" s="13">
        <v>495</v>
      </c>
      <c r="I99" s="13">
        <v>495</v>
      </c>
      <c r="J99" s="13">
        <v>495</v>
      </c>
      <c r="L99" s="4"/>
    </row>
    <row r="100" spans="1:12" x14ac:dyDescent="0.25">
      <c r="A100" t="s">
        <v>333</v>
      </c>
      <c r="B100" s="12" t="s">
        <v>209</v>
      </c>
      <c r="C100" s="13">
        <v>195</v>
      </c>
      <c r="D100" s="13">
        <v>195</v>
      </c>
      <c r="E100" s="13">
        <v>195</v>
      </c>
      <c r="F100" s="13">
        <v>195</v>
      </c>
      <c r="G100" s="13">
        <v>195</v>
      </c>
      <c r="H100" s="13">
        <v>195</v>
      </c>
      <c r="I100" s="13">
        <v>195</v>
      </c>
      <c r="J100" s="13">
        <v>195</v>
      </c>
      <c r="L100" s="4"/>
    </row>
    <row r="101" spans="1:12" x14ac:dyDescent="0.25">
      <c r="A101" t="s">
        <v>333</v>
      </c>
      <c r="B101" s="12" t="s">
        <v>199</v>
      </c>
      <c r="C101" s="13">
        <v>486</v>
      </c>
      <c r="D101" s="13">
        <v>486</v>
      </c>
      <c r="E101" s="13">
        <v>486</v>
      </c>
      <c r="F101" s="13">
        <v>486</v>
      </c>
      <c r="G101" s="13">
        <v>486</v>
      </c>
      <c r="H101" s="13">
        <v>486</v>
      </c>
      <c r="I101" s="13">
        <v>486</v>
      </c>
      <c r="J101" s="13">
        <v>486</v>
      </c>
      <c r="L101" s="4"/>
    </row>
    <row r="102" spans="1:12" x14ac:dyDescent="0.25">
      <c r="A102" t="s">
        <v>333</v>
      </c>
      <c r="B102" t="s">
        <v>200</v>
      </c>
      <c r="C102" s="13">
        <v>2890</v>
      </c>
      <c r="D102" s="13">
        <v>2620</v>
      </c>
      <c r="E102" s="13">
        <v>2495</v>
      </c>
      <c r="F102" s="13">
        <v>2370</v>
      </c>
      <c r="G102" s="13">
        <v>2260</v>
      </c>
      <c r="H102" s="13">
        <v>2150</v>
      </c>
      <c r="I102" s="13">
        <v>2050</v>
      </c>
      <c r="J102" s="13">
        <v>1950</v>
      </c>
      <c r="L102" s="32"/>
    </row>
    <row r="103" spans="1:12" ht="14.65" customHeight="1" x14ac:dyDescent="0.25">
      <c r="A103" t="s">
        <v>333</v>
      </c>
      <c r="B103" t="s">
        <v>201</v>
      </c>
      <c r="C103" s="13">
        <v>3670</v>
      </c>
      <c r="D103" s="13">
        <v>3300</v>
      </c>
      <c r="E103" s="13">
        <v>3145</v>
      </c>
      <c r="F103" s="13">
        <v>2990</v>
      </c>
      <c r="G103" s="13">
        <v>2870</v>
      </c>
      <c r="H103" s="13">
        <v>2750</v>
      </c>
      <c r="I103" s="13">
        <v>2645</v>
      </c>
      <c r="J103" s="13">
        <v>2540</v>
      </c>
      <c r="L103" s="32"/>
    </row>
    <row r="104" spans="1:12" x14ac:dyDescent="0.25">
      <c r="A104" t="s">
        <v>333</v>
      </c>
      <c r="B104" t="s">
        <v>202</v>
      </c>
      <c r="C104" s="13">
        <v>1600</v>
      </c>
      <c r="D104" s="13">
        <v>1600</v>
      </c>
      <c r="E104" s="13">
        <v>1600</v>
      </c>
      <c r="F104" s="13">
        <v>1600</v>
      </c>
      <c r="G104" s="13">
        <v>1600</v>
      </c>
      <c r="H104" s="13">
        <v>1600</v>
      </c>
      <c r="I104" s="13">
        <v>1600</v>
      </c>
      <c r="J104" s="13">
        <v>1600</v>
      </c>
      <c r="L104" s="32"/>
    </row>
    <row r="105" spans="1:12" x14ac:dyDescent="0.25">
      <c r="A105" t="s">
        <v>333</v>
      </c>
      <c r="B105" t="s">
        <v>203</v>
      </c>
      <c r="C105" s="13">
        <v>2000</v>
      </c>
      <c r="D105" s="13">
        <v>2000</v>
      </c>
      <c r="E105" s="13">
        <v>2000</v>
      </c>
      <c r="F105" s="13">
        <v>2000</v>
      </c>
      <c r="G105" s="13">
        <v>2000</v>
      </c>
      <c r="H105" s="13">
        <v>2000</v>
      </c>
      <c r="I105" s="13">
        <v>2000</v>
      </c>
      <c r="J105" s="13">
        <v>2000</v>
      </c>
      <c r="L105" s="32"/>
    </row>
    <row r="106" spans="1:12" x14ac:dyDescent="0.25">
      <c r="A106" t="s">
        <v>333</v>
      </c>
      <c r="B106" t="s">
        <v>220</v>
      </c>
      <c r="C106" s="13">
        <v>800</v>
      </c>
      <c r="D106" s="13">
        <v>800</v>
      </c>
      <c r="E106" s="13">
        <v>800</v>
      </c>
      <c r="F106" s="13">
        <v>800</v>
      </c>
      <c r="G106" s="13">
        <v>800</v>
      </c>
      <c r="H106" s="13">
        <v>800</v>
      </c>
      <c r="I106" s="13">
        <v>800</v>
      </c>
      <c r="J106" s="13">
        <v>800</v>
      </c>
      <c r="L106" s="32"/>
    </row>
    <row r="107" spans="1:12" x14ac:dyDescent="0.25">
      <c r="A107" t="s">
        <v>333</v>
      </c>
      <c r="B107" t="s">
        <v>204</v>
      </c>
      <c r="C107" s="13">
        <v>2030</v>
      </c>
      <c r="D107" s="13">
        <v>2030</v>
      </c>
      <c r="E107" s="13">
        <v>2030</v>
      </c>
      <c r="F107" s="13">
        <v>2030</v>
      </c>
      <c r="G107" s="13">
        <v>2030</v>
      </c>
      <c r="H107" s="13">
        <v>2030</v>
      </c>
      <c r="I107" s="13">
        <v>2030</v>
      </c>
      <c r="J107" s="13">
        <v>2030</v>
      </c>
      <c r="L107" s="32"/>
    </row>
    <row r="108" spans="1:12" x14ac:dyDescent="0.25">
      <c r="A108" t="s">
        <v>333</v>
      </c>
      <c r="B108" t="s">
        <v>232</v>
      </c>
      <c r="C108" s="13">
        <v>2030</v>
      </c>
      <c r="D108" s="13">
        <v>2030</v>
      </c>
      <c r="E108" s="13">
        <v>2030</v>
      </c>
      <c r="F108" s="13">
        <v>2030</v>
      </c>
      <c r="G108" s="13">
        <v>2030</v>
      </c>
      <c r="H108" s="13">
        <v>2030</v>
      </c>
      <c r="I108" s="13">
        <v>2030</v>
      </c>
      <c r="J108" s="13">
        <v>2030</v>
      </c>
      <c r="L108" s="15"/>
    </row>
    <row r="109" spans="1:12" x14ac:dyDescent="0.25">
      <c r="A109" t="s">
        <v>333</v>
      </c>
      <c r="B109" t="s">
        <v>221</v>
      </c>
      <c r="C109" s="13">
        <v>773</v>
      </c>
      <c r="D109" s="13">
        <v>773</v>
      </c>
      <c r="E109" s="13">
        <v>773</v>
      </c>
      <c r="F109" s="13">
        <v>773</v>
      </c>
      <c r="G109" s="13">
        <v>773</v>
      </c>
      <c r="H109" s="13">
        <v>773</v>
      </c>
      <c r="I109" s="13">
        <v>773</v>
      </c>
      <c r="J109" s="13">
        <v>773</v>
      </c>
      <c r="L109" s="15"/>
    </row>
    <row r="110" spans="1:12" x14ac:dyDescent="0.25">
      <c r="A110" t="s">
        <v>333</v>
      </c>
      <c r="B110" t="s">
        <v>222</v>
      </c>
      <c r="C110" s="13">
        <v>3570</v>
      </c>
      <c r="D110" s="13">
        <v>2680</v>
      </c>
      <c r="E110" s="13">
        <v>2380</v>
      </c>
      <c r="F110" s="13">
        <v>2080</v>
      </c>
      <c r="G110" s="13">
        <v>1975</v>
      </c>
      <c r="H110" s="13">
        <v>1870</v>
      </c>
      <c r="I110" s="13">
        <v>1805</v>
      </c>
      <c r="J110" s="13">
        <v>1740</v>
      </c>
      <c r="L110" s="15"/>
    </row>
    <row r="111" spans="1:12" x14ac:dyDescent="0.25">
      <c r="A111" t="s">
        <v>333</v>
      </c>
      <c r="B111" t="s">
        <v>205</v>
      </c>
      <c r="C111" s="13">
        <v>5250</v>
      </c>
      <c r="D111" s="13">
        <v>4970</v>
      </c>
      <c r="E111" s="13">
        <v>4720</v>
      </c>
      <c r="F111" s="13">
        <v>4470</v>
      </c>
      <c r="G111" s="13">
        <v>4245</v>
      </c>
      <c r="H111" s="13">
        <v>4020</v>
      </c>
      <c r="I111" s="13">
        <v>3815</v>
      </c>
      <c r="J111" s="13">
        <v>3610</v>
      </c>
      <c r="L111" s="16"/>
    </row>
    <row r="112" spans="1:12" x14ac:dyDescent="0.25">
      <c r="A112" t="s">
        <v>333</v>
      </c>
      <c r="B112" t="s">
        <v>210</v>
      </c>
      <c r="C112" s="13">
        <v>495</v>
      </c>
      <c r="D112" s="13">
        <v>495</v>
      </c>
      <c r="E112" s="13">
        <v>495</v>
      </c>
      <c r="F112" s="13">
        <v>495</v>
      </c>
      <c r="G112" s="13">
        <v>495</v>
      </c>
      <c r="H112" s="13">
        <v>495</v>
      </c>
      <c r="I112" s="13">
        <v>495</v>
      </c>
      <c r="J112" s="13">
        <v>495</v>
      </c>
      <c r="L112" s="16"/>
    </row>
    <row r="113" spans="1:12" x14ac:dyDescent="0.25">
      <c r="A113" t="s">
        <v>333</v>
      </c>
      <c r="B113" t="s">
        <v>206</v>
      </c>
      <c r="C113" s="13">
        <v>930</v>
      </c>
      <c r="D113" s="13">
        <v>930</v>
      </c>
      <c r="E113" s="13">
        <v>930</v>
      </c>
      <c r="F113" s="13">
        <v>930</v>
      </c>
      <c r="G113" s="13">
        <v>930</v>
      </c>
      <c r="H113" s="13">
        <v>930</v>
      </c>
      <c r="I113" s="13">
        <v>930</v>
      </c>
      <c r="J113" s="13">
        <v>930</v>
      </c>
      <c r="L113" s="16"/>
    </row>
    <row r="114" spans="1:12" x14ac:dyDescent="0.25">
      <c r="A114" t="s">
        <v>333</v>
      </c>
      <c r="B114" t="s">
        <v>213</v>
      </c>
      <c r="C114" s="13">
        <v>71</v>
      </c>
      <c r="D114" s="13">
        <v>71</v>
      </c>
      <c r="E114" s="13">
        <v>71</v>
      </c>
      <c r="F114" s="13">
        <v>71</v>
      </c>
      <c r="G114" s="13">
        <v>71</v>
      </c>
      <c r="H114" s="13">
        <v>71</v>
      </c>
      <c r="I114" s="13">
        <v>71</v>
      </c>
      <c r="J114" s="13">
        <v>71</v>
      </c>
      <c r="L114" s="16"/>
    </row>
    <row r="115" spans="1:12" x14ac:dyDescent="0.25">
      <c r="A115" t="s">
        <v>333</v>
      </c>
      <c r="B115" t="s">
        <v>224</v>
      </c>
      <c r="C115" s="13">
        <v>137</v>
      </c>
      <c r="D115" s="13">
        <v>137</v>
      </c>
      <c r="E115" s="13">
        <v>137</v>
      </c>
      <c r="F115" s="13">
        <v>137</v>
      </c>
      <c r="G115" s="13">
        <v>137</v>
      </c>
      <c r="H115" s="13">
        <v>137</v>
      </c>
      <c r="I115" s="13">
        <v>137</v>
      </c>
      <c r="J115" s="13">
        <v>137</v>
      </c>
      <c r="L115" s="16"/>
    </row>
    <row r="116" spans="1:12" x14ac:dyDescent="0.25">
      <c r="A116" t="s">
        <v>333</v>
      </c>
      <c r="B116" t="s">
        <v>211</v>
      </c>
      <c r="C116" s="13">
        <v>128</v>
      </c>
      <c r="D116" s="13">
        <v>128</v>
      </c>
      <c r="E116" s="13">
        <v>128</v>
      </c>
      <c r="F116" s="13">
        <v>128</v>
      </c>
      <c r="G116" s="13">
        <v>128</v>
      </c>
      <c r="H116" s="13">
        <v>128</v>
      </c>
      <c r="I116" s="13">
        <v>128</v>
      </c>
      <c r="J116" s="13">
        <v>128</v>
      </c>
      <c r="L116" s="16"/>
    </row>
    <row r="117" spans="1:12" x14ac:dyDescent="0.25">
      <c r="A117" t="s">
        <v>333</v>
      </c>
      <c r="B117" t="s">
        <v>212</v>
      </c>
      <c r="C117" s="13">
        <v>128</v>
      </c>
      <c r="D117" s="13">
        <v>128</v>
      </c>
      <c r="E117" s="13">
        <v>128</v>
      </c>
      <c r="F117" s="13">
        <v>128</v>
      </c>
      <c r="G117" s="13">
        <v>128</v>
      </c>
      <c r="H117" s="13">
        <v>128</v>
      </c>
      <c r="I117" s="13">
        <v>128</v>
      </c>
      <c r="J117" s="13">
        <v>128</v>
      </c>
      <c r="L117" s="17"/>
    </row>
    <row r="118" spans="1:12" x14ac:dyDescent="0.25">
      <c r="A118" t="s">
        <v>333</v>
      </c>
      <c r="B118" t="s">
        <v>223</v>
      </c>
      <c r="C118" s="13">
        <v>103</v>
      </c>
      <c r="D118" s="13">
        <v>103</v>
      </c>
      <c r="E118" s="13">
        <v>103</v>
      </c>
      <c r="F118" s="13">
        <v>103</v>
      </c>
      <c r="G118" s="13">
        <v>103</v>
      </c>
      <c r="H118" s="13">
        <v>103</v>
      </c>
      <c r="I118" s="13">
        <v>103</v>
      </c>
      <c r="J118" s="13">
        <v>103</v>
      </c>
      <c r="L118" s="16"/>
    </row>
    <row r="119" spans="1:12" x14ac:dyDescent="0.25">
      <c r="A119" t="s">
        <v>333</v>
      </c>
      <c r="B119" t="s">
        <v>214</v>
      </c>
      <c r="C119" s="13">
        <v>106</v>
      </c>
      <c r="D119" s="13">
        <v>106</v>
      </c>
      <c r="E119" s="13">
        <v>106</v>
      </c>
      <c r="F119" s="13">
        <v>106</v>
      </c>
      <c r="G119" s="13">
        <v>106</v>
      </c>
      <c r="H119" s="13">
        <v>106</v>
      </c>
      <c r="I119" s="13">
        <v>106</v>
      </c>
      <c r="J119" s="13">
        <v>106</v>
      </c>
      <c r="L119" s="1"/>
    </row>
    <row r="120" spans="1:12" x14ac:dyDescent="0.25">
      <c r="A120" t="s">
        <v>333</v>
      </c>
      <c r="B120" t="s">
        <v>226</v>
      </c>
      <c r="C120" s="13">
        <v>442</v>
      </c>
      <c r="D120" s="13">
        <v>442</v>
      </c>
      <c r="E120" s="13">
        <v>442</v>
      </c>
      <c r="F120" s="13">
        <v>442</v>
      </c>
      <c r="G120" s="13">
        <v>442</v>
      </c>
      <c r="H120" s="13">
        <v>442</v>
      </c>
      <c r="I120" s="13">
        <v>442</v>
      </c>
      <c r="J120" s="13">
        <v>442</v>
      </c>
      <c r="L120" s="1"/>
    </row>
    <row r="121" spans="1:12" x14ac:dyDescent="0.25">
      <c r="A121" t="s">
        <v>333</v>
      </c>
      <c r="B121" t="s">
        <v>227</v>
      </c>
      <c r="C121" s="13">
        <v>414</v>
      </c>
      <c r="D121" s="13">
        <v>414</v>
      </c>
      <c r="E121" s="13">
        <v>414</v>
      </c>
      <c r="F121" s="13">
        <v>414</v>
      </c>
      <c r="G121" s="13">
        <v>414</v>
      </c>
      <c r="H121" s="13">
        <v>414</v>
      </c>
      <c r="I121" s="13">
        <v>414</v>
      </c>
      <c r="J121" s="13">
        <v>414</v>
      </c>
      <c r="K121" s="14"/>
      <c r="L121" s="1"/>
    </row>
    <row r="122" spans="1:12" x14ac:dyDescent="0.25">
      <c r="A122" t="s">
        <v>333</v>
      </c>
      <c r="B122" t="s">
        <v>228</v>
      </c>
      <c r="C122" s="13">
        <v>184</v>
      </c>
      <c r="D122" s="13">
        <v>184</v>
      </c>
      <c r="E122" s="13">
        <v>184</v>
      </c>
      <c r="F122" s="13">
        <v>184</v>
      </c>
      <c r="G122" s="13">
        <v>184</v>
      </c>
      <c r="H122" s="13">
        <v>184</v>
      </c>
      <c r="I122" s="13">
        <v>184</v>
      </c>
      <c r="J122" s="13">
        <v>184</v>
      </c>
      <c r="L122" s="16"/>
    </row>
    <row r="123" spans="1:12" x14ac:dyDescent="0.25">
      <c r="A123" t="s">
        <v>333</v>
      </c>
      <c r="B123" t="s">
        <v>229</v>
      </c>
      <c r="C123" s="13">
        <v>424</v>
      </c>
      <c r="D123" s="13">
        <v>424</v>
      </c>
      <c r="E123" s="13">
        <v>424</v>
      </c>
      <c r="F123" s="13">
        <v>424</v>
      </c>
      <c r="G123" s="13">
        <v>424</v>
      </c>
      <c r="H123" s="13">
        <v>424</v>
      </c>
      <c r="I123" s="13">
        <v>424</v>
      </c>
      <c r="J123" s="13">
        <v>424</v>
      </c>
      <c r="L123" s="16"/>
    </row>
    <row r="124" spans="1:12" x14ac:dyDescent="0.25">
      <c r="A124" t="s">
        <v>333</v>
      </c>
      <c r="B124" t="s">
        <v>230</v>
      </c>
      <c r="C124" s="13">
        <v>639</v>
      </c>
      <c r="D124" s="13">
        <v>639</v>
      </c>
      <c r="E124" s="13">
        <v>639</v>
      </c>
      <c r="F124" s="13">
        <v>639</v>
      </c>
      <c r="G124" s="13">
        <v>639</v>
      </c>
      <c r="H124" s="13">
        <v>639</v>
      </c>
      <c r="I124" s="13">
        <v>639</v>
      </c>
      <c r="J124" s="13">
        <v>639</v>
      </c>
      <c r="L124" s="15"/>
    </row>
    <row r="125" spans="1:12" x14ac:dyDescent="0.25">
      <c r="A125" t="s">
        <v>333</v>
      </c>
      <c r="B125" t="s">
        <v>231</v>
      </c>
      <c r="C125" s="13">
        <v>486.2</v>
      </c>
      <c r="D125" s="13">
        <v>486.2</v>
      </c>
      <c r="E125" s="13">
        <v>486.2</v>
      </c>
      <c r="F125" s="13">
        <v>486.2</v>
      </c>
      <c r="G125" s="13">
        <v>486.2</v>
      </c>
      <c r="H125" s="13">
        <v>486.2</v>
      </c>
      <c r="I125" s="13">
        <v>486.2</v>
      </c>
      <c r="J125" s="13">
        <v>486.2</v>
      </c>
      <c r="L125" s="6"/>
    </row>
    <row r="126" spans="1:12" x14ac:dyDescent="0.25">
      <c r="A126" s="9" t="s">
        <v>333</v>
      </c>
      <c r="B126" t="s">
        <v>184</v>
      </c>
      <c r="C126" s="13">
        <v>0.5</v>
      </c>
      <c r="D126" s="13">
        <v>0.5</v>
      </c>
      <c r="E126" s="13">
        <v>0.5</v>
      </c>
      <c r="F126" s="13">
        <v>0.5</v>
      </c>
      <c r="G126" s="13">
        <v>0.5</v>
      </c>
      <c r="H126" s="13">
        <v>0.5</v>
      </c>
      <c r="I126" s="13">
        <v>0.5</v>
      </c>
      <c r="J126" s="13">
        <v>0.5</v>
      </c>
    </row>
    <row r="127" spans="1:12" x14ac:dyDescent="0.25">
      <c r="A127" s="9" t="s">
        <v>333</v>
      </c>
      <c r="B127" t="s">
        <v>238</v>
      </c>
      <c r="C127" s="13">
        <v>566</v>
      </c>
      <c r="D127" s="13">
        <v>566</v>
      </c>
      <c r="E127" s="13">
        <v>566</v>
      </c>
      <c r="F127" s="13">
        <v>566</v>
      </c>
      <c r="G127" s="13">
        <v>566</v>
      </c>
      <c r="H127" s="13">
        <v>566</v>
      </c>
      <c r="I127" s="13">
        <v>566</v>
      </c>
      <c r="J127" s="13">
        <v>566</v>
      </c>
    </row>
    <row r="128" spans="1:12" x14ac:dyDescent="0.25">
      <c r="A128" s="9" t="s">
        <v>333</v>
      </c>
      <c r="B128" t="s">
        <v>239</v>
      </c>
      <c r="C128" s="13">
        <v>538</v>
      </c>
      <c r="D128" s="13">
        <v>538</v>
      </c>
      <c r="E128" s="13">
        <v>538</v>
      </c>
      <c r="F128" s="13">
        <v>538</v>
      </c>
      <c r="G128" s="13">
        <v>538</v>
      </c>
      <c r="H128" s="13">
        <v>538</v>
      </c>
      <c r="I128" s="13">
        <v>538</v>
      </c>
      <c r="J128" s="13">
        <v>538</v>
      </c>
    </row>
    <row r="129" spans="1:13" x14ac:dyDescent="0.25">
      <c r="A129" t="s">
        <v>333</v>
      </c>
      <c r="B129" t="s">
        <v>251</v>
      </c>
      <c r="C129" s="13">
        <v>7093.8</v>
      </c>
      <c r="D129" s="13">
        <v>7005.6</v>
      </c>
      <c r="E129" s="13">
        <v>6917.4</v>
      </c>
      <c r="F129" s="13">
        <v>6829.2</v>
      </c>
      <c r="G129" s="13">
        <v>6741</v>
      </c>
      <c r="H129" s="13">
        <v>6652.8</v>
      </c>
      <c r="I129" s="13">
        <v>6564.6</v>
      </c>
      <c r="J129" s="13">
        <v>6476.4</v>
      </c>
    </row>
    <row r="130" spans="1:13" x14ac:dyDescent="0.25">
      <c r="A130" t="s">
        <v>333</v>
      </c>
      <c r="B130" t="s">
        <v>245</v>
      </c>
      <c r="C130" s="13">
        <v>4221</v>
      </c>
      <c r="D130" s="13">
        <v>4076.9999999999995</v>
      </c>
      <c r="E130" s="13">
        <v>3933</v>
      </c>
      <c r="F130" s="13">
        <v>3788.9999999999995</v>
      </c>
      <c r="G130" s="13">
        <v>3645</v>
      </c>
      <c r="H130" s="13">
        <v>3501</v>
      </c>
      <c r="I130" s="13">
        <v>3357</v>
      </c>
      <c r="J130" s="13">
        <v>3213</v>
      </c>
      <c r="M130" s="10"/>
    </row>
    <row r="131" spans="1:13" x14ac:dyDescent="0.25">
      <c r="A131" s="4" t="s">
        <v>333</v>
      </c>
      <c r="B131" s="1" t="s">
        <v>246</v>
      </c>
      <c r="C131" s="13">
        <v>4410</v>
      </c>
      <c r="D131" s="13">
        <v>4410</v>
      </c>
      <c r="E131" s="13">
        <v>4410</v>
      </c>
      <c r="F131" s="13">
        <v>4410</v>
      </c>
      <c r="G131" s="13">
        <v>4410</v>
      </c>
      <c r="H131" s="13">
        <v>4410</v>
      </c>
      <c r="I131" s="13">
        <v>4410</v>
      </c>
      <c r="J131" s="13">
        <v>4410</v>
      </c>
    </row>
    <row r="132" spans="1:13" x14ac:dyDescent="0.25">
      <c r="A132" s="4" t="s">
        <v>333</v>
      </c>
      <c r="B132" s="1" t="s">
        <v>252</v>
      </c>
      <c r="C132" s="13">
        <v>7093.8</v>
      </c>
      <c r="D132" s="13">
        <v>7005.6</v>
      </c>
      <c r="E132" s="13">
        <v>6917.4</v>
      </c>
      <c r="F132" s="13">
        <v>6829.2</v>
      </c>
      <c r="G132" s="13">
        <v>6741</v>
      </c>
      <c r="H132" s="13">
        <v>6652.8</v>
      </c>
      <c r="I132" s="13">
        <v>6564.6</v>
      </c>
      <c r="J132" s="13">
        <v>6476.4</v>
      </c>
    </row>
    <row r="133" spans="1:13" x14ac:dyDescent="0.25">
      <c r="A133" s="4" t="s">
        <v>333</v>
      </c>
      <c r="B133" s="1" t="s">
        <v>243</v>
      </c>
      <c r="C133" s="13">
        <v>4221</v>
      </c>
      <c r="D133" s="13">
        <v>4076.9999999999995</v>
      </c>
      <c r="E133" s="13">
        <v>3933</v>
      </c>
      <c r="F133" s="13">
        <v>3788.9999999999995</v>
      </c>
      <c r="G133" s="13">
        <v>3645</v>
      </c>
      <c r="H133" s="13">
        <v>3501</v>
      </c>
      <c r="I133" s="13">
        <v>3357</v>
      </c>
      <c r="J133" s="13">
        <v>3213</v>
      </c>
    </row>
    <row r="134" spans="1:13" x14ac:dyDescent="0.25">
      <c r="A134" s="4" t="s">
        <v>333</v>
      </c>
      <c r="B134" s="1" t="s">
        <v>244</v>
      </c>
      <c r="C134" s="13">
        <v>4410</v>
      </c>
      <c r="D134" s="13">
        <v>4410</v>
      </c>
      <c r="E134" s="13">
        <v>4410</v>
      </c>
      <c r="F134" s="13">
        <v>4410</v>
      </c>
      <c r="G134" s="13">
        <v>4410</v>
      </c>
      <c r="H134" s="13">
        <v>4410</v>
      </c>
      <c r="I134" s="13">
        <v>4410</v>
      </c>
      <c r="J134" s="13">
        <v>4410</v>
      </c>
    </row>
    <row r="135" spans="1:13" x14ac:dyDescent="0.25">
      <c r="A135" s="4" t="s">
        <v>333</v>
      </c>
      <c r="B135" s="1" t="s">
        <v>247</v>
      </c>
      <c r="C135" s="13">
        <v>365.92307692307696</v>
      </c>
      <c r="D135" s="13">
        <v>361.38202247191015</v>
      </c>
      <c r="E135" s="13">
        <v>356.63218390804599</v>
      </c>
      <c r="F135" s="13">
        <v>351.65882352941179</v>
      </c>
      <c r="G135" s="13">
        <v>346.4457831325301</v>
      </c>
      <c r="H135" s="13">
        <v>340.97530864197529</v>
      </c>
      <c r="I135" s="13">
        <v>335.22784810126581</v>
      </c>
      <c r="J135" s="13">
        <v>329.18181818181819</v>
      </c>
    </row>
    <row r="136" spans="1:13" x14ac:dyDescent="0.25">
      <c r="A136" t="s">
        <v>333</v>
      </c>
      <c r="B136" t="s">
        <v>248</v>
      </c>
      <c r="C136" s="13">
        <v>268</v>
      </c>
      <c r="D136" s="13">
        <v>258.85714285714283</v>
      </c>
      <c r="E136" s="13">
        <v>249.71428571428572</v>
      </c>
      <c r="F136" s="13">
        <v>240.57142857142856</v>
      </c>
      <c r="G136" s="13">
        <v>231.42857142857142</v>
      </c>
      <c r="H136" s="13">
        <v>222.28571428571428</v>
      </c>
      <c r="I136" s="13">
        <v>213.14285714285714</v>
      </c>
      <c r="J136" s="13">
        <v>204</v>
      </c>
    </row>
    <row r="137" spans="1:13" x14ac:dyDescent="0.25">
      <c r="A137" s="4" t="s">
        <v>333</v>
      </c>
      <c r="B137" s="1" t="s">
        <v>240</v>
      </c>
      <c r="C137" s="13">
        <v>3350</v>
      </c>
      <c r="D137" s="13">
        <v>3235.7142857142853</v>
      </c>
      <c r="E137" s="13">
        <v>3121.4285714285716</v>
      </c>
      <c r="F137" s="13">
        <v>3007.1428571428569</v>
      </c>
      <c r="G137" s="13">
        <v>2892.8571428571427</v>
      </c>
      <c r="H137" s="13">
        <v>2778.5714285714284</v>
      </c>
      <c r="I137" s="13">
        <v>2664.2857142857142</v>
      </c>
      <c r="J137" s="13">
        <v>2550</v>
      </c>
    </row>
    <row r="138" spans="1:13" x14ac:dyDescent="0.25">
      <c r="A138" s="4" t="s">
        <v>333</v>
      </c>
      <c r="B138" s="1" t="s">
        <v>241</v>
      </c>
      <c r="C138" s="13">
        <v>3500</v>
      </c>
      <c r="D138" s="13">
        <v>3500</v>
      </c>
      <c r="E138" s="13">
        <v>3500</v>
      </c>
      <c r="F138" s="13">
        <v>3500</v>
      </c>
      <c r="G138" s="13">
        <v>3500</v>
      </c>
      <c r="H138" s="13">
        <v>3500</v>
      </c>
      <c r="I138" s="13">
        <v>3500</v>
      </c>
      <c r="J138" s="13">
        <v>3500</v>
      </c>
    </row>
    <row r="139" spans="1:13" x14ac:dyDescent="0.25">
      <c r="A139" t="s">
        <v>333</v>
      </c>
      <c r="B139" t="s">
        <v>242</v>
      </c>
      <c r="C139" s="13">
        <v>1500</v>
      </c>
      <c r="D139" s="13">
        <v>1500</v>
      </c>
      <c r="E139" s="13">
        <v>1500</v>
      </c>
      <c r="F139" s="13">
        <v>1500</v>
      </c>
      <c r="G139" s="13">
        <v>1500</v>
      </c>
      <c r="H139" s="13">
        <v>1500</v>
      </c>
      <c r="I139" s="13">
        <v>1500</v>
      </c>
      <c r="J139" s="13">
        <v>1500</v>
      </c>
    </row>
    <row r="140" spans="1:13" x14ac:dyDescent="0.25">
      <c r="A140" t="s">
        <v>333</v>
      </c>
      <c r="B140" t="s">
        <v>249</v>
      </c>
      <c r="C140" s="13">
        <v>683.55359999999985</v>
      </c>
      <c r="D140" s="13">
        <v>653.34205714285702</v>
      </c>
      <c r="E140" s="13">
        <v>623.13051428571418</v>
      </c>
      <c r="F140" s="13">
        <v>592.91897142857124</v>
      </c>
      <c r="G140" s="13">
        <v>562.70742857142841</v>
      </c>
      <c r="H140" s="13">
        <v>532.49588571428558</v>
      </c>
      <c r="I140" s="13">
        <v>502.28434285714275</v>
      </c>
      <c r="J140" s="13">
        <v>472.07279999999992</v>
      </c>
    </row>
    <row r="141" spans="1:13" x14ac:dyDescent="0.25">
      <c r="A141" t="s">
        <v>333</v>
      </c>
      <c r="B141" t="s">
        <v>250</v>
      </c>
      <c r="C141" s="13">
        <v>3522.9300923076917</v>
      </c>
      <c r="D141" s="13">
        <v>3325.4376616372388</v>
      </c>
      <c r="E141" s="13">
        <v>3129.9774108374381</v>
      </c>
      <c r="F141" s="13">
        <v>2936.6927878991587</v>
      </c>
      <c r="G141" s="13">
        <v>2745.7410671256443</v>
      </c>
      <c r="H141" s="13">
        <v>2557.2950560846552</v>
      </c>
      <c r="I141" s="13">
        <v>2371.5450618444838</v>
      </c>
      <c r="J141" s="13">
        <v>2188.7011636363636</v>
      </c>
    </row>
    <row r="142" spans="1:13" x14ac:dyDescent="0.25">
      <c r="A142" t="s">
        <v>333</v>
      </c>
      <c r="B142" t="s">
        <v>254</v>
      </c>
      <c r="C142" s="13">
        <v>0.5</v>
      </c>
      <c r="D142" s="13">
        <v>0.5</v>
      </c>
      <c r="E142" s="13">
        <v>0.5</v>
      </c>
      <c r="F142" s="13">
        <v>0.5</v>
      </c>
      <c r="G142" s="13">
        <v>0.5</v>
      </c>
      <c r="H142" s="13">
        <v>0.5</v>
      </c>
      <c r="I142" s="13">
        <v>0.5</v>
      </c>
      <c r="J142" s="13">
        <v>0.5</v>
      </c>
    </row>
    <row r="143" spans="1:13" x14ac:dyDescent="0.25">
      <c r="A143" t="s">
        <v>333</v>
      </c>
      <c r="B143" t="s">
        <v>256</v>
      </c>
      <c r="C143" s="13">
        <v>650</v>
      </c>
      <c r="D143" s="13">
        <v>627.14285714285711</v>
      </c>
      <c r="E143" s="13">
        <v>604.28571428571433</v>
      </c>
      <c r="F143" s="13">
        <v>581.42857142857144</v>
      </c>
      <c r="G143" s="13">
        <v>558.57142857142856</v>
      </c>
      <c r="H143" s="13">
        <v>535.71428571428567</v>
      </c>
      <c r="I143" s="13">
        <v>512.85714285714289</v>
      </c>
      <c r="J143" s="13">
        <v>490</v>
      </c>
    </row>
    <row r="144" spans="1:13" x14ac:dyDescent="0.25">
      <c r="A144" t="s">
        <v>333</v>
      </c>
      <c r="B144" t="s">
        <v>257</v>
      </c>
      <c r="C144" s="13">
        <v>650</v>
      </c>
      <c r="D144" s="13">
        <v>627.14285714285711</v>
      </c>
      <c r="E144" s="13">
        <v>604.28571428571433</v>
      </c>
      <c r="F144" s="13">
        <v>581.42857142857144</v>
      </c>
      <c r="G144" s="13">
        <v>558.57142857142856</v>
      </c>
      <c r="H144" s="13">
        <v>535.71428571428567</v>
      </c>
      <c r="I144" s="13">
        <v>512.85714285714289</v>
      </c>
      <c r="J144" s="13">
        <v>490</v>
      </c>
    </row>
    <row r="145" spans="1:10" x14ac:dyDescent="0.25">
      <c r="A145" t="s">
        <v>333</v>
      </c>
      <c r="B145" t="s">
        <v>258</v>
      </c>
      <c r="C145" s="13">
        <v>731.42276422764223</v>
      </c>
      <c r="D145" s="13">
        <v>625.87191817040116</v>
      </c>
      <c r="E145" s="13">
        <v>460.855806728799</v>
      </c>
      <c r="F145" s="13">
        <v>347.87180249851275</v>
      </c>
      <c r="G145" s="13">
        <v>309.21937999867805</v>
      </c>
      <c r="H145" s="13">
        <v>282.4600105757155</v>
      </c>
      <c r="I145" s="13">
        <v>255.70064115275298</v>
      </c>
      <c r="J145" s="13">
        <v>237.86106153744461</v>
      </c>
    </row>
    <row r="146" spans="1:10" x14ac:dyDescent="0.25">
      <c r="A146" t="s">
        <v>333</v>
      </c>
      <c r="B146" t="s">
        <v>372</v>
      </c>
      <c r="C146" s="13">
        <v>10.8</v>
      </c>
      <c r="D146" s="13">
        <v>10.5</v>
      </c>
      <c r="E146" s="13">
        <v>10.3</v>
      </c>
      <c r="F146" s="13">
        <v>10</v>
      </c>
      <c r="G146" s="13">
        <v>9.6999999999999993</v>
      </c>
      <c r="H146" s="13">
        <v>9.4</v>
      </c>
      <c r="I146" s="13">
        <v>9.1</v>
      </c>
      <c r="J146" s="13">
        <v>8.9</v>
      </c>
    </row>
    <row r="147" spans="1:10" x14ac:dyDescent="0.25">
      <c r="C147" s="13"/>
      <c r="D147" s="13"/>
      <c r="E147" s="13"/>
      <c r="F147" s="13"/>
      <c r="G147" s="13"/>
      <c r="H147" s="13"/>
      <c r="I147" s="13"/>
      <c r="J147" s="13"/>
    </row>
    <row r="148" spans="1:10" x14ac:dyDescent="0.25">
      <c r="C148" s="13"/>
      <c r="D148" s="13"/>
      <c r="E148" s="13"/>
      <c r="F148" s="13"/>
      <c r="G148" s="13"/>
      <c r="H148" s="13"/>
      <c r="I148" s="13"/>
      <c r="J148" s="13"/>
    </row>
    <row r="149" spans="1:10" x14ac:dyDescent="0.25">
      <c r="C149" s="13"/>
      <c r="D149" s="13"/>
      <c r="E149" s="13"/>
      <c r="F149" s="13"/>
      <c r="G149" s="13"/>
      <c r="H149" s="13"/>
      <c r="I149" s="13"/>
      <c r="J149" s="13"/>
    </row>
    <row r="150" spans="1:10" x14ac:dyDescent="0.25">
      <c r="C150" s="13"/>
      <c r="D150" s="13"/>
      <c r="E150" s="13"/>
      <c r="F150" s="13"/>
      <c r="G150" s="13"/>
      <c r="H150" s="13"/>
      <c r="I150" s="13"/>
      <c r="J150" s="13"/>
    </row>
    <row r="151" spans="1:10" x14ac:dyDescent="0.25">
      <c r="C151" s="13"/>
      <c r="D151" s="13"/>
      <c r="E151" s="13"/>
      <c r="F151" s="13"/>
      <c r="G151" s="13"/>
      <c r="H151" s="13"/>
      <c r="I151" s="13"/>
      <c r="J151" s="13"/>
    </row>
    <row r="152" spans="1:10" x14ac:dyDescent="0.25">
      <c r="C152" s="13"/>
      <c r="D152" s="13"/>
      <c r="E152" s="13"/>
      <c r="F152" s="13"/>
      <c r="G152" s="13"/>
      <c r="H152" s="13"/>
      <c r="I152" s="13"/>
      <c r="J152" s="13"/>
    </row>
    <row r="153" spans="1:10" x14ac:dyDescent="0.25">
      <c r="C153" s="13"/>
      <c r="D153" s="13"/>
      <c r="E153" s="13"/>
      <c r="F153" s="13"/>
      <c r="G153" s="13"/>
      <c r="H153" s="13"/>
      <c r="I153" s="13"/>
      <c r="J153" s="13"/>
    </row>
    <row r="154" spans="1:10" x14ac:dyDescent="0.25">
      <c r="C154" s="13"/>
      <c r="D154" s="13"/>
      <c r="E154" s="13"/>
      <c r="F154" s="13"/>
      <c r="G154" s="13"/>
      <c r="H154" s="13"/>
      <c r="I154" s="13"/>
      <c r="J154" s="13"/>
    </row>
    <row r="155" spans="1:10" x14ac:dyDescent="0.25">
      <c r="C155" s="13"/>
      <c r="D155" s="13"/>
      <c r="E155" s="13"/>
      <c r="F155" s="13"/>
      <c r="G155" s="13"/>
      <c r="H155" s="13"/>
      <c r="I155" s="13"/>
      <c r="J155" s="13"/>
    </row>
    <row r="156" spans="1:10" x14ac:dyDescent="0.25">
      <c r="C156" s="18"/>
      <c r="D156" s="18"/>
      <c r="E156" s="18"/>
      <c r="F156" s="18"/>
      <c r="G156" s="18"/>
      <c r="H156" s="18"/>
      <c r="I156" s="18"/>
      <c r="J156" s="18"/>
    </row>
    <row r="157" spans="1:10" x14ac:dyDescent="0.25">
      <c r="C157" s="18"/>
      <c r="D157" s="18"/>
      <c r="E157" s="18"/>
      <c r="F157" s="18"/>
      <c r="G157" s="18"/>
      <c r="H157" s="18"/>
      <c r="I157" s="18"/>
      <c r="J157" s="18"/>
    </row>
    <row r="158" spans="1:10" x14ac:dyDescent="0.25">
      <c r="C158" s="13"/>
      <c r="D158" s="13"/>
      <c r="E158" s="13"/>
      <c r="F158" s="13"/>
      <c r="G158" s="13"/>
      <c r="H158" s="13"/>
      <c r="I158" s="13"/>
      <c r="J158" s="13"/>
    </row>
    <row r="159" spans="1:10" x14ac:dyDescent="0.25">
      <c r="C159" s="13"/>
      <c r="D159" s="13"/>
      <c r="E159" s="13"/>
      <c r="F159" s="13"/>
      <c r="G159" s="13"/>
      <c r="H159" s="13"/>
      <c r="I159" s="13"/>
      <c r="J159" s="13"/>
    </row>
    <row r="160" spans="1:10" x14ac:dyDescent="0.25">
      <c r="B160" s="1"/>
      <c r="C160" s="13"/>
      <c r="D160" s="13"/>
      <c r="E160" s="13"/>
      <c r="F160" s="13"/>
      <c r="G160" s="13"/>
      <c r="H160" s="13"/>
      <c r="I160" s="13"/>
      <c r="J160" s="13"/>
    </row>
    <row r="161" spans="2:10" x14ac:dyDescent="0.25">
      <c r="B161" s="1"/>
      <c r="C161" s="13"/>
      <c r="D161" s="13"/>
      <c r="E161" s="13"/>
      <c r="F161" s="13"/>
      <c r="G161" s="13"/>
      <c r="H161" s="13"/>
      <c r="I161" s="13"/>
      <c r="J161" s="13"/>
    </row>
    <row r="162" spans="2:10" x14ac:dyDescent="0.25">
      <c r="B162" s="1"/>
      <c r="C162" s="13"/>
      <c r="D162" s="13"/>
      <c r="E162" s="13"/>
      <c r="F162" s="13"/>
      <c r="G162" s="13"/>
      <c r="H162" s="13"/>
      <c r="I162" s="13"/>
      <c r="J162" s="13"/>
    </row>
    <row r="163" spans="2:10" x14ac:dyDescent="0.25">
      <c r="B163" s="1"/>
      <c r="C163" s="13"/>
      <c r="D163" s="13"/>
      <c r="E163" s="13"/>
      <c r="F163" s="13"/>
      <c r="G163" s="13"/>
      <c r="H163" s="13"/>
      <c r="I163" s="13"/>
      <c r="J163" s="13"/>
    </row>
    <row r="164" spans="2:10" x14ac:dyDescent="0.25">
      <c r="C164" s="13"/>
      <c r="D164" s="13"/>
      <c r="E164" s="13"/>
      <c r="F164" s="13"/>
      <c r="G164" s="13"/>
      <c r="H164" s="13"/>
      <c r="I164" s="13"/>
      <c r="J164" s="13"/>
    </row>
    <row r="165" spans="2:10" x14ac:dyDescent="0.25">
      <c r="C165" s="13"/>
      <c r="D165" s="13"/>
      <c r="E165" s="13"/>
      <c r="F165" s="13"/>
      <c r="G165" s="13"/>
      <c r="H165" s="13"/>
      <c r="I165" s="13"/>
      <c r="J165" s="13"/>
    </row>
    <row r="166" spans="2:10" x14ac:dyDescent="0.25">
      <c r="C166" s="13"/>
      <c r="D166" s="13"/>
      <c r="E166" s="13"/>
      <c r="F166" s="13"/>
      <c r="G166" s="13"/>
      <c r="H166" s="13"/>
      <c r="I166" s="13"/>
      <c r="J166" s="13"/>
    </row>
    <row r="167" spans="2:10" x14ac:dyDescent="0.25">
      <c r="C167" s="13"/>
      <c r="D167" s="13"/>
      <c r="E167" s="13"/>
      <c r="F167" s="13"/>
      <c r="G167" s="13"/>
      <c r="H167" s="13"/>
      <c r="I167" s="13"/>
      <c r="J167" s="13"/>
    </row>
    <row r="168" spans="2:10" x14ac:dyDescent="0.25">
      <c r="C168" s="13"/>
      <c r="D168" s="13"/>
      <c r="E168" s="13"/>
      <c r="F168" s="13"/>
      <c r="G168" s="13"/>
      <c r="H168" s="13"/>
      <c r="I168" s="13"/>
      <c r="J168" s="13"/>
    </row>
    <row r="169" spans="2:10" x14ac:dyDescent="0.25">
      <c r="C169" s="13"/>
      <c r="D169" s="13"/>
      <c r="E169" s="13"/>
      <c r="F169" s="13"/>
      <c r="G169" s="13"/>
      <c r="H169" s="13"/>
      <c r="I169" s="13"/>
      <c r="J169" s="13"/>
    </row>
    <row r="170" spans="2:10" x14ac:dyDescent="0.25">
      <c r="C170" s="13"/>
      <c r="D170" s="13"/>
      <c r="E170" s="13"/>
      <c r="F170" s="13"/>
      <c r="G170" s="13"/>
      <c r="H170" s="13"/>
      <c r="I170" s="13"/>
      <c r="J170" s="13"/>
    </row>
    <row r="171" spans="2:10" x14ac:dyDescent="0.25">
      <c r="C171" s="13"/>
      <c r="D171" s="13"/>
      <c r="E171" s="13"/>
      <c r="F171" s="13"/>
      <c r="G171" s="13"/>
      <c r="H171" s="13"/>
      <c r="I171" s="13"/>
      <c r="J171" s="13"/>
    </row>
    <row r="172" spans="2:10" x14ac:dyDescent="0.25">
      <c r="C172" s="13"/>
      <c r="D172" s="13"/>
      <c r="E172" s="13"/>
      <c r="F172" s="13"/>
      <c r="G172" s="13"/>
      <c r="H172" s="13"/>
      <c r="I172" s="13"/>
      <c r="J172" s="13"/>
    </row>
    <row r="173" spans="2:10" x14ac:dyDescent="0.25">
      <c r="C173" s="13"/>
      <c r="D173" s="13"/>
      <c r="E173" s="13"/>
      <c r="F173" s="13"/>
      <c r="G173" s="13"/>
      <c r="H173" s="13"/>
      <c r="I173" s="13"/>
      <c r="J173" s="13"/>
    </row>
    <row r="174" spans="2:10" x14ac:dyDescent="0.25">
      <c r="C174" s="13"/>
      <c r="D174" s="13"/>
      <c r="E174" s="13"/>
      <c r="F174" s="13"/>
      <c r="G174" s="13"/>
      <c r="H174" s="13"/>
      <c r="I174" s="13"/>
      <c r="J174" s="13"/>
    </row>
    <row r="175" spans="2:10" x14ac:dyDescent="0.25">
      <c r="C175" s="13"/>
      <c r="D175" s="13"/>
      <c r="E175" s="13"/>
      <c r="F175" s="13"/>
      <c r="G175" s="13"/>
      <c r="H175" s="13"/>
      <c r="I175" s="13"/>
      <c r="J175" s="13"/>
    </row>
    <row r="176" spans="2:10" x14ac:dyDescent="0.25">
      <c r="B176" s="1"/>
      <c r="C176" s="13"/>
      <c r="D176" s="13"/>
      <c r="E176" s="13"/>
      <c r="F176" s="13"/>
      <c r="G176" s="13"/>
      <c r="H176" s="13"/>
      <c r="I176" s="13"/>
      <c r="J176" s="13"/>
    </row>
    <row r="177" spans="2:10" x14ac:dyDescent="0.25">
      <c r="B177" s="1"/>
      <c r="C177" s="13"/>
      <c r="D177" s="13"/>
      <c r="E177" s="13"/>
      <c r="F177" s="13"/>
      <c r="G177" s="13"/>
      <c r="H177" s="13"/>
      <c r="I177" s="13"/>
      <c r="J177" s="13"/>
    </row>
    <row r="178" spans="2:10" x14ac:dyDescent="0.25">
      <c r="B178" s="1"/>
      <c r="C178" s="13"/>
      <c r="D178" s="13"/>
      <c r="E178" s="13"/>
      <c r="F178" s="13"/>
      <c r="G178" s="13"/>
      <c r="H178" s="13"/>
      <c r="I178" s="13"/>
      <c r="J178" s="13"/>
    </row>
    <row r="179" spans="2:10" x14ac:dyDescent="0.25">
      <c r="B179" s="1"/>
      <c r="C179" s="13"/>
      <c r="D179" s="13"/>
      <c r="E179" s="13"/>
      <c r="F179" s="13"/>
      <c r="G179" s="13"/>
      <c r="H179" s="13"/>
      <c r="I179" s="13"/>
      <c r="J179" s="13"/>
    </row>
    <row r="180" spans="2:10" x14ac:dyDescent="0.25">
      <c r="B180" s="1"/>
      <c r="C180" s="13"/>
      <c r="D180" s="13"/>
      <c r="E180" s="13"/>
      <c r="F180" s="13"/>
      <c r="G180" s="13"/>
      <c r="H180" s="13"/>
      <c r="I180" s="13"/>
      <c r="J180" s="13"/>
    </row>
    <row r="181" spans="2:10" x14ac:dyDescent="0.25">
      <c r="B181" s="1"/>
      <c r="C181" s="13"/>
      <c r="D181" s="13"/>
      <c r="E181" s="13"/>
      <c r="F181" s="13"/>
      <c r="G181" s="13"/>
      <c r="H181" s="13"/>
      <c r="I181" s="13"/>
      <c r="J181" s="13"/>
    </row>
    <row r="182" spans="2:10" x14ac:dyDescent="0.25">
      <c r="B182" s="1"/>
      <c r="C182" s="13"/>
      <c r="D182" s="13"/>
      <c r="E182" s="13"/>
      <c r="F182" s="13"/>
      <c r="G182" s="13"/>
      <c r="H182" s="13"/>
      <c r="I182" s="13"/>
      <c r="J182" s="13"/>
    </row>
    <row r="183" spans="2:10" x14ac:dyDescent="0.25">
      <c r="B183" s="1"/>
      <c r="C183" s="13"/>
      <c r="D183" s="13"/>
      <c r="E183" s="13"/>
      <c r="F183" s="13"/>
      <c r="G183" s="13"/>
      <c r="H183" s="13"/>
      <c r="I183" s="13"/>
      <c r="J183" s="13"/>
    </row>
    <row r="184" spans="2:10" x14ac:dyDescent="0.25">
      <c r="B184" s="1"/>
      <c r="C184" s="13"/>
      <c r="D184" s="13"/>
      <c r="E184" s="13"/>
      <c r="F184" s="13"/>
      <c r="G184" s="13"/>
      <c r="H184" s="13"/>
      <c r="I184" s="13"/>
      <c r="J184" s="13"/>
    </row>
    <row r="185" spans="2:10" x14ac:dyDescent="0.25">
      <c r="C185" s="19"/>
      <c r="D185" s="19"/>
      <c r="E185" s="19"/>
      <c r="F185" s="19"/>
      <c r="G185" s="19"/>
      <c r="H185" s="19"/>
      <c r="I185" s="19"/>
      <c r="J185" s="19"/>
    </row>
    <row r="186" spans="2:10" x14ac:dyDescent="0.25">
      <c r="C186" s="13"/>
      <c r="D186" s="13"/>
      <c r="E186" s="13"/>
      <c r="F186" s="13"/>
      <c r="G186" s="13"/>
      <c r="H186" s="13"/>
      <c r="I186" s="13"/>
      <c r="J186" s="13"/>
    </row>
    <row r="192" spans="2:10" x14ac:dyDescent="0.25">
      <c r="C192" s="14"/>
      <c r="F192" s="14"/>
      <c r="H192" s="14"/>
      <c r="J192" s="14"/>
    </row>
    <row r="193" spans="3:10" x14ac:dyDescent="0.25">
      <c r="C193" s="14"/>
      <c r="D193" s="14"/>
      <c r="E193" s="14"/>
      <c r="F193" s="14"/>
      <c r="G193" s="14"/>
      <c r="H193" s="14"/>
      <c r="I193" s="14"/>
      <c r="J193" s="14"/>
    </row>
    <row r="198" spans="3:10" x14ac:dyDescent="0.25">
      <c r="C198" s="20"/>
      <c r="D198" s="20"/>
      <c r="E198" s="20"/>
      <c r="F198" s="20"/>
      <c r="G198" s="20"/>
      <c r="H198" s="20"/>
      <c r="I198" s="20"/>
      <c r="J198" s="20"/>
    </row>
    <row r="199" spans="3:10" x14ac:dyDescent="0.25">
      <c r="C199" s="13"/>
      <c r="D199" s="13"/>
      <c r="E199" s="13"/>
      <c r="F199" s="13"/>
      <c r="G199" s="13"/>
      <c r="H199" s="13"/>
      <c r="I199" s="13"/>
      <c r="J199" s="13"/>
    </row>
    <row r="200" spans="3:10" x14ac:dyDescent="0.25">
      <c r="C200" s="13"/>
      <c r="D200" s="13"/>
      <c r="E200" s="13"/>
      <c r="F200" s="13"/>
      <c r="G200" s="13"/>
      <c r="H200" s="13"/>
      <c r="I200" s="13"/>
      <c r="J200" s="13"/>
    </row>
    <row r="201" spans="3:10" x14ac:dyDescent="0.25">
      <c r="C201" s="13"/>
      <c r="D201" s="13"/>
      <c r="E201" s="13"/>
      <c r="F201" s="13"/>
      <c r="G201" s="13"/>
      <c r="H201" s="13"/>
      <c r="I201" s="13"/>
      <c r="J201" s="13"/>
    </row>
    <row r="202" spans="3:10" x14ac:dyDescent="0.25">
      <c r="C202" s="13"/>
      <c r="D202" s="13"/>
      <c r="E202" s="13"/>
      <c r="F202" s="13"/>
      <c r="G202" s="13"/>
      <c r="H202" s="13"/>
      <c r="I202" s="13"/>
      <c r="J202" s="13"/>
    </row>
    <row r="203" spans="3:10" x14ac:dyDescent="0.25">
      <c r="C203" s="13"/>
      <c r="D203" s="13"/>
      <c r="E203" s="13"/>
      <c r="F203" s="13"/>
      <c r="G203" s="13"/>
      <c r="H203" s="13"/>
      <c r="I203" s="13"/>
      <c r="J203" s="13"/>
    </row>
    <row r="204" spans="3:10" x14ac:dyDescent="0.25">
      <c r="C204" s="13"/>
      <c r="D204" s="13"/>
      <c r="E204" s="13"/>
      <c r="F204" s="13"/>
      <c r="G204" s="13"/>
      <c r="H204" s="13"/>
      <c r="I204" s="13"/>
      <c r="J204" s="13"/>
    </row>
    <row r="205" spans="3:10" x14ac:dyDescent="0.25">
      <c r="C205" s="13"/>
      <c r="D205" s="13"/>
      <c r="E205" s="13"/>
      <c r="F205" s="13"/>
      <c r="G205" s="13"/>
      <c r="H205" s="13"/>
      <c r="I205" s="13"/>
      <c r="J205" s="13"/>
    </row>
    <row r="206" spans="3:10" x14ac:dyDescent="0.25">
      <c r="C206" s="20"/>
      <c r="D206" s="20"/>
      <c r="E206" s="20"/>
      <c r="F206" s="20"/>
      <c r="G206" s="20"/>
      <c r="H206" s="20"/>
      <c r="I206" s="20"/>
      <c r="J206" s="20"/>
    </row>
    <row r="207" spans="3:10" x14ac:dyDescent="0.25">
      <c r="C207" s="20"/>
      <c r="D207" s="20"/>
      <c r="E207" s="20"/>
      <c r="F207" s="20"/>
      <c r="G207" s="20"/>
      <c r="H207" s="20"/>
      <c r="I207" s="20"/>
      <c r="J207" s="20"/>
    </row>
    <row r="208" spans="3:10" x14ac:dyDescent="0.25">
      <c r="C208" s="13"/>
      <c r="D208" s="13"/>
      <c r="E208" s="13"/>
      <c r="F208" s="13"/>
      <c r="G208" s="13"/>
      <c r="H208" s="13"/>
      <c r="I208" s="13"/>
      <c r="J208" s="13"/>
    </row>
    <row r="209" spans="3:10" x14ac:dyDescent="0.25">
      <c r="C209" s="13"/>
      <c r="D209" s="13"/>
      <c r="E209" s="13"/>
      <c r="F209" s="13"/>
      <c r="G209" s="13"/>
      <c r="H209" s="13"/>
      <c r="I209" s="13"/>
      <c r="J209" s="13"/>
    </row>
    <row r="210" spans="3:10" x14ac:dyDescent="0.25">
      <c r="C210" s="13"/>
      <c r="D210" s="13"/>
      <c r="E210" s="13"/>
      <c r="F210" s="13"/>
      <c r="G210" s="13"/>
      <c r="H210" s="13"/>
      <c r="I210" s="13"/>
      <c r="J210" s="13"/>
    </row>
    <row r="211" spans="3:10" x14ac:dyDescent="0.25">
      <c r="C211" s="13"/>
      <c r="D211" s="13"/>
      <c r="E211" s="13"/>
      <c r="F211" s="13"/>
      <c r="G211" s="13"/>
      <c r="H211" s="13"/>
      <c r="I211" s="13"/>
      <c r="J211" s="13"/>
    </row>
    <row r="212" spans="3:10" x14ac:dyDescent="0.25">
      <c r="C212" s="13"/>
      <c r="D212" s="13"/>
      <c r="E212" s="13"/>
      <c r="F212" s="13"/>
      <c r="G212" s="13"/>
      <c r="H212" s="13"/>
      <c r="I212" s="13"/>
      <c r="J212" s="13"/>
    </row>
    <row r="213" spans="3:10" x14ac:dyDescent="0.25">
      <c r="C213" s="13"/>
      <c r="D213" s="13"/>
      <c r="E213" s="13"/>
      <c r="F213" s="13"/>
      <c r="G213" s="13"/>
      <c r="H213" s="13"/>
      <c r="I213" s="13"/>
      <c r="J213" s="13"/>
    </row>
    <row r="214" spans="3:10" x14ac:dyDescent="0.25">
      <c r="C214" s="13"/>
      <c r="D214" s="13"/>
      <c r="E214" s="13"/>
      <c r="F214" s="13"/>
      <c r="G214" s="13"/>
      <c r="H214" s="13"/>
      <c r="I214" s="13"/>
      <c r="J214" s="13"/>
    </row>
    <row r="215" spans="3:10" x14ac:dyDescent="0.25">
      <c r="C215" s="13"/>
      <c r="D215" s="13"/>
      <c r="E215" s="13"/>
      <c r="F215" s="13"/>
      <c r="G215" s="13"/>
      <c r="H215" s="13"/>
      <c r="I215" s="13"/>
      <c r="J215" s="13"/>
    </row>
    <row r="216" spans="3:10" x14ac:dyDescent="0.25">
      <c r="C216" s="13"/>
      <c r="D216" s="13"/>
      <c r="E216" s="13"/>
      <c r="F216" s="13"/>
      <c r="G216" s="13"/>
      <c r="H216" s="13"/>
      <c r="I216" s="13"/>
      <c r="J216" s="13"/>
    </row>
    <row r="217" spans="3:10" x14ac:dyDescent="0.25">
      <c r="C217" s="13"/>
      <c r="D217" s="13"/>
      <c r="E217" s="13"/>
      <c r="F217" s="13"/>
      <c r="G217" s="13"/>
      <c r="H217" s="13"/>
      <c r="I217" s="13"/>
      <c r="J217" s="13"/>
    </row>
    <row r="218" spans="3:10" x14ac:dyDescent="0.25">
      <c r="C218" s="13"/>
      <c r="D218" s="13"/>
      <c r="E218" s="13"/>
      <c r="F218" s="13"/>
      <c r="G218" s="13"/>
      <c r="H218" s="13"/>
      <c r="I218" s="13"/>
      <c r="J218" s="13"/>
    </row>
    <row r="219" spans="3:10" x14ac:dyDescent="0.25">
      <c r="C219" s="13"/>
      <c r="D219" s="13"/>
      <c r="E219" s="13"/>
      <c r="F219" s="13"/>
      <c r="G219" s="13"/>
      <c r="H219" s="13"/>
      <c r="I219" s="13"/>
      <c r="J219" s="13"/>
    </row>
    <row r="220" spans="3:10" x14ac:dyDescent="0.25">
      <c r="C220" s="13"/>
      <c r="D220" s="13"/>
      <c r="E220" s="13"/>
      <c r="F220" s="13"/>
      <c r="G220" s="13"/>
      <c r="H220" s="13"/>
      <c r="I220" s="13"/>
      <c r="J220" s="13"/>
    </row>
    <row r="221" spans="3:10" x14ac:dyDescent="0.25">
      <c r="C221" s="13"/>
      <c r="D221" s="13"/>
      <c r="E221" s="13"/>
      <c r="F221" s="13"/>
      <c r="G221" s="13"/>
      <c r="H221" s="13"/>
      <c r="I221" s="13"/>
      <c r="J221" s="13"/>
    </row>
    <row r="222" spans="3:10" x14ac:dyDescent="0.25">
      <c r="C222" s="13"/>
      <c r="D222" s="13"/>
      <c r="E222" s="13"/>
      <c r="F222" s="13"/>
      <c r="G222" s="13"/>
      <c r="H222" s="13"/>
      <c r="I222" s="13"/>
      <c r="J222" s="13"/>
    </row>
    <row r="223" spans="3:10" x14ac:dyDescent="0.25">
      <c r="C223" s="13"/>
      <c r="D223" s="13"/>
      <c r="E223" s="13"/>
      <c r="F223" s="13"/>
      <c r="G223" s="13"/>
      <c r="H223" s="13"/>
      <c r="I223" s="13"/>
      <c r="J223" s="13"/>
    </row>
    <row r="224" spans="3:10" x14ac:dyDescent="0.25">
      <c r="C224" s="13"/>
      <c r="D224" s="13"/>
      <c r="E224" s="13"/>
      <c r="F224" s="13"/>
      <c r="G224" s="13"/>
      <c r="H224" s="13"/>
      <c r="I224" s="13"/>
      <c r="J224" s="13"/>
    </row>
    <row r="225" spans="2:10" x14ac:dyDescent="0.25">
      <c r="C225" s="13"/>
      <c r="D225" s="13"/>
      <c r="E225" s="13"/>
      <c r="F225" s="13"/>
      <c r="G225" s="13"/>
      <c r="H225" s="13"/>
      <c r="I225" s="13"/>
      <c r="J225" s="13"/>
    </row>
    <row r="226" spans="2:10" x14ac:dyDescent="0.25">
      <c r="C226" s="13"/>
      <c r="D226" s="13"/>
      <c r="E226" s="13"/>
      <c r="F226" s="13"/>
      <c r="G226" s="13"/>
      <c r="H226" s="13"/>
      <c r="I226" s="13"/>
      <c r="J226" s="13"/>
    </row>
    <row r="227" spans="2:10" x14ac:dyDescent="0.25">
      <c r="C227" s="13"/>
      <c r="D227" s="13"/>
      <c r="E227" s="13"/>
      <c r="F227" s="13"/>
      <c r="G227" s="13"/>
      <c r="H227" s="13"/>
      <c r="I227" s="13"/>
      <c r="J227" s="13"/>
    </row>
    <row r="228" spans="2:10" x14ac:dyDescent="0.25">
      <c r="C228" s="13"/>
      <c r="D228" s="13"/>
      <c r="E228" s="13"/>
      <c r="F228" s="13"/>
      <c r="G228" s="13"/>
      <c r="H228" s="13"/>
      <c r="I228" s="13"/>
      <c r="J228" s="13"/>
    </row>
    <row r="229" spans="2:10" x14ac:dyDescent="0.25">
      <c r="C229" s="13"/>
      <c r="D229" s="13"/>
      <c r="E229" s="13"/>
      <c r="F229" s="13"/>
      <c r="G229" s="13"/>
      <c r="H229" s="13"/>
      <c r="I229" s="13"/>
      <c r="J229" s="13"/>
    </row>
    <row r="230" spans="2:10" x14ac:dyDescent="0.25">
      <c r="C230" s="13"/>
      <c r="D230" s="13"/>
      <c r="E230" s="13"/>
      <c r="F230" s="13"/>
      <c r="G230" s="13"/>
      <c r="H230" s="13"/>
      <c r="I230" s="13"/>
      <c r="J230" s="13"/>
    </row>
    <row r="231" spans="2:10" x14ac:dyDescent="0.25">
      <c r="C231" s="13"/>
      <c r="D231" s="13"/>
      <c r="E231" s="13"/>
      <c r="F231" s="13"/>
      <c r="G231" s="13"/>
      <c r="H231" s="13"/>
      <c r="I231" s="13"/>
      <c r="J231" s="13"/>
    </row>
    <row r="232" spans="2:10" x14ac:dyDescent="0.25">
      <c r="C232" s="13"/>
      <c r="D232" s="13"/>
      <c r="E232" s="13"/>
      <c r="F232" s="13"/>
      <c r="G232" s="13"/>
      <c r="H232" s="13"/>
      <c r="I232" s="13"/>
      <c r="J232" s="13"/>
    </row>
    <row r="233" spans="2:10" x14ac:dyDescent="0.25">
      <c r="C233" s="13"/>
      <c r="D233" s="13"/>
      <c r="E233" s="13"/>
      <c r="F233" s="13"/>
      <c r="G233" s="13"/>
      <c r="H233" s="13"/>
      <c r="I233" s="13"/>
      <c r="J233" s="13"/>
    </row>
    <row r="234" spans="2:10" x14ac:dyDescent="0.25">
      <c r="C234" s="13"/>
      <c r="D234" s="13"/>
      <c r="E234" s="13"/>
      <c r="F234" s="13"/>
      <c r="G234" s="13"/>
      <c r="H234" s="13"/>
      <c r="I234" s="13"/>
      <c r="J234" s="13"/>
    </row>
    <row r="235" spans="2:10" x14ac:dyDescent="0.25">
      <c r="C235" s="13"/>
      <c r="D235" s="13"/>
      <c r="E235" s="13"/>
      <c r="F235" s="13"/>
      <c r="G235" s="13"/>
      <c r="H235" s="13"/>
      <c r="I235" s="13"/>
      <c r="J235" s="13"/>
    </row>
    <row r="236" spans="2:10" x14ac:dyDescent="0.25">
      <c r="B236" s="12"/>
      <c r="C236" s="13"/>
      <c r="D236" s="13"/>
      <c r="E236" s="13"/>
      <c r="F236" s="13"/>
      <c r="G236" s="13"/>
      <c r="H236" s="13"/>
      <c r="I236" s="13"/>
      <c r="J236" s="13"/>
    </row>
    <row r="237" spans="2:10" x14ac:dyDescent="0.25">
      <c r="B237" s="12"/>
      <c r="C237" s="13"/>
      <c r="D237" s="13"/>
      <c r="E237" s="13"/>
      <c r="F237" s="13"/>
      <c r="G237" s="13"/>
      <c r="H237" s="13"/>
      <c r="I237" s="13"/>
      <c r="J237" s="13"/>
    </row>
    <row r="238" spans="2:10" x14ac:dyDescent="0.25">
      <c r="B238" s="12"/>
      <c r="C238" s="13"/>
      <c r="D238" s="13"/>
      <c r="E238" s="13"/>
      <c r="F238" s="13"/>
      <c r="G238" s="13"/>
      <c r="H238" s="13"/>
      <c r="I238" s="13"/>
      <c r="J238" s="13"/>
    </row>
    <row r="239" spans="2:10" x14ac:dyDescent="0.25">
      <c r="B239" s="12"/>
      <c r="C239" s="13"/>
      <c r="D239" s="13"/>
      <c r="E239" s="13"/>
      <c r="F239" s="13"/>
      <c r="G239" s="13"/>
      <c r="H239" s="13"/>
      <c r="I239" s="13"/>
      <c r="J239" s="13"/>
    </row>
    <row r="240" spans="2:10" x14ac:dyDescent="0.25">
      <c r="B240" s="12"/>
      <c r="C240" s="13"/>
      <c r="D240" s="13"/>
      <c r="E240" s="13"/>
      <c r="F240" s="13"/>
      <c r="G240" s="13"/>
      <c r="H240" s="13"/>
      <c r="I240" s="13"/>
      <c r="J240" s="13"/>
    </row>
    <row r="241" spans="2:10" x14ac:dyDescent="0.25">
      <c r="B241" s="12"/>
      <c r="C241" s="13"/>
      <c r="D241" s="13"/>
      <c r="E241" s="13"/>
      <c r="F241" s="13"/>
      <c r="G241" s="13"/>
      <c r="H241" s="13"/>
      <c r="I241" s="13"/>
      <c r="J241" s="13"/>
    </row>
    <row r="242" spans="2:10" x14ac:dyDescent="0.25">
      <c r="C242" s="13"/>
      <c r="D242" s="13"/>
      <c r="E242" s="13"/>
      <c r="F242" s="13"/>
      <c r="G242" s="13"/>
      <c r="H242" s="13"/>
      <c r="I242" s="13"/>
      <c r="J242" s="13"/>
    </row>
    <row r="243" spans="2:10" x14ac:dyDescent="0.25">
      <c r="C243" s="13"/>
      <c r="D243" s="13"/>
      <c r="E243" s="13"/>
      <c r="F243" s="13"/>
      <c r="G243" s="13"/>
      <c r="H243" s="13"/>
      <c r="I243" s="13"/>
      <c r="J243" s="13"/>
    </row>
    <row r="244" spans="2:10" x14ac:dyDescent="0.25">
      <c r="C244" s="13"/>
      <c r="D244" s="13"/>
      <c r="E244" s="13"/>
      <c r="F244" s="13"/>
      <c r="G244" s="13"/>
      <c r="H244" s="13"/>
      <c r="I244" s="13"/>
      <c r="J244" s="13"/>
    </row>
    <row r="245" spans="2:10" x14ac:dyDescent="0.25">
      <c r="C245" s="13"/>
      <c r="D245" s="13"/>
      <c r="E245" s="13"/>
      <c r="F245" s="13"/>
      <c r="G245" s="13"/>
      <c r="H245" s="13"/>
      <c r="I245" s="13"/>
      <c r="J245" s="13"/>
    </row>
    <row r="246" spans="2:10" x14ac:dyDescent="0.25">
      <c r="C246" s="13"/>
      <c r="D246" s="13"/>
      <c r="E246" s="13"/>
      <c r="F246" s="13"/>
      <c r="G246" s="13"/>
      <c r="H246" s="13"/>
      <c r="I246" s="13"/>
      <c r="J246" s="13"/>
    </row>
    <row r="247" spans="2:10" x14ac:dyDescent="0.25">
      <c r="C247" s="13"/>
      <c r="D247" s="13"/>
      <c r="E247" s="13"/>
      <c r="F247" s="13"/>
      <c r="G247" s="13"/>
      <c r="H247" s="13"/>
      <c r="I247" s="13"/>
      <c r="J247" s="13"/>
    </row>
    <row r="248" spans="2:10" x14ac:dyDescent="0.25">
      <c r="C248" s="13"/>
      <c r="D248" s="13"/>
      <c r="E248" s="13"/>
      <c r="F248" s="13"/>
      <c r="G248" s="13"/>
      <c r="H248" s="13"/>
      <c r="I248" s="13"/>
      <c r="J248" s="13"/>
    </row>
    <row r="249" spans="2:10" x14ac:dyDescent="0.25">
      <c r="C249" s="13"/>
      <c r="D249" s="13"/>
      <c r="E249" s="13"/>
      <c r="F249" s="13"/>
      <c r="G249" s="13"/>
      <c r="H249" s="13"/>
      <c r="I249" s="13"/>
      <c r="J249" s="13"/>
    </row>
    <row r="250" spans="2:10" x14ac:dyDescent="0.25">
      <c r="C250" s="13"/>
      <c r="D250" s="13"/>
      <c r="E250" s="13"/>
      <c r="F250" s="13"/>
      <c r="G250" s="13"/>
      <c r="H250" s="13"/>
      <c r="I250" s="13"/>
      <c r="J250" s="13"/>
    </row>
    <row r="251" spans="2:10" x14ac:dyDescent="0.25">
      <c r="C251" s="20"/>
      <c r="D251" s="20"/>
      <c r="E251" s="20"/>
      <c r="F251" s="20"/>
      <c r="G251" s="20"/>
      <c r="H251" s="20"/>
      <c r="I251" s="20"/>
      <c r="J251" s="20"/>
    </row>
    <row r="252" spans="2:10" x14ac:dyDescent="0.25">
      <c r="C252" s="20"/>
      <c r="D252" s="20"/>
      <c r="E252" s="20"/>
      <c r="F252" s="20"/>
      <c r="G252" s="20"/>
      <c r="H252" s="20"/>
      <c r="I252" s="20"/>
      <c r="J252" s="20"/>
    </row>
    <row r="253" spans="2:10" x14ac:dyDescent="0.25">
      <c r="C253" s="20"/>
      <c r="D253" s="20"/>
      <c r="E253" s="20"/>
      <c r="F253" s="20"/>
      <c r="G253" s="20"/>
      <c r="H253" s="20"/>
      <c r="I253" s="20"/>
      <c r="J253" s="20"/>
    </row>
    <row r="254" spans="2:10" x14ac:dyDescent="0.25">
      <c r="C254" s="20"/>
      <c r="D254" s="20"/>
      <c r="E254" s="20"/>
      <c r="F254" s="20"/>
      <c r="G254" s="20"/>
      <c r="H254" s="20"/>
      <c r="I254" s="20"/>
      <c r="J254" s="20"/>
    </row>
    <row r="255" spans="2:10" x14ac:dyDescent="0.25">
      <c r="C255" s="20"/>
      <c r="D255" s="20"/>
      <c r="E255" s="20"/>
      <c r="F255" s="20"/>
      <c r="G255" s="20"/>
      <c r="H255" s="20"/>
      <c r="I255" s="20"/>
      <c r="J255" s="20"/>
    </row>
    <row r="256" spans="2:10" x14ac:dyDescent="0.25">
      <c r="C256" s="20"/>
      <c r="D256" s="20"/>
      <c r="E256" s="20"/>
      <c r="F256" s="20"/>
      <c r="G256" s="20"/>
      <c r="H256" s="20"/>
      <c r="I256" s="20"/>
      <c r="J256" s="20"/>
    </row>
    <row r="257" spans="1:10" x14ac:dyDescent="0.25">
      <c r="C257" s="13"/>
      <c r="D257" s="13"/>
      <c r="E257" s="13"/>
      <c r="F257" s="13"/>
      <c r="G257" s="13"/>
      <c r="H257" s="13"/>
      <c r="I257" s="13"/>
      <c r="J257" s="13"/>
    </row>
    <row r="258" spans="1:10" x14ac:dyDescent="0.25">
      <c r="C258" s="13"/>
      <c r="D258" s="13"/>
      <c r="E258" s="13"/>
      <c r="F258" s="13"/>
      <c r="G258" s="13"/>
      <c r="H258" s="13"/>
      <c r="I258" s="13"/>
      <c r="J258" s="13"/>
    </row>
    <row r="259" spans="1:10" x14ac:dyDescent="0.25">
      <c r="C259" s="20"/>
      <c r="D259" s="13"/>
      <c r="E259" s="13"/>
      <c r="F259" s="13"/>
      <c r="G259" s="13"/>
      <c r="H259" s="13"/>
      <c r="I259" s="13"/>
      <c r="J259" s="20"/>
    </row>
    <row r="260" spans="1:10" x14ac:dyDescent="0.25">
      <c r="C260" s="20"/>
      <c r="D260" s="20"/>
      <c r="E260" s="20"/>
      <c r="F260" s="20"/>
      <c r="G260" s="20"/>
      <c r="H260" s="20"/>
      <c r="I260" s="20"/>
      <c r="J260" s="20"/>
    </row>
    <row r="261" spans="1:10" x14ac:dyDescent="0.25">
      <c r="C261" s="20"/>
      <c r="D261" s="20"/>
      <c r="E261" s="20"/>
      <c r="F261" s="20"/>
      <c r="G261" s="20"/>
      <c r="H261" s="20"/>
      <c r="I261" s="20"/>
      <c r="J261" s="20"/>
    </row>
    <row r="262" spans="1:10" x14ac:dyDescent="0.25">
      <c r="C262" s="13"/>
      <c r="D262" s="13"/>
      <c r="E262" s="13"/>
      <c r="F262" s="13"/>
      <c r="G262" s="13"/>
      <c r="H262" s="13"/>
      <c r="I262" s="13"/>
      <c r="J262" s="13"/>
    </row>
    <row r="263" spans="1:10" x14ac:dyDescent="0.25">
      <c r="C263" s="13"/>
      <c r="D263" s="13"/>
      <c r="E263" s="13"/>
      <c r="F263" s="13"/>
      <c r="G263" s="13"/>
      <c r="H263" s="13"/>
      <c r="I263" s="13"/>
      <c r="J263" s="13"/>
    </row>
    <row r="264" spans="1:10" x14ac:dyDescent="0.25">
      <c r="C264" s="13"/>
      <c r="D264" s="13"/>
      <c r="E264" s="13"/>
      <c r="F264" s="13"/>
      <c r="G264" s="13"/>
      <c r="H264" s="13"/>
      <c r="I264" s="13"/>
      <c r="J264" s="13"/>
    </row>
    <row r="265" spans="1:10" x14ac:dyDescent="0.25">
      <c r="C265" s="13"/>
      <c r="D265" s="13"/>
      <c r="E265" s="13"/>
      <c r="F265" s="13"/>
      <c r="G265" s="13"/>
      <c r="H265" s="13"/>
      <c r="I265" s="13"/>
      <c r="J265" s="13"/>
    </row>
    <row r="266" spans="1:10" x14ac:dyDescent="0.25">
      <c r="A266" s="9"/>
      <c r="C266" s="13"/>
      <c r="D266" s="13"/>
      <c r="E266" s="13"/>
      <c r="F266" s="13"/>
      <c r="G266" s="13"/>
      <c r="H266" s="13"/>
      <c r="I266" s="13"/>
      <c r="J266" s="13"/>
    </row>
    <row r="267" spans="1:10" x14ac:dyDescent="0.25">
      <c r="A267" s="9"/>
      <c r="C267" s="13"/>
      <c r="D267" s="13"/>
      <c r="E267" s="13"/>
      <c r="F267" s="13"/>
      <c r="G267" s="13"/>
      <c r="H267" s="13"/>
      <c r="I267" s="13"/>
      <c r="J267" s="13"/>
    </row>
    <row r="268" spans="1:10" x14ac:dyDescent="0.25">
      <c r="A268" s="9"/>
      <c r="C268" s="13"/>
      <c r="D268" s="13"/>
      <c r="E268" s="13"/>
      <c r="F268" s="13"/>
      <c r="G268" s="13"/>
      <c r="H268" s="13"/>
      <c r="I268" s="13"/>
      <c r="J268" s="13"/>
    </row>
    <row r="269" spans="1:10" x14ac:dyDescent="0.25">
      <c r="C269" s="13"/>
      <c r="D269" s="13"/>
      <c r="E269" s="13"/>
      <c r="F269" s="13"/>
      <c r="G269" s="13"/>
      <c r="H269" s="13"/>
      <c r="I269" s="13"/>
      <c r="J269" s="13"/>
    </row>
    <row r="270" spans="1:10" x14ac:dyDescent="0.25">
      <c r="C270" s="13"/>
      <c r="D270" s="13"/>
      <c r="E270" s="13"/>
      <c r="F270" s="13"/>
      <c r="G270" s="13"/>
      <c r="H270" s="13"/>
      <c r="I270" s="13"/>
      <c r="J270" s="13"/>
    </row>
    <row r="271" spans="1:10" x14ac:dyDescent="0.25">
      <c r="A271" s="4"/>
      <c r="B271" s="1"/>
      <c r="C271" s="21"/>
      <c r="D271" s="21"/>
      <c r="E271" s="21"/>
      <c r="F271" s="21"/>
      <c r="G271" s="21"/>
      <c r="H271" s="21"/>
      <c r="I271" s="21"/>
      <c r="J271" s="21"/>
    </row>
    <row r="272" spans="1:10" x14ac:dyDescent="0.25">
      <c r="A272" s="4"/>
      <c r="B272" s="1"/>
      <c r="C272" s="21"/>
      <c r="D272" s="21"/>
      <c r="E272" s="21"/>
      <c r="F272" s="21"/>
      <c r="G272" s="21"/>
      <c r="H272" s="21"/>
      <c r="I272" s="21"/>
      <c r="J272" s="21"/>
    </row>
    <row r="273" spans="1:10" x14ac:dyDescent="0.25">
      <c r="A273" s="4"/>
      <c r="B273" s="1"/>
      <c r="C273" s="21"/>
      <c r="D273" s="21"/>
      <c r="E273" s="21"/>
      <c r="F273" s="21"/>
      <c r="G273" s="21"/>
      <c r="H273" s="21"/>
      <c r="I273" s="21"/>
      <c r="J273" s="21"/>
    </row>
    <row r="274" spans="1:10" x14ac:dyDescent="0.25">
      <c r="A274" s="4"/>
      <c r="B274" s="1"/>
      <c r="C274" s="21"/>
      <c r="D274" s="21"/>
      <c r="E274" s="21"/>
      <c r="F274" s="21"/>
      <c r="G274" s="21"/>
      <c r="H274" s="21"/>
      <c r="I274" s="21"/>
      <c r="J274" s="21"/>
    </row>
    <row r="275" spans="1:10" x14ac:dyDescent="0.25">
      <c r="A275" s="4"/>
      <c r="B275" s="1"/>
      <c r="C275" s="21"/>
      <c r="D275" s="21"/>
      <c r="E275" s="21"/>
      <c r="F275" s="21"/>
      <c r="G275" s="21"/>
      <c r="H275" s="21"/>
      <c r="I275" s="21"/>
      <c r="J275" s="21"/>
    </row>
    <row r="277" spans="1:10" x14ac:dyDescent="0.25">
      <c r="A277" s="4"/>
      <c r="B277" s="1"/>
      <c r="C277" s="20"/>
      <c r="D277" s="13"/>
      <c r="E277" s="13"/>
      <c r="F277" s="13"/>
      <c r="G277" s="13"/>
      <c r="H277" s="13"/>
      <c r="I277" s="13"/>
      <c r="J277" s="20"/>
    </row>
    <row r="278" spans="1:10" x14ac:dyDescent="0.25">
      <c r="A278" s="4"/>
      <c r="B278" s="1"/>
      <c r="C278" s="13"/>
      <c r="D278" s="13"/>
      <c r="E278" s="13"/>
      <c r="F278" s="13"/>
      <c r="G278" s="13"/>
      <c r="H278" s="13"/>
      <c r="I278" s="13"/>
      <c r="J278" s="20"/>
    </row>
  </sheetData>
  <mergeCells count="1">
    <mergeCell ref="L102:L107"/>
  </mergeCells>
  <dataValidations count="2">
    <dataValidation type="list" allowBlank="1" showInputMessage="1" showErrorMessage="1" sqref="A126:A128 A266:A268" xr:uid="{00000000-0002-0000-1000-000000000000}">
      <formula1>Regions</formula1>
    </dataValidation>
    <dataValidation type="list" allowBlank="1" showInputMessage="1" showErrorMessage="1" sqref="B134 B274" xr:uid="{00000000-0002-0000-1000-000001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4"/>
  <dimension ref="A1:K237"/>
  <sheetViews>
    <sheetView topLeftCell="A68" workbookViewId="0">
      <selection activeCell="D102" sqref="D102"/>
    </sheetView>
  </sheetViews>
  <sheetFormatPr defaultColWidth="11.42578125" defaultRowHeight="15" x14ac:dyDescent="0.25"/>
  <cols>
    <col min="2" max="2" width="20.42578125" customWidth="1"/>
    <col min="3" max="3" width="19.7109375" bestFit="1" customWidth="1"/>
    <col min="12" max="12" width="2.140625" customWidth="1"/>
  </cols>
  <sheetData>
    <row r="1" spans="1:11" x14ac:dyDescent="0.25">
      <c r="A1" t="s">
        <v>316</v>
      </c>
    </row>
    <row r="2" spans="1:11" x14ac:dyDescent="0.25">
      <c r="A2" t="s">
        <v>287</v>
      </c>
    </row>
    <row r="3" spans="1:11" x14ac:dyDescent="0.25">
      <c r="A3" t="s">
        <v>299</v>
      </c>
    </row>
    <row r="5" spans="1:11" x14ac:dyDescent="0.25">
      <c r="B5" t="s">
        <v>21</v>
      </c>
      <c r="C5" t="s">
        <v>284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x14ac:dyDescent="0.25">
      <c r="A6" t="s">
        <v>333</v>
      </c>
      <c r="B6" t="s">
        <v>97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333</v>
      </c>
      <c r="B7" t="s">
        <v>98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333</v>
      </c>
      <c r="B8" t="s">
        <v>99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333</v>
      </c>
      <c r="B9" t="s">
        <v>100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333</v>
      </c>
      <c r="B10" t="s">
        <v>149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333</v>
      </c>
      <c r="B11" t="s">
        <v>129</v>
      </c>
      <c r="C11">
        <v>2</v>
      </c>
    </row>
    <row r="12" spans="1:11" x14ac:dyDescent="0.25">
      <c r="A12" t="s">
        <v>333</v>
      </c>
      <c r="B12" t="s">
        <v>130</v>
      </c>
      <c r="C12">
        <v>2</v>
      </c>
    </row>
    <row r="13" spans="1:11" x14ac:dyDescent="0.25">
      <c r="A13" t="s">
        <v>333</v>
      </c>
      <c r="B13" t="s">
        <v>142</v>
      </c>
      <c r="C13">
        <v>2</v>
      </c>
    </row>
    <row r="14" spans="1:11" x14ac:dyDescent="0.25">
      <c r="A14" t="s">
        <v>333</v>
      </c>
      <c r="B14" t="s">
        <v>143</v>
      </c>
      <c r="C14">
        <v>2</v>
      </c>
    </row>
    <row r="15" spans="1:11" x14ac:dyDescent="0.25">
      <c r="A15" t="s">
        <v>333</v>
      </c>
      <c r="B15" t="s">
        <v>131</v>
      </c>
      <c r="C15">
        <v>2</v>
      </c>
    </row>
    <row r="16" spans="1:11" x14ac:dyDescent="0.25">
      <c r="A16" t="s">
        <v>333</v>
      </c>
      <c r="B16" t="s">
        <v>128</v>
      </c>
      <c r="C16">
        <v>2</v>
      </c>
    </row>
    <row r="17" spans="1:11" x14ac:dyDescent="0.25">
      <c r="A17" t="s">
        <v>333</v>
      </c>
      <c r="B17" t="s">
        <v>132</v>
      </c>
      <c r="C17">
        <v>2</v>
      </c>
    </row>
    <row r="18" spans="1:11" x14ac:dyDescent="0.25">
      <c r="A18" t="s">
        <v>333</v>
      </c>
      <c r="B18" t="s">
        <v>129</v>
      </c>
      <c r="C18">
        <v>1</v>
      </c>
      <c r="D18">
        <v>20.555555555555554</v>
      </c>
      <c r="E18">
        <v>16.574074074074073</v>
      </c>
      <c r="F18">
        <v>12.592592592592592</v>
      </c>
      <c r="G18">
        <v>8.6111111111111107</v>
      </c>
      <c r="H18">
        <v>8.3333333333333321</v>
      </c>
      <c r="I18">
        <v>8.0555555555555554</v>
      </c>
      <c r="J18">
        <v>7.7777777777777768</v>
      </c>
      <c r="K18">
        <v>7.4999999999999991</v>
      </c>
    </row>
    <row r="19" spans="1:11" x14ac:dyDescent="0.25">
      <c r="A19" t="s">
        <v>333</v>
      </c>
      <c r="B19" t="s">
        <v>130</v>
      </c>
      <c r="C19">
        <v>1</v>
      </c>
      <c r="D19">
        <v>86.388888888888886</v>
      </c>
      <c r="E19">
        <v>68.888888888888886</v>
      </c>
      <c r="F19">
        <v>51.388888888888886</v>
      </c>
      <c r="G19">
        <v>33.888888888888886</v>
      </c>
      <c r="H19">
        <v>32.916666666666664</v>
      </c>
      <c r="I19">
        <v>31.944444444444443</v>
      </c>
      <c r="J19">
        <v>30.972222222222218</v>
      </c>
      <c r="K19">
        <v>29.999999999999996</v>
      </c>
    </row>
    <row r="20" spans="1:11" x14ac:dyDescent="0.25">
      <c r="A20" t="s">
        <v>333</v>
      </c>
      <c r="B20" t="s">
        <v>142</v>
      </c>
      <c r="C20">
        <v>1</v>
      </c>
      <c r="D20">
        <v>0.83333333333333326</v>
      </c>
      <c r="E20">
        <v>0.80555555555555547</v>
      </c>
      <c r="F20">
        <v>0.77777777777777768</v>
      </c>
      <c r="G20">
        <v>0.75</v>
      </c>
      <c r="H20">
        <v>0.75</v>
      </c>
      <c r="I20">
        <v>0.75</v>
      </c>
      <c r="J20">
        <v>0.75</v>
      </c>
      <c r="K20">
        <v>0.75</v>
      </c>
    </row>
    <row r="21" spans="1:11" x14ac:dyDescent="0.25">
      <c r="A21" t="s">
        <v>333</v>
      </c>
      <c r="B21" t="s">
        <v>143</v>
      </c>
      <c r="C21">
        <v>1</v>
      </c>
      <c r="D21">
        <v>9.1666666666666661</v>
      </c>
      <c r="E21">
        <v>9.1666666666666661</v>
      </c>
      <c r="F21">
        <v>9.1666666666666661</v>
      </c>
      <c r="G21">
        <v>9.1666666666666661</v>
      </c>
      <c r="H21">
        <v>9.1666666666666661</v>
      </c>
      <c r="I21">
        <v>9.1666666666666661</v>
      </c>
      <c r="J21">
        <v>9.1666666666666661</v>
      </c>
      <c r="K21">
        <v>9.1666666666666661</v>
      </c>
    </row>
    <row r="22" spans="1:11" x14ac:dyDescent="0.25">
      <c r="A22" t="s">
        <v>333</v>
      </c>
      <c r="B22" t="s">
        <v>234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333</v>
      </c>
      <c r="B23" t="s">
        <v>236</v>
      </c>
      <c r="C23">
        <v>1</v>
      </c>
    </row>
    <row r="24" spans="1:11" x14ac:dyDescent="0.25">
      <c r="A24" t="s">
        <v>333</v>
      </c>
      <c r="B24" t="s">
        <v>128</v>
      </c>
      <c r="C24">
        <v>1</v>
      </c>
      <c r="D24">
        <v>43.05555555555555</v>
      </c>
      <c r="E24">
        <v>41.666666666666657</v>
      </c>
      <c r="F24">
        <v>40.277777777777771</v>
      </c>
      <c r="G24">
        <v>38.888888888888886</v>
      </c>
      <c r="H24">
        <v>38.75</v>
      </c>
      <c r="I24">
        <v>38.611111111111107</v>
      </c>
      <c r="J24">
        <v>38.472222222222214</v>
      </c>
      <c r="K24">
        <v>38.333333333333329</v>
      </c>
    </row>
    <row r="25" spans="1:11" x14ac:dyDescent="0.25">
      <c r="A25" t="s">
        <v>333</v>
      </c>
      <c r="B25" t="s">
        <v>132</v>
      </c>
      <c r="C25">
        <v>1</v>
      </c>
      <c r="D25">
        <f>0.005*D24</f>
        <v>0.21527777777777776</v>
      </c>
      <c r="E25">
        <f t="shared" ref="E25:K25" si="0">0.005*E24</f>
        <v>0.20833333333333329</v>
      </c>
      <c r="F25">
        <f t="shared" si="0"/>
        <v>0.20138888888888887</v>
      </c>
      <c r="G25">
        <f t="shared" si="0"/>
        <v>0.19444444444444442</v>
      </c>
      <c r="H25">
        <f t="shared" si="0"/>
        <v>0.19375000000000001</v>
      </c>
      <c r="I25">
        <f t="shared" si="0"/>
        <v>0.19305555555555554</v>
      </c>
      <c r="J25">
        <f t="shared" si="0"/>
        <v>0.19236111111111107</v>
      </c>
      <c r="K25">
        <f t="shared" si="0"/>
        <v>0.19166666666666665</v>
      </c>
    </row>
    <row r="26" spans="1:11" x14ac:dyDescent="0.25">
      <c r="A26" t="s">
        <v>333</v>
      </c>
      <c r="B26" t="s">
        <v>180</v>
      </c>
      <c r="C26">
        <v>1</v>
      </c>
      <c r="D26">
        <v>62.499999999999993</v>
      </c>
      <c r="E26">
        <v>60.462962962962948</v>
      </c>
      <c r="F26">
        <v>58.42592592592591</v>
      </c>
      <c r="G26">
        <v>56.388888888888879</v>
      </c>
      <c r="H26">
        <v>56.180555555555543</v>
      </c>
      <c r="I26">
        <v>55.972222222222214</v>
      </c>
      <c r="J26">
        <v>55.763888888888886</v>
      </c>
      <c r="K26">
        <v>55.55555555555555</v>
      </c>
    </row>
    <row r="27" spans="1:11" x14ac:dyDescent="0.25">
      <c r="A27" t="s">
        <v>333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333</v>
      </c>
      <c r="B28" t="s">
        <v>124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333</v>
      </c>
      <c r="B29" t="s">
        <v>118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333</v>
      </c>
      <c r="B30" t="s">
        <v>53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333</v>
      </c>
      <c r="B31" t="s">
        <v>119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333</v>
      </c>
      <c r="B32" t="s">
        <v>120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333</v>
      </c>
      <c r="B33" t="s">
        <v>52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333</v>
      </c>
      <c r="B34" t="s">
        <v>51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 t="s">
        <v>333</v>
      </c>
      <c r="B35" t="s">
        <v>125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333</v>
      </c>
      <c r="B36" t="s">
        <v>101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333</v>
      </c>
      <c r="B37" t="s">
        <v>102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333</v>
      </c>
      <c r="B38" t="s">
        <v>103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333</v>
      </c>
      <c r="B39" t="s">
        <v>104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333</v>
      </c>
      <c r="B40" t="s">
        <v>105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 t="s">
        <v>333</v>
      </c>
      <c r="B41" t="s">
        <v>106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333</v>
      </c>
      <c r="B42" t="s">
        <v>151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333</v>
      </c>
      <c r="B43" t="s">
        <v>107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333</v>
      </c>
      <c r="B44" t="s">
        <v>178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333</v>
      </c>
      <c r="B45" t="s">
        <v>108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333</v>
      </c>
      <c r="B46" t="s">
        <v>109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 t="s">
        <v>333</v>
      </c>
      <c r="B47" t="s">
        <v>110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333</v>
      </c>
      <c r="B48" t="s">
        <v>111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333</v>
      </c>
      <c r="B49" t="s">
        <v>112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333</v>
      </c>
      <c r="B50" t="s">
        <v>113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333</v>
      </c>
      <c r="B51" t="s">
        <v>336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333</v>
      </c>
      <c r="B52" t="s">
        <v>150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25">
      <c r="A53" t="s">
        <v>333</v>
      </c>
      <c r="B53" t="s">
        <v>96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333</v>
      </c>
      <c r="B54" t="s">
        <v>95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333</v>
      </c>
      <c r="B55" t="s">
        <v>17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333</v>
      </c>
      <c r="B56" t="s">
        <v>18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333</v>
      </c>
      <c r="B57" t="s">
        <v>50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333</v>
      </c>
      <c r="B58" t="s">
        <v>153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25">
      <c r="A59" t="s">
        <v>333</v>
      </c>
      <c r="B59" t="s">
        <v>126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333</v>
      </c>
      <c r="B60" t="s">
        <v>54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333</v>
      </c>
      <c r="B61" t="s">
        <v>127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333</v>
      </c>
      <c r="B62" t="s">
        <v>121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333</v>
      </c>
      <c r="B63" t="s">
        <v>122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333</v>
      </c>
      <c r="B64" t="s">
        <v>56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333</v>
      </c>
      <c r="B65" t="s">
        <v>116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 t="s">
        <v>333</v>
      </c>
      <c r="B66" t="s">
        <v>55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t="s">
        <v>333</v>
      </c>
      <c r="B67" t="s">
        <v>117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333</v>
      </c>
      <c r="B68" t="s">
        <v>89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333</v>
      </c>
      <c r="B69" t="s">
        <v>90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333</v>
      </c>
      <c r="B70" t="s">
        <v>94</v>
      </c>
      <c r="C70">
        <v>1</v>
      </c>
      <c r="D70">
        <v>0.83333333400000009</v>
      </c>
      <c r="E70">
        <v>0.83333333400000009</v>
      </c>
      <c r="F70">
        <v>0.83333333400000009</v>
      </c>
      <c r="G70">
        <v>0.83333333400000009</v>
      </c>
      <c r="H70">
        <v>0.83333333400000009</v>
      </c>
      <c r="I70">
        <v>0.83333333400000009</v>
      </c>
      <c r="J70">
        <v>0.83333333400000009</v>
      </c>
      <c r="K70">
        <v>0.83333333400000009</v>
      </c>
    </row>
    <row r="71" spans="1:11" x14ac:dyDescent="0.25">
      <c r="A71" t="s">
        <v>333</v>
      </c>
      <c r="B71" t="s">
        <v>91</v>
      </c>
      <c r="C71">
        <v>1</v>
      </c>
      <c r="D71">
        <v>0.83333333400000009</v>
      </c>
      <c r="E71">
        <v>0.83333333400000009</v>
      </c>
      <c r="F71">
        <v>0.83333333400000009</v>
      </c>
      <c r="G71">
        <v>0.83333333400000009</v>
      </c>
      <c r="H71">
        <v>0.83333333400000009</v>
      </c>
      <c r="I71">
        <v>0.83333333400000009</v>
      </c>
      <c r="J71">
        <v>0.83333333400000009</v>
      </c>
      <c r="K71">
        <v>0.83333333400000009</v>
      </c>
    </row>
    <row r="72" spans="1:11" x14ac:dyDescent="0.25">
      <c r="A72" t="s">
        <v>333</v>
      </c>
      <c r="B72" t="s">
        <v>92</v>
      </c>
      <c r="C72">
        <v>1</v>
      </c>
      <c r="D72">
        <v>1.38888889</v>
      </c>
      <c r="E72">
        <v>1.38888889</v>
      </c>
      <c r="F72">
        <v>1.38888889</v>
      </c>
      <c r="G72">
        <v>1.38888889</v>
      </c>
      <c r="H72">
        <v>1.38888889</v>
      </c>
      <c r="I72">
        <v>1.38888889</v>
      </c>
      <c r="J72">
        <v>1.38888889</v>
      </c>
      <c r="K72">
        <v>1.38888889</v>
      </c>
    </row>
    <row r="73" spans="1:11" x14ac:dyDescent="0.25">
      <c r="A73" t="s">
        <v>333</v>
      </c>
      <c r="B73" t="s">
        <v>93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333</v>
      </c>
      <c r="B74" t="s">
        <v>88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333</v>
      </c>
      <c r="B75" t="s">
        <v>83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333</v>
      </c>
      <c r="B76" t="s">
        <v>82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333</v>
      </c>
      <c r="B77" t="s">
        <v>84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333</v>
      </c>
      <c r="B78" t="s">
        <v>154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333</v>
      </c>
      <c r="B79" t="s">
        <v>155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333</v>
      </c>
      <c r="B80" t="s">
        <v>156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t="s">
        <v>333</v>
      </c>
      <c r="B81" t="s">
        <v>86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333</v>
      </c>
      <c r="B82" t="s">
        <v>85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333</v>
      </c>
      <c r="B83" t="s">
        <v>87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333</v>
      </c>
      <c r="B84" t="s">
        <v>148</v>
      </c>
      <c r="C84">
        <v>1</v>
      </c>
      <c r="D84">
        <v>3.91</v>
      </c>
      <c r="E84">
        <v>4.16</v>
      </c>
      <c r="F84">
        <v>4.41</v>
      </c>
      <c r="G84">
        <v>4.66</v>
      </c>
      <c r="H84">
        <v>4.9099999999999993</v>
      </c>
      <c r="I84">
        <v>5.16</v>
      </c>
      <c r="J84">
        <v>5.41</v>
      </c>
      <c r="K84">
        <v>5.66</v>
      </c>
    </row>
    <row r="85" spans="1:11" x14ac:dyDescent="0.25">
      <c r="A85" t="s">
        <v>333</v>
      </c>
      <c r="B85" t="s">
        <v>114</v>
      </c>
      <c r="C85">
        <v>1</v>
      </c>
      <c r="D85">
        <v>1E-3</v>
      </c>
      <c r="E85">
        <v>1E-3</v>
      </c>
      <c r="F85">
        <v>1E-3</v>
      </c>
      <c r="G85">
        <v>1E-3</v>
      </c>
      <c r="H85">
        <v>1E-3</v>
      </c>
      <c r="I85">
        <v>1E-3</v>
      </c>
      <c r="J85">
        <v>1E-3</v>
      </c>
      <c r="K85">
        <v>1E-3</v>
      </c>
    </row>
    <row r="86" spans="1:11" x14ac:dyDescent="0.25">
      <c r="A86" t="s">
        <v>333</v>
      </c>
      <c r="B86" t="s">
        <v>115</v>
      </c>
      <c r="C86">
        <v>1</v>
      </c>
      <c r="D86">
        <v>11.11111112</v>
      </c>
      <c r="E86">
        <v>6.9444444500000007</v>
      </c>
      <c r="F86">
        <v>6.6666666719999998</v>
      </c>
      <c r="G86">
        <v>6.3888888939999999</v>
      </c>
      <c r="H86">
        <v>5.4166666709999998</v>
      </c>
      <c r="I86">
        <v>4.4444444480000005</v>
      </c>
      <c r="J86">
        <v>4.4444444480000005</v>
      </c>
      <c r="K86">
        <v>4.4444444480000005</v>
      </c>
    </row>
    <row r="87" spans="1:11" x14ac:dyDescent="0.25">
      <c r="A87" t="s">
        <v>333</v>
      </c>
      <c r="B87" t="s">
        <v>115</v>
      </c>
      <c r="C87">
        <v>2</v>
      </c>
      <c r="D87">
        <v>11.11111112</v>
      </c>
      <c r="E87">
        <v>6.9444444500000007</v>
      </c>
      <c r="F87">
        <v>6.6666666719999998</v>
      </c>
      <c r="G87">
        <v>6.3888888939999999</v>
      </c>
      <c r="H87">
        <v>5.4166666709999998</v>
      </c>
      <c r="I87">
        <v>4.4444444480000005</v>
      </c>
      <c r="J87">
        <v>4.4444444480000005</v>
      </c>
      <c r="K87">
        <v>4.4444444480000005</v>
      </c>
    </row>
    <row r="88" spans="1:11" x14ac:dyDescent="0.25">
      <c r="A88" t="s">
        <v>333</v>
      </c>
      <c r="B88" t="s">
        <v>152</v>
      </c>
      <c r="C88">
        <v>1</v>
      </c>
      <c r="D88">
        <v>0.41666666700000005</v>
      </c>
      <c r="E88">
        <v>0.41666666700000005</v>
      </c>
      <c r="F88">
        <v>0.41666666700000005</v>
      </c>
      <c r="G88">
        <v>0.41666666700000005</v>
      </c>
      <c r="H88">
        <v>0.41666666700000005</v>
      </c>
      <c r="I88">
        <v>0.41666666700000005</v>
      </c>
      <c r="J88">
        <v>0.41666666700000005</v>
      </c>
      <c r="K88">
        <v>0.41666666700000005</v>
      </c>
    </row>
    <row r="89" spans="1:11" x14ac:dyDescent="0.25">
      <c r="A89" t="s">
        <v>333</v>
      </c>
      <c r="B89" t="s">
        <v>152</v>
      </c>
      <c r="C89">
        <v>2</v>
      </c>
      <c r="D89">
        <v>1.2777777788</v>
      </c>
      <c r="E89">
        <v>1.2777777788</v>
      </c>
      <c r="F89">
        <v>1.2777777788</v>
      </c>
      <c r="G89">
        <v>1.2777777788</v>
      </c>
      <c r="H89">
        <v>1.2777777788</v>
      </c>
      <c r="I89">
        <v>1.2777777788</v>
      </c>
      <c r="J89">
        <v>1.2777777788</v>
      </c>
      <c r="K89">
        <v>1.2777777788</v>
      </c>
    </row>
    <row r="90" spans="1:11" x14ac:dyDescent="0.25">
      <c r="A90" t="s">
        <v>333</v>
      </c>
      <c r="B90" t="s">
        <v>99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333</v>
      </c>
      <c r="B91" t="s">
        <v>105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333</v>
      </c>
      <c r="B92" t="s">
        <v>111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333</v>
      </c>
      <c r="B93" t="s">
        <v>17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333</v>
      </c>
      <c r="B94" t="s">
        <v>99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333</v>
      </c>
      <c r="B95" t="s">
        <v>105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333</v>
      </c>
      <c r="B96" t="s">
        <v>111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333</v>
      </c>
      <c r="B97" t="s">
        <v>17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333</v>
      </c>
      <c r="B98" t="s">
        <v>182</v>
      </c>
      <c r="C98">
        <v>1</v>
      </c>
      <c r="D98">
        <v>0.55600000000000005</v>
      </c>
      <c r="E98">
        <v>0.55600000000000005</v>
      </c>
      <c r="F98">
        <v>0.55600000000000005</v>
      </c>
      <c r="G98">
        <v>0.55600000000000005</v>
      </c>
      <c r="H98">
        <v>0.55600000000000005</v>
      </c>
      <c r="I98">
        <v>0.55600000000000005</v>
      </c>
      <c r="J98">
        <v>0.55600000000000005</v>
      </c>
      <c r="K98">
        <v>0.55600000000000005</v>
      </c>
    </row>
    <row r="99" spans="1:11" x14ac:dyDescent="0.25">
      <c r="A99" t="s">
        <v>333</v>
      </c>
      <c r="B99" t="s">
        <v>183</v>
      </c>
      <c r="C99">
        <v>1</v>
      </c>
      <c r="D99">
        <v>0.55600000000000005</v>
      </c>
      <c r="E99">
        <v>0.55600000000000005</v>
      </c>
      <c r="F99">
        <v>0.55600000000000005</v>
      </c>
      <c r="G99">
        <v>0.55600000000000005</v>
      </c>
      <c r="H99">
        <v>0.55600000000000005</v>
      </c>
      <c r="I99">
        <v>0.55600000000000005</v>
      </c>
      <c r="J99">
        <v>0.55600000000000005</v>
      </c>
      <c r="K99">
        <v>0.55600000000000005</v>
      </c>
    </row>
    <row r="100" spans="1:11" x14ac:dyDescent="0.25">
      <c r="A100" t="s">
        <v>333</v>
      </c>
      <c r="B100" t="s">
        <v>184</v>
      </c>
      <c r="C100">
        <v>1</v>
      </c>
      <c r="D100">
        <v>0.5</v>
      </c>
      <c r="E100">
        <v>0.5</v>
      </c>
      <c r="F100">
        <v>0.5</v>
      </c>
      <c r="G100">
        <v>0.5</v>
      </c>
      <c r="H100">
        <v>0.5</v>
      </c>
      <c r="I100">
        <v>0.5</v>
      </c>
      <c r="J100">
        <v>0.5</v>
      </c>
      <c r="K100">
        <v>0.5</v>
      </c>
    </row>
    <row r="101" spans="1:11" x14ac:dyDescent="0.25">
      <c r="A101" t="s">
        <v>333</v>
      </c>
      <c r="B101" t="s">
        <v>372</v>
      </c>
      <c r="C101">
        <v>1</v>
      </c>
      <c r="D101">
        <v>10.3</v>
      </c>
      <c r="E101">
        <v>10.039999999999999</v>
      </c>
      <c r="F101">
        <v>9.77</v>
      </c>
      <c r="G101">
        <v>9.5</v>
      </c>
      <c r="H101">
        <v>9.23</v>
      </c>
      <c r="I101">
        <v>8.9700000000000006</v>
      </c>
      <c r="J101">
        <v>8.6999999999999993</v>
      </c>
      <c r="K101">
        <v>8.43</v>
      </c>
    </row>
    <row r="117" spans="1:2" x14ac:dyDescent="0.25">
      <c r="A117" s="4"/>
      <c r="B117" s="1"/>
    </row>
    <row r="118" spans="1:2" x14ac:dyDescent="0.25">
      <c r="A118" s="4"/>
      <c r="B118" s="1"/>
    </row>
    <row r="190" spans="4:11" x14ac:dyDescent="0.25">
      <c r="D190" s="13"/>
      <c r="E190" s="13"/>
      <c r="F190" s="13"/>
      <c r="G190" s="13"/>
      <c r="H190" s="13"/>
      <c r="I190" s="13"/>
      <c r="J190" s="13"/>
      <c r="K190" s="13"/>
    </row>
    <row r="191" spans="4:11" x14ac:dyDescent="0.25">
      <c r="D191" s="13"/>
      <c r="E191" s="13"/>
      <c r="F191" s="13"/>
      <c r="G191" s="13"/>
      <c r="H191" s="13"/>
      <c r="I191" s="13"/>
      <c r="J191" s="13"/>
      <c r="K191" s="13"/>
    </row>
    <row r="192" spans="4:11" x14ac:dyDescent="0.25">
      <c r="D192" s="13"/>
      <c r="E192" s="13"/>
      <c r="F192" s="13"/>
      <c r="G192" s="13"/>
      <c r="H192" s="13"/>
      <c r="I192" s="13"/>
      <c r="J192" s="13"/>
      <c r="K192" s="13"/>
    </row>
    <row r="225" spans="1:11" x14ac:dyDescent="0.25">
      <c r="D225" s="13"/>
      <c r="E225" s="13"/>
      <c r="F225" s="13"/>
      <c r="G225" s="13"/>
      <c r="H225" s="13"/>
      <c r="I225" s="13"/>
      <c r="J225" s="13"/>
      <c r="K225" s="13"/>
    </row>
    <row r="236" spans="1:11" x14ac:dyDescent="0.25">
      <c r="A236" s="4"/>
      <c r="B236" s="1"/>
    </row>
    <row r="237" spans="1:11" x14ac:dyDescent="0.25">
      <c r="A237" s="4"/>
      <c r="B237" s="1"/>
    </row>
  </sheetData>
  <autoFilter ref="A5:L100" xr:uid="{00000000-0001-0000-1100-000000000000}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2"/>
  <dimension ref="A1:O266"/>
  <sheetViews>
    <sheetView topLeftCell="A107" zoomScale="90" zoomScaleNormal="90" zoomScalePageLayoutView="90" workbookViewId="0">
      <selection activeCell="A145" sqref="A145"/>
    </sheetView>
  </sheetViews>
  <sheetFormatPr defaultColWidth="11.42578125" defaultRowHeight="15" x14ac:dyDescent="0.25"/>
  <cols>
    <col min="1" max="1" width="11.42578125" style="22"/>
    <col min="2" max="2" width="24.140625" style="22" customWidth="1"/>
    <col min="3" max="3" width="11.42578125" style="22"/>
    <col min="4" max="9" width="15.7109375" style="22" customWidth="1"/>
    <col min="10" max="10" width="11.42578125" style="22"/>
    <col min="11" max="11" width="2" style="22" customWidth="1"/>
    <col min="12" max="12" width="23.5703125" style="22" customWidth="1"/>
    <col min="13" max="13" width="46.85546875" style="22" customWidth="1"/>
    <col min="14" max="14" width="26.140625" style="22" bestFit="1" customWidth="1"/>
    <col min="15" max="16384" width="11.42578125" style="22"/>
  </cols>
  <sheetData>
    <row r="1" spans="1:15" x14ac:dyDescent="0.25">
      <c r="A1" t="s">
        <v>317</v>
      </c>
    </row>
    <row r="2" spans="1:15" x14ac:dyDescent="0.25">
      <c r="A2" s="22" t="s">
        <v>3</v>
      </c>
    </row>
    <row r="3" spans="1:15" x14ac:dyDescent="0.25">
      <c r="A3" t="s">
        <v>301</v>
      </c>
    </row>
    <row r="5" spans="1:15" x14ac:dyDescent="0.25">
      <c r="B5" s="22" t="s">
        <v>21</v>
      </c>
      <c r="C5" s="22">
        <v>2018</v>
      </c>
      <c r="D5" s="22">
        <v>2020</v>
      </c>
      <c r="E5" s="22">
        <v>2025</v>
      </c>
      <c r="F5" s="22">
        <v>2030</v>
      </c>
      <c r="G5" s="22">
        <v>2035</v>
      </c>
      <c r="H5" s="22">
        <v>2040</v>
      </c>
      <c r="I5" s="22">
        <v>2045</v>
      </c>
      <c r="J5" s="22">
        <v>2050</v>
      </c>
      <c r="N5"/>
      <c r="O5"/>
    </row>
    <row r="6" spans="1:15" x14ac:dyDescent="0.25">
      <c r="A6" s="4" t="s">
        <v>333</v>
      </c>
      <c r="B6" s="4" t="s">
        <v>97</v>
      </c>
      <c r="C6" s="4">
        <v>50.75</v>
      </c>
      <c r="D6" s="4">
        <v>50.75</v>
      </c>
      <c r="E6" s="4">
        <v>50.75</v>
      </c>
      <c r="F6" s="4">
        <v>50.75</v>
      </c>
      <c r="G6" s="4">
        <v>50.75</v>
      </c>
      <c r="H6" s="4">
        <v>50.75</v>
      </c>
      <c r="I6" s="4">
        <v>50.75</v>
      </c>
      <c r="J6" s="4">
        <v>50.75</v>
      </c>
      <c r="N6"/>
      <c r="O6"/>
    </row>
    <row r="7" spans="1:15" x14ac:dyDescent="0.25">
      <c r="A7" s="4" t="s">
        <v>333</v>
      </c>
      <c r="B7" s="4" t="s">
        <v>98</v>
      </c>
      <c r="C7" s="4">
        <v>50.75</v>
      </c>
      <c r="D7" s="4">
        <v>50.75</v>
      </c>
      <c r="E7" s="4">
        <v>50.75</v>
      </c>
      <c r="F7" s="4">
        <v>50.75</v>
      </c>
      <c r="G7" s="4">
        <v>50.75</v>
      </c>
      <c r="H7" s="4">
        <v>50.75</v>
      </c>
      <c r="I7" s="4">
        <v>50.75</v>
      </c>
      <c r="J7" s="4">
        <v>50.75</v>
      </c>
      <c r="N7"/>
      <c r="O7"/>
    </row>
    <row r="8" spans="1:15" x14ac:dyDescent="0.25">
      <c r="A8" s="4" t="s">
        <v>333</v>
      </c>
      <c r="B8" s="4" t="s">
        <v>99</v>
      </c>
      <c r="C8" s="4">
        <v>24.443999999999999</v>
      </c>
      <c r="D8" s="4">
        <v>24.443999999999999</v>
      </c>
      <c r="E8" s="4">
        <v>24.443999999999999</v>
      </c>
      <c r="F8" s="4">
        <v>24.443999999999999</v>
      </c>
      <c r="G8" s="4">
        <v>24.443999999999999</v>
      </c>
      <c r="H8" s="4">
        <v>24.443999999999999</v>
      </c>
      <c r="I8" s="4">
        <v>24.443999999999999</v>
      </c>
      <c r="J8" s="4">
        <v>24.443999999999999</v>
      </c>
      <c r="N8"/>
      <c r="O8"/>
    </row>
    <row r="9" spans="1:15" x14ac:dyDescent="0.25">
      <c r="A9" s="4" t="s">
        <v>333</v>
      </c>
      <c r="B9" s="4" t="s">
        <v>100</v>
      </c>
      <c r="C9" s="4">
        <v>119.07000000000001</v>
      </c>
      <c r="D9" s="4">
        <v>115.10100000000001</v>
      </c>
      <c r="E9" s="4">
        <v>106.47</v>
      </c>
      <c r="F9" s="4">
        <v>98.153999999999996</v>
      </c>
      <c r="G9" s="4">
        <v>89.585999999999999</v>
      </c>
      <c r="H9" s="4">
        <v>81.396000000000015</v>
      </c>
      <c r="I9" s="4">
        <v>80.860500000000016</v>
      </c>
      <c r="J9" s="4">
        <v>75.599999999999994</v>
      </c>
      <c r="N9"/>
      <c r="O9"/>
    </row>
    <row r="10" spans="1:15" x14ac:dyDescent="0.25">
      <c r="A10" s="4" t="s">
        <v>333</v>
      </c>
      <c r="B10" s="4" t="s">
        <v>149</v>
      </c>
      <c r="C10" s="4">
        <v>84.41</v>
      </c>
      <c r="D10" s="4">
        <v>75.900000000000006</v>
      </c>
      <c r="E10" s="4">
        <v>72.334999999999994</v>
      </c>
      <c r="F10" s="4">
        <v>68.77</v>
      </c>
      <c r="G10" s="4">
        <v>66.010000000000005</v>
      </c>
      <c r="H10" s="4">
        <v>63.25</v>
      </c>
      <c r="I10" s="4">
        <v>60.835000000000001</v>
      </c>
      <c r="J10" s="4">
        <v>58.42</v>
      </c>
      <c r="N10"/>
      <c r="O10"/>
    </row>
    <row r="11" spans="1:15" x14ac:dyDescent="0.25">
      <c r="A11" s="4" t="s">
        <v>333</v>
      </c>
      <c r="B11" s="4" t="s">
        <v>129</v>
      </c>
      <c r="C11" s="4">
        <v>0.68599999999999994</v>
      </c>
      <c r="D11" s="4">
        <v>0.34</v>
      </c>
      <c r="E11" s="4">
        <v>0.31</v>
      </c>
      <c r="F11" s="4">
        <v>0.28000000000000003</v>
      </c>
      <c r="G11" s="4">
        <v>0.28000000000000003</v>
      </c>
      <c r="H11" s="4">
        <v>0.28000000000000003</v>
      </c>
      <c r="I11" s="4">
        <v>0.28000000000000003</v>
      </c>
      <c r="J11" s="4">
        <v>0.28000000000000003</v>
      </c>
      <c r="N11"/>
      <c r="O11"/>
    </row>
    <row r="12" spans="1:15" x14ac:dyDescent="0.25">
      <c r="A12" s="4" t="s">
        <v>333</v>
      </c>
      <c r="B12" s="4" t="s">
        <v>130</v>
      </c>
      <c r="C12" s="4">
        <v>24.8</v>
      </c>
      <c r="D12" s="4">
        <v>16.2</v>
      </c>
      <c r="E12" s="4">
        <v>15.399999999999999</v>
      </c>
      <c r="F12" s="4">
        <v>14.6</v>
      </c>
      <c r="G12" s="4">
        <v>10.4</v>
      </c>
      <c r="H12" s="4">
        <v>6.2</v>
      </c>
      <c r="I12" s="4">
        <v>6.2</v>
      </c>
      <c r="J12" s="4">
        <v>6.2</v>
      </c>
    </row>
    <row r="13" spans="1:15" x14ac:dyDescent="0.25">
      <c r="A13" s="4" t="s">
        <v>333</v>
      </c>
      <c r="B13" s="4" t="s">
        <v>142</v>
      </c>
      <c r="C13" s="4">
        <v>7.8</v>
      </c>
      <c r="D13" s="4">
        <v>7.8</v>
      </c>
      <c r="E13" s="4">
        <v>7.3449999999999998</v>
      </c>
      <c r="F13" s="4">
        <v>6.89</v>
      </c>
      <c r="G13" s="4">
        <v>6.76</v>
      </c>
      <c r="H13" s="4">
        <v>6.63</v>
      </c>
      <c r="I13" s="4">
        <v>6.2399999999999993</v>
      </c>
      <c r="J13" s="4">
        <v>5.85</v>
      </c>
    </row>
    <row r="14" spans="1:15" x14ac:dyDescent="0.25">
      <c r="A14" s="4" t="s">
        <v>333</v>
      </c>
      <c r="B14" s="4" t="s">
        <v>143</v>
      </c>
      <c r="C14" s="4">
        <v>7.8</v>
      </c>
      <c r="D14" s="4">
        <v>7.8</v>
      </c>
      <c r="E14" s="4">
        <v>7.3449999999999998</v>
      </c>
      <c r="F14" s="4">
        <v>6.89</v>
      </c>
      <c r="G14" s="4">
        <v>6.76</v>
      </c>
      <c r="H14" s="4">
        <v>6.63</v>
      </c>
      <c r="I14" s="4">
        <v>6.2399999999999993</v>
      </c>
      <c r="J14" s="4">
        <v>5.85</v>
      </c>
    </row>
    <row r="15" spans="1:15" x14ac:dyDescent="0.25">
      <c r="A15" s="4" t="s">
        <v>333</v>
      </c>
      <c r="B15" s="4" t="s">
        <v>234</v>
      </c>
      <c r="C15" s="4">
        <v>2.4</v>
      </c>
      <c r="D15" s="4">
        <v>2.4</v>
      </c>
      <c r="E15" s="4">
        <v>2.4</v>
      </c>
      <c r="F15" s="4">
        <v>2.4</v>
      </c>
      <c r="G15" s="4">
        <v>2.4</v>
      </c>
      <c r="H15" s="4">
        <v>2.4</v>
      </c>
      <c r="I15" s="4">
        <v>2.4</v>
      </c>
      <c r="J15" s="4">
        <v>2.4</v>
      </c>
    </row>
    <row r="16" spans="1:15" x14ac:dyDescent="0.25">
      <c r="A16" s="4" t="s">
        <v>333</v>
      </c>
      <c r="B16" s="4" t="s">
        <v>236</v>
      </c>
      <c r="C16" s="4">
        <v>2.4</v>
      </c>
      <c r="D16" s="4">
        <v>2.4</v>
      </c>
      <c r="E16" s="4">
        <v>2.4</v>
      </c>
      <c r="F16" s="4">
        <v>2.4</v>
      </c>
      <c r="G16" s="4">
        <v>2.4</v>
      </c>
      <c r="H16" s="4">
        <v>2.4</v>
      </c>
      <c r="I16" s="4">
        <v>2.4</v>
      </c>
      <c r="J16" s="4">
        <v>2.4</v>
      </c>
    </row>
    <row r="17" spans="1:10" x14ac:dyDescent="0.25">
      <c r="A17" s="4" t="s">
        <v>333</v>
      </c>
      <c r="B17" s="4" t="s">
        <v>128</v>
      </c>
      <c r="C17" s="4">
        <v>22.5</v>
      </c>
      <c r="D17" s="4">
        <v>22.5</v>
      </c>
      <c r="E17" s="4">
        <v>22.5</v>
      </c>
      <c r="F17" s="4">
        <v>22.5</v>
      </c>
      <c r="G17" s="4">
        <v>22.5</v>
      </c>
      <c r="H17" s="4">
        <v>22.5</v>
      </c>
      <c r="I17" s="4">
        <v>22.5</v>
      </c>
      <c r="J17" s="4">
        <v>22.5</v>
      </c>
    </row>
    <row r="18" spans="1:10" x14ac:dyDescent="0.25">
      <c r="A18" s="4" t="s">
        <v>333</v>
      </c>
      <c r="B18" s="4" t="s">
        <v>132</v>
      </c>
      <c r="C18" s="4">
        <v>22.5</v>
      </c>
      <c r="D18" s="4">
        <v>22.5</v>
      </c>
      <c r="E18" s="4">
        <v>22.5</v>
      </c>
      <c r="F18" s="4">
        <v>22.5</v>
      </c>
      <c r="G18" s="4">
        <v>22.5</v>
      </c>
      <c r="H18" s="4">
        <v>22.5</v>
      </c>
      <c r="I18" s="4">
        <v>22.5</v>
      </c>
      <c r="J18" s="4">
        <v>22.5</v>
      </c>
    </row>
    <row r="19" spans="1:10" x14ac:dyDescent="0.25">
      <c r="A19" s="4" t="s">
        <v>333</v>
      </c>
      <c r="B19" s="4" t="s">
        <v>180</v>
      </c>
      <c r="C19" s="4">
        <v>7.8</v>
      </c>
      <c r="D19" s="4">
        <v>7.8</v>
      </c>
      <c r="E19" s="4">
        <v>7.3449999999999998</v>
      </c>
      <c r="F19" s="4">
        <v>6.89</v>
      </c>
      <c r="G19" s="4">
        <v>6.76</v>
      </c>
      <c r="H19" s="4">
        <v>6.63</v>
      </c>
      <c r="I19" s="4">
        <v>6.2399999999999993</v>
      </c>
      <c r="J19" s="4">
        <v>5.85</v>
      </c>
    </row>
    <row r="20" spans="1:10" x14ac:dyDescent="0.25">
      <c r="A20" s="4" t="s">
        <v>333</v>
      </c>
      <c r="B20" s="4" t="s">
        <v>123</v>
      </c>
      <c r="C20" s="4">
        <v>3.6184210526315788</v>
      </c>
      <c r="D20" s="4">
        <v>3.5667293233082704</v>
      </c>
      <c r="E20" s="4">
        <v>3.5150375939849625</v>
      </c>
      <c r="F20" s="4">
        <v>3.4633458646616537</v>
      </c>
      <c r="G20" s="4">
        <v>3.4116541353383454</v>
      </c>
      <c r="H20" s="4">
        <v>3.3599624060150379</v>
      </c>
      <c r="I20" s="4">
        <v>3.3082706766917291</v>
      </c>
      <c r="J20" s="4">
        <v>3.2565789473684212</v>
      </c>
    </row>
    <row r="21" spans="1:10" x14ac:dyDescent="0.25">
      <c r="A21" s="4" t="s">
        <v>333</v>
      </c>
      <c r="B21" s="4" t="s">
        <v>124</v>
      </c>
      <c r="C21" s="4">
        <v>5.1691729323308264</v>
      </c>
      <c r="D21" s="4">
        <v>4.7630236305048319</v>
      </c>
      <c r="E21" s="4">
        <v>4.3568743286788392</v>
      </c>
      <c r="F21" s="4">
        <v>3.9507250268528447</v>
      </c>
      <c r="G21" s="4">
        <v>3.544575725026851</v>
      </c>
      <c r="H21" s="4">
        <v>3.1384264232008574</v>
      </c>
      <c r="I21" s="4">
        <v>2.7322771213748638</v>
      </c>
      <c r="J21" s="4">
        <v>2.3261278195488702</v>
      </c>
    </row>
    <row r="22" spans="1:10" x14ac:dyDescent="0.25">
      <c r="A22" s="4" t="s">
        <v>333</v>
      </c>
      <c r="B22" s="4" t="s">
        <v>165</v>
      </c>
      <c r="C22" s="4">
        <v>8.9952311839104304</v>
      </c>
      <c r="D22" s="4">
        <v>8.8093001984538368</v>
      </c>
      <c r="E22" s="4">
        <v>8.6233692129972468</v>
      </c>
      <c r="F22" s="4">
        <v>8.4374382275406532</v>
      </c>
      <c r="G22" s="4">
        <v>8.2515072420840614</v>
      </c>
      <c r="H22" s="4">
        <v>8.0655762566274696</v>
      </c>
      <c r="I22" s="4">
        <v>7.8796452711708769</v>
      </c>
      <c r="J22" s="4">
        <v>7.6937142857142851</v>
      </c>
    </row>
    <row r="23" spans="1:10" x14ac:dyDescent="0.25">
      <c r="A23" s="4" t="s">
        <v>333</v>
      </c>
      <c r="B23" s="4" t="s">
        <v>118</v>
      </c>
      <c r="C23" s="4">
        <v>19.366404036215354</v>
      </c>
      <c r="D23" s="4">
        <v>18.966101418796832</v>
      </c>
      <c r="E23" s="4">
        <v>18.565798801378314</v>
      </c>
      <c r="F23" s="4">
        <v>18.165496183959792</v>
      </c>
      <c r="G23" s="4">
        <v>17.765193566541274</v>
      </c>
      <c r="H23" s="4">
        <v>17.364890949122756</v>
      </c>
      <c r="I23" s="4">
        <v>16.964588331704235</v>
      </c>
      <c r="J23" s="4">
        <v>16.564285714285717</v>
      </c>
    </row>
    <row r="24" spans="1:10" x14ac:dyDescent="0.25">
      <c r="A24" s="4" t="s">
        <v>333</v>
      </c>
      <c r="B24" s="4" t="s">
        <v>53</v>
      </c>
      <c r="C24" s="4">
        <v>17.079933469028656</v>
      </c>
      <c r="D24" s="4">
        <v>15.749295743132432</v>
      </c>
      <c r="E24" s="4">
        <v>14.418658017236213</v>
      </c>
      <c r="F24" s="4">
        <v>13.088020291339991</v>
      </c>
      <c r="G24" s="4">
        <v>11.757382565443766</v>
      </c>
      <c r="H24" s="4">
        <v>10.426744839547545</v>
      </c>
      <c r="I24" s="4">
        <v>9.096107113651323</v>
      </c>
      <c r="J24" s="4">
        <v>7.7654693877551022</v>
      </c>
    </row>
    <row r="25" spans="1:10" x14ac:dyDescent="0.25">
      <c r="A25" s="4" t="s">
        <v>333</v>
      </c>
      <c r="B25" s="4" t="s">
        <v>119</v>
      </c>
      <c r="C25" s="4">
        <v>6.1224489795918364</v>
      </c>
      <c r="D25" s="4">
        <v>6.0641399416909616</v>
      </c>
      <c r="E25" s="4">
        <v>6.0058309037900877</v>
      </c>
      <c r="F25" s="4">
        <v>5.9475218658892128</v>
      </c>
      <c r="G25" s="4">
        <v>5.889212827988338</v>
      </c>
      <c r="H25" s="4">
        <v>5.8309037900874632</v>
      </c>
      <c r="I25" s="4">
        <v>5.7725947521865892</v>
      </c>
      <c r="J25" s="4">
        <v>5.7142857142857144</v>
      </c>
    </row>
    <row r="26" spans="1:10" x14ac:dyDescent="0.25">
      <c r="A26" s="4" t="s">
        <v>333</v>
      </c>
      <c r="B26" s="4" t="s">
        <v>120</v>
      </c>
      <c r="C26" s="4">
        <v>8.6179062463894454</v>
      </c>
      <c r="D26" s="4">
        <v>8.4499254706661713</v>
      </c>
      <c r="E26" s="4">
        <v>8.2819446949428972</v>
      </c>
      <c r="F26" s="4">
        <v>8.1139639192196249</v>
      </c>
      <c r="G26" s="4">
        <v>7.9459831434963508</v>
      </c>
      <c r="H26" s="4">
        <v>7.7780023677730767</v>
      </c>
      <c r="I26" s="4">
        <v>7.6100215920498036</v>
      </c>
      <c r="J26" s="4">
        <v>7.4420408163265304</v>
      </c>
    </row>
    <row r="27" spans="1:10" x14ac:dyDescent="0.25">
      <c r="A27" s="4" t="s">
        <v>333</v>
      </c>
      <c r="B27" s="4" t="s">
        <v>52</v>
      </c>
      <c r="C27" s="4">
        <v>10.303617571059432</v>
      </c>
      <c r="D27" s="4">
        <v>10.035991140642302</v>
      </c>
      <c r="E27" s="4">
        <v>9.7683647102251747</v>
      </c>
      <c r="F27" s="4">
        <v>9.5007382798080471</v>
      </c>
      <c r="G27" s="4">
        <v>9.2331118493909194</v>
      </c>
      <c r="H27" s="4">
        <v>8.9654854189737918</v>
      </c>
      <c r="I27" s="4">
        <v>8.6978589885566624</v>
      </c>
      <c r="J27" s="4">
        <v>8.4302325581395348</v>
      </c>
    </row>
    <row r="28" spans="1:10" x14ac:dyDescent="0.25">
      <c r="A28" s="4" t="s">
        <v>333</v>
      </c>
      <c r="B28" s="4" t="s">
        <v>51</v>
      </c>
      <c r="C28" s="4">
        <v>9.3669250645994833</v>
      </c>
      <c r="D28" s="4">
        <v>9.2331118493909177</v>
      </c>
      <c r="E28" s="4">
        <v>9.0992986341823556</v>
      </c>
      <c r="F28" s="4">
        <v>8.96548541897379</v>
      </c>
      <c r="G28" s="4">
        <v>8.8316722037652262</v>
      </c>
      <c r="H28" s="4">
        <v>8.6978589885566642</v>
      </c>
      <c r="I28" s="4">
        <v>8.5640457733480986</v>
      </c>
      <c r="J28" s="4">
        <v>8.4302325581395348</v>
      </c>
    </row>
    <row r="29" spans="1:10" x14ac:dyDescent="0.25">
      <c r="A29" s="4" t="s">
        <v>333</v>
      </c>
      <c r="B29" s="4" t="s">
        <v>101</v>
      </c>
      <c r="C29" s="4">
        <v>63.58</v>
      </c>
      <c r="D29" s="4">
        <v>57.639999999999993</v>
      </c>
      <c r="E29" s="4">
        <v>54.889999999999993</v>
      </c>
      <c r="F29" s="4">
        <v>52.139999999999993</v>
      </c>
      <c r="G29" s="4">
        <v>49.72</v>
      </c>
      <c r="H29" s="4">
        <v>47.3</v>
      </c>
      <c r="I29" s="4">
        <v>45.099999999999994</v>
      </c>
      <c r="J29" s="4">
        <v>42.9</v>
      </c>
    </row>
    <row r="30" spans="1:10" x14ac:dyDescent="0.25">
      <c r="A30" s="4" t="s">
        <v>333</v>
      </c>
      <c r="B30" s="4" t="s">
        <v>102</v>
      </c>
      <c r="C30" s="4">
        <v>40</v>
      </c>
      <c r="D30" s="4">
        <v>40</v>
      </c>
      <c r="E30" s="4">
        <v>40</v>
      </c>
      <c r="F30" s="4">
        <v>40</v>
      </c>
      <c r="G30" s="4">
        <v>40</v>
      </c>
      <c r="H30" s="4">
        <v>40</v>
      </c>
      <c r="I30" s="4">
        <v>40</v>
      </c>
      <c r="J30" s="4">
        <v>40</v>
      </c>
    </row>
    <row r="31" spans="1:10" x14ac:dyDescent="0.25">
      <c r="A31" s="4" t="s">
        <v>333</v>
      </c>
      <c r="B31" s="4" t="s">
        <v>103</v>
      </c>
      <c r="C31" s="4">
        <v>50</v>
      </c>
      <c r="D31" s="4">
        <v>50</v>
      </c>
      <c r="E31" s="4">
        <v>50</v>
      </c>
      <c r="F31" s="4">
        <v>50</v>
      </c>
      <c r="G31" s="4">
        <v>50</v>
      </c>
      <c r="H31" s="4">
        <v>50</v>
      </c>
      <c r="I31" s="4">
        <v>50</v>
      </c>
      <c r="J31" s="4">
        <v>50</v>
      </c>
    </row>
    <row r="32" spans="1:10" x14ac:dyDescent="0.25">
      <c r="A32" s="4" t="s">
        <v>333</v>
      </c>
      <c r="B32" s="4" t="s">
        <v>104</v>
      </c>
      <c r="C32" s="4">
        <v>7</v>
      </c>
      <c r="D32" s="4">
        <v>7</v>
      </c>
      <c r="E32" s="4">
        <v>7</v>
      </c>
      <c r="F32" s="4">
        <v>7</v>
      </c>
      <c r="G32" s="4">
        <v>7</v>
      </c>
      <c r="H32" s="4">
        <v>7</v>
      </c>
      <c r="I32" s="4">
        <v>7</v>
      </c>
      <c r="J32" s="4">
        <v>7</v>
      </c>
    </row>
    <row r="33" spans="1:10" x14ac:dyDescent="0.25">
      <c r="A33" s="4" t="s">
        <v>333</v>
      </c>
      <c r="B33" s="4" t="s">
        <v>105</v>
      </c>
      <c r="C33" s="4">
        <v>19.399999999999999</v>
      </c>
      <c r="D33" s="4">
        <v>19.399999999999999</v>
      </c>
      <c r="E33" s="4">
        <v>19.399999999999999</v>
      </c>
      <c r="F33" s="4">
        <v>19.399999999999999</v>
      </c>
      <c r="G33" s="4">
        <v>19.399999999999999</v>
      </c>
      <c r="H33" s="4">
        <v>19.399999999999999</v>
      </c>
      <c r="I33" s="4">
        <v>19.399999999999999</v>
      </c>
      <c r="J33" s="4">
        <v>19.399999999999999</v>
      </c>
    </row>
    <row r="34" spans="1:10" x14ac:dyDescent="0.25">
      <c r="A34" s="4" t="s">
        <v>333</v>
      </c>
      <c r="B34" s="4" t="s">
        <v>106</v>
      </c>
      <c r="C34" s="4">
        <v>3500</v>
      </c>
      <c r="D34" s="4">
        <v>3400</v>
      </c>
      <c r="E34" s="4">
        <v>3300</v>
      </c>
      <c r="F34" s="4">
        <v>3200</v>
      </c>
      <c r="G34" s="4">
        <v>3105</v>
      </c>
      <c r="H34" s="4">
        <v>3010</v>
      </c>
      <c r="I34" s="4">
        <v>2920</v>
      </c>
      <c r="J34" s="4">
        <v>2830</v>
      </c>
    </row>
    <row r="35" spans="1:10" x14ac:dyDescent="0.25">
      <c r="A35" s="4" t="s">
        <v>333</v>
      </c>
      <c r="B35" s="4" t="s">
        <v>151</v>
      </c>
      <c r="C35" s="4">
        <v>3.9</v>
      </c>
      <c r="D35" s="4">
        <v>3.9</v>
      </c>
      <c r="E35" s="4">
        <v>3.9</v>
      </c>
      <c r="F35" s="4">
        <v>3.9</v>
      </c>
      <c r="G35" s="4">
        <v>3.9</v>
      </c>
      <c r="H35" s="4">
        <v>3.9</v>
      </c>
      <c r="I35" s="4">
        <v>3.9</v>
      </c>
      <c r="J35" s="4">
        <v>3.9</v>
      </c>
    </row>
    <row r="36" spans="1:10" x14ac:dyDescent="0.25">
      <c r="A36" s="4" t="s">
        <v>333</v>
      </c>
      <c r="B36" s="4" t="s">
        <v>178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</row>
    <row r="37" spans="1:10" x14ac:dyDescent="0.25">
      <c r="A37" s="4" t="s">
        <v>333</v>
      </c>
      <c r="B37" s="4" t="s">
        <v>107</v>
      </c>
      <c r="C37" s="4">
        <v>63.58</v>
      </c>
      <c r="D37" s="4">
        <v>57.639999999999993</v>
      </c>
      <c r="E37" s="4">
        <v>54.889999999999993</v>
      </c>
      <c r="F37" s="4">
        <v>52.139999999999993</v>
      </c>
      <c r="G37" s="4">
        <v>49.72</v>
      </c>
      <c r="H37" s="4">
        <v>47.3</v>
      </c>
      <c r="I37" s="4">
        <v>45.099999999999994</v>
      </c>
      <c r="J37" s="4">
        <v>42.9</v>
      </c>
    </row>
    <row r="38" spans="1:10" x14ac:dyDescent="0.25">
      <c r="A38" s="4" t="s">
        <v>333</v>
      </c>
      <c r="B38" s="4" t="s">
        <v>108</v>
      </c>
      <c r="C38" s="4">
        <v>40</v>
      </c>
      <c r="D38" s="4">
        <v>40</v>
      </c>
      <c r="E38" s="4">
        <v>40</v>
      </c>
      <c r="F38" s="4">
        <v>40</v>
      </c>
      <c r="G38" s="4">
        <v>40</v>
      </c>
      <c r="H38" s="4">
        <v>40</v>
      </c>
      <c r="I38" s="4">
        <v>40</v>
      </c>
      <c r="J38" s="4">
        <v>40</v>
      </c>
    </row>
    <row r="39" spans="1:10" x14ac:dyDescent="0.25">
      <c r="A39" s="4" t="s">
        <v>333</v>
      </c>
      <c r="B39" s="4" t="s">
        <v>109</v>
      </c>
      <c r="C39" s="4">
        <v>50</v>
      </c>
      <c r="D39" s="4">
        <v>50</v>
      </c>
      <c r="E39" s="4">
        <v>50</v>
      </c>
      <c r="F39" s="4">
        <v>50</v>
      </c>
      <c r="G39" s="4">
        <v>50</v>
      </c>
      <c r="H39" s="4">
        <v>50</v>
      </c>
      <c r="I39" s="4">
        <v>50</v>
      </c>
      <c r="J39" s="4">
        <v>50</v>
      </c>
    </row>
    <row r="40" spans="1:10" x14ac:dyDescent="0.25">
      <c r="A40" s="4" t="s">
        <v>333</v>
      </c>
      <c r="B40" s="4" t="s">
        <v>110</v>
      </c>
      <c r="C40" s="4">
        <v>24</v>
      </c>
      <c r="D40" s="4">
        <v>24</v>
      </c>
      <c r="E40" s="4">
        <v>24</v>
      </c>
      <c r="F40" s="4">
        <v>24</v>
      </c>
      <c r="G40" s="4">
        <v>24</v>
      </c>
      <c r="H40" s="4">
        <v>24</v>
      </c>
      <c r="I40" s="4">
        <v>24</v>
      </c>
      <c r="J40" s="4">
        <v>24</v>
      </c>
    </row>
    <row r="41" spans="1:10" x14ac:dyDescent="0.25">
      <c r="A41" s="4" t="s">
        <v>333</v>
      </c>
      <c r="B41" s="4" t="s">
        <v>111</v>
      </c>
      <c r="C41" s="4">
        <v>19.399999999999999</v>
      </c>
      <c r="D41" s="4">
        <v>19.399999999999999</v>
      </c>
      <c r="E41" s="4">
        <v>19.399999999999999</v>
      </c>
      <c r="F41" s="4">
        <v>19.399999999999999</v>
      </c>
      <c r="G41" s="4">
        <v>19.399999999999999</v>
      </c>
      <c r="H41" s="4">
        <v>19.399999999999999</v>
      </c>
      <c r="I41" s="4">
        <v>19.399999999999999</v>
      </c>
      <c r="J41" s="4">
        <v>19.399999999999999</v>
      </c>
    </row>
    <row r="42" spans="1:10" x14ac:dyDescent="0.25">
      <c r="A42" s="4" t="s">
        <v>333</v>
      </c>
      <c r="B42" s="4" t="s">
        <v>112</v>
      </c>
      <c r="C42" s="4">
        <v>34</v>
      </c>
      <c r="D42" s="4">
        <v>33</v>
      </c>
      <c r="E42" s="4">
        <v>24</v>
      </c>
      <c r="F42" s="4">
        <v>15.5</v>
      </c>
      <c r="G42" s="4">
        <v>15.05</v>
      </c>
      <c r="H42" s="4">
        <v>14.6</v>
      </c>
      <c r="I42" s="4">
        <v>14.15</v>
      </c>
      <c r="J42" s="4">
        <v>13.700000000000001</v>
      </c>
    </row>
    <row r="43" spans="1:10" x14ac:dyDescent="0.25">
      <c r="A43" s="4" t="s">
        <v>333</v>
      </c>
      <c r="B43" s="4" t="s">
        <v>113</v>
      </c>
      <c r="C43" s="4">
        <v>16</v>
      </c>
      <c r="D43" s="4">
        <v>15.6</v>
      </c>
      <c r="E43" s="4">
        <v>11.324999999999999</v>
      </c>
      <c r="F43" s="4">
        <v>7.3</v>
      </c>
      <c r="G43" s="4">
        <v>7.1000000000000005</v>
      </c>
      <c r="H43" s="4">
        <v>6.9</v>
      </c>
      <c r="I43" s="4">
        <v>6.7</v>
      </c>
      <c r="J43" s="4">
        <v>6.5</v>
      </c>
    </row>
    <row r="44" spans="1:10" x14ac:dyDescent="0.25">
      <c r="A44" s="4" t="s">
        <v>333</v>
      </c>
      <c r="B44" s="4" t="s">
        <v>163</v>
      </c>
      <c r="C44" s="4">
        <v>27.5</v>
      </c>
      <c r="D44" s="4">
        <v>22.5</v>
      </c>
      <c r="E44" s="4">
        <v>21.375</v>
      </c>
      <c r="F44" s="4">
        <v>20.25</v>
      </c>
      <c r="G44" s="4">
        <v>19.625</v>
      </c>
      <c r="H44" s="4">
        <v>19</v>
      </c>
      <c r="I44" s="4">
        <v>18.5</v>
      </c>
      <c r="J44" s="4">
        <v>18</v>
      </c>
    </row>
    <row r="45" spans="1:10" x14ac:dyDescent="0.25">
      <c r="A45" s="4" t="s">
        <v>333</v>
      </c>
      <c r="B45" s="4" t="s">
        <v>164</v>
      </c>
      <c r="C45" s="4">
        <v>26.2</v>
      </c>
      <c r="D45" s="4">
        <v>22</v>
      </c>
      <c r="E45" s="4">
        <v>20.900000000000002</v>
      </c>
      <c r="F45" s="4">
        <v>19.8</v>
      </c>
      <c r="G45" s="4">
        <v>19.2</v>
      </c>
      <c r="H45" s="4">
        <v>18.600000000000001</v>
      </c>
      <c r="I45" s="4">
        <v>18.100000000000001</v>
      </c>
      <c r="J45" s="4">
        <v>17.600000000000001</v>
      </c>
    </row>
    <row r="46" spans="1:10" x14ac:dyDescent="0.25">
      <c r="A46" s="4" t="s">
        <v>333</v>
      </c>
      <c r="B46" s="4" t="s">
        <v>150</v>
      </c>
      <c r="C46" s="4">
        <v>14.85</v>
      </c>
      <c r="D46" s="4">
        <v>14.85</v>
      </c>
      <c r="E46" s="4">
        <v>14.85</v>
      </c>
      <c r="F46" s="4">
        <v>14.85</v>
      </c>
      <c r="G46" s="4">
        <v>14.85</v>
      </c>
      <c r="H46" s="4">
        <v>14.85</v>
      </c>
      <c r="I46" s="4">
        <v>14.85</v>
      </c>
      <c r="J46" s="4">
        <v>14.85</v>
      </c>
    </row>
    <row r="47" spans="1:10" x14ac:dyDescent="0.25">
      <c r="A47" s="4" t="s">
        <v>333</v>
      </c>
      <c r="B47" s="4" t="s">
        <v>96</v>
      </c>
      <c r="C47" s="4">
        <v>40</v>
      </c>
      <c r="D47" s="4">
        <v>40</v>
      </c>
      <c r="E47" s="4">
        <v>40</v>
      </c>
      <c r="F47" s="4">
        <v>40</v>
      </c>
      <c r="G47" s="4">
        <v>40</v>
      </c>
      <c r="H47" s="4">
        <v>40</v>
      </c>
      <c r="I47" s="4">
        <v>40</v>
      </c>
      <c r="J47" s="4">
        <v>40</v>
      </c>
    </row>
    <row r="48" spans="1:10" x14ac:dyDescent="0.25">
      <c r="A48" s="4" t="s">
        <v>333</v>
      </c>
      <c r="B48" s="4" t="s">
        <v>95</v>
      </c>
      <c r="C48" s="4">
        <v>38</v>
      </c>
      <c r="D48" s="4">
        <v>38</v>
      </c>
      <c r="E48" s="4">
        <v>38</v>
      </c>
      <c r="F48" s="4">
        <v>38</v>
      </c>
      <c r="G48" s="4">
        <v>38</v>
      </c>
      <c r="H48" s="4">
        <v>38</v>
      </c>
      <c r="I48" s="4">
        <v>38</v>
      </c>
      <c r="J48" s="4">
        <v>38</v>
      </c>
    </row>
    <row r="49" spans="1:10" x14ac:dyDescent="0.25">
      <c r="A49" s="4" t="s">
        <v>333</v>
      </c>
      <c r="B49" s="4" t="s">
        <v>17</v>
      </c>
      <c r="C49" s="4">
        <v>16.25</v>
      </c>
      <c r="D49" s="4">
        <v>15.892857142857142</v>
      </c>
      <c r="E49" s="4">
        <v>15.535714285714286</v>
      </c>
      <c r="F49" s="4">
        <v>15.178571428571429</v>
      </c>
      <c r="G49" s="4">
        <v>14.821428571428573</v>
      </c>
      <c r="H49" s="4">
        <v>14.464285714285715</v>
      </c>
      <c r="I49" s="4">
        <v>14.107142857142859</v>
      </c>
      <c r="J49" s="4">
        <v>13.75</v>
      </c>
    </row>
    <row r="50" spans="1:10" x14ac:dyDescent="0.25">
      <c r="A50" s="4" t="s">
        <v>333</v>
      </c>
      <c r="B50" s="4" t="s">
        <v>18</v>
      </c>
      <c r="C50" s="4">
        <v>94.5</v>
      </c>
      <c r="D50" s="4">
        <v>91.350000000000009</v>
      </c>
      <c r="E50" s="4">
        <v>84.5</v>
      </c>
      <c r="F50" s="4">
        <v>77.899999999999991</v>
      </c>
      <c r="G50" s="4">
        <v>71.099999999999994</v>
      </c>
      <c r="H50" s="4">
        <v>64.600000000000009</v>
      </c>
      <c r="I50" s="4">
        <v>64.175000000000011</v>
      </c>
      <c r="J50" s="4">
        <v>60</v>
      </c>
    </row>
    <row r="51" spans="1:10" x14ac:dyDescent="0.25">
      <c r="A51" s="4" t="s">
        <v>333</v>
      </c>
      <c r="B51" s="4" t="s">
        <v>50</v>
      </c>
      <c r="C51" s="4">
        <v>6.96</v>
      </c>
      <c r="D51" s="4">
        <v>6.81</v>
      </c>
      <c r="E51" s="4">
        <v>6.66</v>
      </c>
      <c r="F51" s="4">
        <v>6.51</v>
      </c>
      <c r="G51" s="4">
        <v>6.36</v>
      </c>
      <c r="H51" s="4">
        <v>6.21</v>
      </c>
      <c r="I51" s="4">
        <v>6.0600000000000005</v>
      </c>
      <c r="J51" s="4">
        <v>5.91</v>
      </c>
    </row>
    <row r="52" spans="1:10" x14ac:dyDescent="0.25">
      <c r="A52" s="4" t="s">
        <v>333</v>
      </c>
      <c r="B52" s="4" t="s">
        <v>153</v>
      </c>
      <c r="C52" s="4">
        <v>63.58</v>
      </c>
      <c r="D52" s="4">
        <v>57.639999999999993</v>
      </c>
      <c r="E52" s="4">
        <v>54.889999999999993</v>
      </c>
      <c r="F52" s="4">
        <v>52.139999999999993</v>
      </c>
      <c r="G52" s="4">
        <v>49.72</v>
      </c>
      <c r="H52" s="4">
        <v>47.3</v>
      </c>
      <c r="I52" s="4">
        <v>45.099999999999994</v>
      </c>
      <c r="J52" s="4">
        <v>42.9</v>
      </c>
    </row>
    <row r="53" spans="1:10" x14ac:dyDescent="0.25">
      <c r="A53" s="4" t="s">
        <v>333</v>
      </c>
      <c r="B53" s="4" t="s">
        <v>126</v>
      </c>
      <c r="C53" s="4">
        <v>0.38914804469273756</v>
      </c>
      <c r="D53" s="4">
        <v>0.37904030327214694</v>
      </c>
      <c r="E53" s="4">
        <v>0.36893256185155632</v>
      </c>
      <c r="F53" s="4">
        <v>0.35882482043096575</v>
      </c>
      <c r="G53" s="4">
        <v>0.34871707901037513</v>
      </c>
      <c r="H53" s="4">
        <v>0.33860933758978451</v>
      </c>
      <c r="I53" s="4">
        <v>0.32850159616919394</v>
      </c>
      <c r="J53" s="4">
        <v>0.31839385474860338</v>
      </c>
    </row>
    <row r="54" spans="1:10" x14ac:dyDescent="0.25">
      <c r="A54" s="4" t="s">
        <v>333</v>
      </c>
      <c r="B54" s="4" t="s">
        <v>54</v>
      </c>
      <c r="C54" s="4">
        <v>0.35377094972067041</v>
      </c>
      <c r="D54" s="4">
        <v>0.34871707901037508</v>
      </c>
      <c r="E54" s="4">
        <v>0.34366320830007979</v>
      </c>
      <c r="F54" s="4">
        <v>0.33860933758978451</v>
      </c>
      <c r="G54" s="4">
        <v>0.33355546687948923</v>
      </c>
      <c r="H54" s="4">
        <v>0.32850159616919394</v>
      </c>
      <c r="I54" s="4">
        <v>0.32344772545889866</v>
      </c>
      <c r="J54" s="4">
        <v>0.31839385474860338</v>
      </c>
    </row>
    <row r="55" spans="1:10" x14ac:dyDescent="0.25">
      <c r="A55" s="4" t="s">
        <v>333</v>
      </c>
      <c r="B55" s="4" t="s">
        <v>127</v>
      </c>
      <c r="C55" s="4">
        <v>0.63678770949720676</v>
      </c>
      <c r="D55" s="4">
        <v>0.59585135674381484</v>
      </c>
      <c r="E55" s="4">
        <v>0.55491500399042304</v>
      </c>
      <c r="F55" s="4">
        <v>0.51397865123703113</v>
      </c>
      <c r="G55" s="4">
        <v>0.47304229848363932</v>
      </c>
      <c r="H55" s="4">
        <v>0.43210594573024741</v>
      </c>
      <c r="I55" s="4">
        <v>0.39116959297685561</v>
      </c>
      <c r="J55" s="4">
        <v>0.3502332402234638</v>
      </c>
    </row>
    <row r="56" spans="1:10" x14ac:dyDescent="0.25">
      <c r="A56" s="4" t="s">
        <v>333</v>
      </c>
      <c r="B56" s="4" t="s">
        <v>121</v>
      </c>
      <c r="C56" s="4">
        <v>0.20923913043478259</v>
      </c>
      <c r="D56" s="4">
        <v>0.20624999999999996</v>
      </c>
      <c r="E56" s="4">
        <v>0.20326086956521738</v>
      </c>
      <c r="F56" s="4">
        <v>0.20027173913043478</v>
      </c>
      <c r="G56" s="4">
        <v>0.19728260869565217</v>
      </c>
      <c r="H56" s="4">
        <v>0.19429347826086954</v>
      </c>
      <c r="I56" s="4">
        <v>0.19130434782608696</v>
      </c>
      <c r="J56" s="4">
        <v>0.18831521739130436</v>
      </c>
    </row>
    <row r="57" spans="1:10" x14ac:dyDescent="0.25">
      <c r="A57" s="4" t="s">
        <v>333</v>
      </c>
      <c r="B57" s="4" t="s">
        <v>122</v>
      </c>
      <c r="C57" s="4">
        <v>0.29891304347826092</v>
      </c>
      <c r="D57" s="4">
        <v>0.29464285714285715</v>
      </c>
      <c r="E57" s="4">
        <v>0.29037267080745338</v>
      </c>
      <c r="F57" s="4">
        <v>0.28610248447204967</v>
      </c>
      <c r="G57" s="4">
        <v>0.28183229813664595</v>
      </c>
      <c r="H57" s="4">
        <v>0.27756211180124224</v>
      </c>
      <c r="I57" s="4">
        <v>0.27329192546583847</v>
      </c>
      <c r="J57" s="4">
        <v>0.26902173913043476</v>
      </c>
    </row>
    <row r="58" spans="1:10" x14ac:dyDescent="0.25">
      <c r="A58" s="4" t="s">
        <v>333</v>
      </c>
      <c r="B58" s="4" t="s">
        <v>56</v>
      </c>
      <c r="C58" s="4">
        <v>3.8666666666666671</v>
      </c>
      <c r="D58" s="4">
        <v>3.5673877551020414</v>
      </c>
      <c r="E58" s="4">
        <v>3.2681088435374157</v>
      </c>
      <c r="F58" s="4">
        <v>2.9688299319727895</v>
      </c>
      <c r="G58" s="4">
        <v>2.6695510204081638</v>
      </c>
      <c r="H58" s="4">
        <v>2.3702721088435377</v>
      </c>
      <c r="I58" s="4">
        <v>2.0709931972789115</v>
      </c>
      <c r="J58" s="4">
        <v>1.7717142857142858</v>
      </c>
    </row>
    <row r="59" spans="1:10" x14ac:dyDescent="0.25">
      <c r="A59" s="4" t="s">
        <v>333</v>
      </c>
      <c r="B59" s="4" t="s">
        <v>116</v>
      </c>
      <c r="C59" s="4">
        <v>7.333333333333333</v>
      </c>
      <c r="D59" s="4">
        <v>6.4898448979591823</v>
      </c>
      <c r="E59" s="4">
        <v>5.6463564625850342</v>
      </c>
      <c r="F59" s="4">
        <v>4.8028680272108843</v>
      </c>
      <c r="G59" s="4">
        <v>3.9593795918367345</v>
      </c>
      <c r="H59" s="4">
        <v>3.1158911564625846</v>
      </c>
      <c r="I59" s="4">
        <v>2.2724027210884352</v>
      </c>
      <c r="J59" s="4">
        <v>1.4289142857142858</v>
      </c>
    </row>
    <row r="60" spans="1:10" x14ac:dyDescent="0.25">
      <c r="A60" s="4" t="s">
        <v>333</v>
      </c>
      <c r="B60" s="4" t="s">
        <v>55</v>
      </c>
      <c r="C60" s="4">
        <v>2.4000000000000004</v>
      </c>
      <c r="D60" s="4">
        <v>2.2001224489795916</v>
      </c>
      <c r="E60" s="4">
        <v>2.0002448979591838</v>
      </c>
      <c r="F60" s="4">
        <v>1.8003673469387758</v>
      </c>
      <c r="G60" s="4">
        <v>1.6004897959183673</v>
      </c>
      <c r="H60" s="4">
        <v>1.4006122448979594</v>
      </c>
      <c r="I60" s="4">
        <v>1.2007346938775512</v>
      </c>
      <c r="J60" s="4">
        <v>1.0008571428571429</v>
      </c>
    </row>
    <row r="61" spans="1:10" x14ac:dyDescent="0.25">
      <c r="A61" s="4" t="s">
        <v>333</v>
      </c>
      <c r="B61" s="4" t="s">
        <v>117</v>
      </c>
      <c r="C61" s="4">
        <v>3.6</v>
      </c>
      <c r="D61" s="4">
        <v>3.2760489795918368</v>
      </c>
      <c r="E61" s="4">
        <v>2.9520979591836736</v>
      </c>
      <c r="F61" s="4">
        <v>2.6281469387755099</v>
      </c>
      <c r="G61" s="4">
        <v>2.3041959183673471</v>
      </c>
      <c r="H61" s="4">
        <v>1.9802448979591838</v>
      </c>
      <c r="I61" s="4">
        <v>1.6562938775510205</v>
      </c>
      <c r="J61" s="4">
        <v>1.3323428571428573</v>
      </c>
    </row>
    <row r="62" spans="1:10" x14ac:dyDescent="0.25">
      <c r="A62" s="4" t="s">
        <v>333</v>
      </c>
      <c r="B62" s="4" t="s">
        <v>148</v>
      </c>
      <c r="C62" s="4"/>
      <c r="D62" s="4"/>
      <c r="E62" s="4"/>
      <c r="F62" s="4"/>
      <c r="G62" s="4"/>
      <c r="H62" s="4"/>
      <c r="I62" s="4"/>
      <c r="J62" s="4"/>
    </row>
    <row r="63" spans="1:10" x14ac:dyDescent="0.25">
      <c r="A63" s="4" t="s">
        <v>333</v>
      </c>
      <c r="B63" s="4" t="s">
        <v>89</v>
      </c>
      <c r="C63" s="4">
        <v>193.49599999999995</v>
      </c>
      <c r="D63" s="4">
        <v>188.404</v>
      </c>
      <c r="E63" s="4">
        <v>183.31199999999998</v>
      </c>
      <c r="F63" s="4">
        <v>178.21999999999997</v>
      </c>
      <c r="G63" s="4">
        <v>170.58199999999999</v>
      </c>
      <c r="H63" s="4">
        <v>162.94400000000002</v>
      </c>
      <c r="I63" s="4">
        <v>156.57900000000001</v>
      </c>
      <c r="J63" s="4">
        <v>152.76</v>
      </c>
    </row>
    <row r="64" spans="1:10" x14ac:dyDescent="0.25">
      <c r="A64" s="4" t="s">
        <v>333</v>
      </c>
      <c r="B64" s="4" t="s">
        <v>90</v>
      </c>
      <c r="C64" s="4">
        <v>217.49599999999998</v>
      </c>
      <c r="D64" s="4">
        <v>200.404</v>
      </c>
      <c r="E64" s="4">
        <v>191.31199999999998</v>
      </c>
      <c r="F64" s="4">
        <v>184.21999999999997</v>
      </c>
      <c r="G64" s="4">
        <v>175.38199999999998</v>
      </c>
      <c r="H64" s="4">
        <v>166.94400000000002</v>
      </c>
      <c r="I64" s="4">
        <v>159.97899999999998</v>
      </c>
      <c r="J64" s="4">
        <v>155.76</v>
      </c>
    </row>
    <row r="65" spans="1:10" x14ac:dyDescent="0.25">
      <c r="A65" s="4" t="s">
        <v>333</v>
      </c>
      <c r="B65" s="4" t="s">
        <v>94</v>
      </c>
      <c r="C65" s="4">
        <v>80</v>
      </c>
      <c r="D65" s="4">
        <v>80</v>
      </c>
      <c r="E65" s="4">
        <v>80</v>
      </c>
      <c r="F65" s="4">
        <v>80</v>
      </c>
      <c r="G65" s="4">
        <v>80</v>
      </c>
      <c r="H65" s="4">
        <v>80</v>
      </c>
      <c r="I65" s="4">
        <v>80</v>
      </c>
      <c r="J65" s="4">
        <v>80</v>
      </c>
    </row>
    <row r="66" spans="1:10" x14ac:dyDescent="0.25">
      <c r="A66" s="4" t="s">
        <v>333</v>
      </c>
      <c r="B66" s="4" t="s">
        <v>91</v>
      </c>
      <c r="C66" s="4">
        <v>22</v>
      </c>
      <c r="D66" s="4">
        <v>22</v>
      </c>
      <c r="E66" s="4">
        <v>22</v>
      </c>
      <c r="F66" s="4">
        <v>22</v>
      </c>
      <c r="G66" s="4">
        <v>22</v>
      </c>
      <c r="H66" s="4">
        <v>22</v>
      </c>
      <c r="I66" s="4">
        <v>22</v>
      </c>
      <c r="J66" s="4">
        <v>22</v>
      </c>
    </row>
    <row r="67" spans="1:10" x14ac:dyDescent="0.25">
      <c r="A67" s="4" t="s">
        <v>333</v>
      </c>
      <c r="B67" s="4" t="s">
        <v>92</v>
      </c>
      <c r="C67" s="4">
        <v>66</v>
      </c>
      <c r="D67" s="4">
        <v>66</v>
      </c>
      <c r="E67" s="4">
        <v>66</v>
      </c>
      <c r="F67" s="4">
        <v>66</v>
      </c>
      <c r="G67" s="4">
        <v>66</v>
      </c>
      <c r="H67" s="4">
        <v>66</v>
      </c>
      <c r="I67" s="4">
        <v>66</v>
      </c>
      <c r="J67" s="4">
        <v>66</v>
      </c>
    </row>
    <row r="68" spans="1:10" x14ac:dyDescent="0.25">
      <c r="A68" s="4" t="s">
        <v>333</v>
      </c>
      <c r="B68" s="4" t="s">
        <v>93</v>
      </c>
      <c r="C68" s="4">
        <v>336.26</v>
      </c>
      <c r="D68" s="4">
        <v>183.42</v>
      </c>
      <c r="E68" s="4">
        <v>164.3725</v>
      </c>
      <c r="F68" s="4">
        <v>144.02000000000001</v>
      </c>
      <c r="G68" s="4">
        <v>127.92375000000001</v>
      </c>
      <c r="H68" s="4">
        <v>102.125</v>
      </c>
      <c r="I68" s="4">
        <v>102.925</v>
      </c>
      <c r="J68" s="4">
        <v>102.9</v>
      </c>
    </row>
    <row r="69" spans="1:10" x14ac:dyDescent="0.25">
      <c r="A69" s="4" t="s">
        <v>333</v>
      </c>
      <c r="B69" s="4" t="s">
        <v>161</v>
      </c>
      <c r="C69" s="4">
        <v>27.5</v>
      </c>
      <c r="D69" s="4">
        <v>22.5</v>
      </c>
      <c r="E69" s="4">
        <v>21.375</v>
      </c>
      <c r="F69" s="4">
        <v>20.25</v>
      </c>
      <c r="G69" s="4">
        <v>19.625</v>
      </c>
      <c r="H69" s="4">
        <v>19</v>
      </c>
      <c r="I69" s="4">
        <v>18.5</v>
      </c>
      <c r="J69" s="4">
        <v>18</v>
      </c>
    </row>
    <row r="70" spans="1:10" x14ac:dyDescent="0.25">
      <c r="A70" s="4" t="s">
        <v>333</v>
      </c>
      <c r="B70" s="4" t="s">
        <v>162</v>
      </c>
      <c r="C70" s="4">
        <v>26.2</v>
      </c>
      <c r="D70" s="4">
        <v>22</v>
      </c>
      <c r="E70" s="4">
        <v>20.900000000000002</v>
      </c>
      <c r="F70" s="4">
        <v>19.8</v>
      </c>
      <c r="G70" s="4">
        <v>19.2</v>
      </c>
      <c r="H70" s="4">
        <v>18.600000000000001</v>
      </c>
      <c r="I70" s="4">
        <v>18.100000000000001</v>
      </c>
      <c r="J70" s="4">
        <v>17.600000000000001</v>
      </c>
    </row>
    <row r="71" spans="1:10" x14ac:dyDescent="0.25">
      <c r="A71" s="4" t="s">
        <v>333</v>
      </c>
      <c r="B71" s="4" t="s">
        <v>83</v>
      </c>
      <c r="C71" s="4">
        <v>17.34</v>
      </c>
      <c r="D71" s="4">
        <v>10.378500000000001</v>
      </c>
      <c r="E71" s="4">
        <v>8.7380000000000013</v>
      </c>
      <c r="F71" s="4">
        <v>7.65</v>
      </c>
      <c r="G71" s="4">
        <v>6.4600000000000009</v>
      </c>
      <c r="H71" s="4">
        <v>5.5590000000000002</v>
      </c>
      <c r="I71" s="4">
        <v>5.0235000000000003</v>
      </c>
      <c r="J71" s="4">
        <v>4.5390000000000006</v>
      </c>
    </row>
    <row r="72" spans="1:10" x14ac:dyDescent="0.25">
      <c r="A72" s="4" t="s">
        <v>333</v>
      </c>
      <c r="B72" s="4" t="s">
        <v>82</v>
      </c>
      <c r="C72" s="4">
        <v>17.34</v>
      </c>
      <c r="D72" s="4">
        <v>10.378500000000001</v>
      </c>
      <c r="E72" s="4">
        <v>8.7380000000000013</v>
      </c>
      <c r="F72" s="4">
        <v>7.65</v>
      </c>
      <c r="G72" s="4">
        <v>6.4600000000000009</v>
      </c>
      <c r="H72" s="4">
        <v>5.5590000000000002</v>
      </c>
      <c r="I72" s="4">
        <v>5.0235000000000003</v>
      </c>
      <c r="J72" s="4">
        <v>4.5390000000000006</v>
      </c>
    </row>
    <row r="73" spans="1:10" x14ac:dyDescent="0.25">
      <c r="A73" s="4" t="s">
        <v>333</v>
      </c>
      <c r="B73" s="4" t="s">
        <v>84</v>
      </c>
      <c r="C73" s="4">
        <v>17.34</v>
      </c>
      <c r="D73" s="4">
        <v>10.378500000000001</v>
      </c>
      <c r="E73" s="4">
        <v>8.7380000000000013</v>
      </c>
      <c r="F73" s="4">
        <v>7.65</v>
      </c>
      <c r="G73" s="4">
        <v>6.4600000000000009</v>
      </c>
      <c r="H73" s="4">
        <v>5.5590000000000002</v>
      </c>
      <c r="I73" s="4">
        <v>5.0235000000000003</v>
      </c>
      <c r="J73" s="4">
        <v>4.5390000000000006</v>
      </c>
    </row>
    <row r="74" spans="1:10" x14ac:dyDescent="0.25">
      <c r="A74" s="4" t="s">
        <v>333</v>
      </c>
      <c r="B74" s="4" t="s">
        <v>154</v>
      </c>
      <c r="C74" s="4">
        <v>129.5</v>
      </c>
      <c r="D74" s="4">
        <v>84.373333333333335</v>
      </c>
      <c r="E74" s="4">
        <v>68.2</v>
      </c>
      <c r="F74" s="4">
        <v>58.08</v>
      </c>
      <c r="G74" s="4">
        <v>52.2</v>
      </c>
      <c r="H74" s="4">
        <v>47.88</v>
      </c>
      <c r="I74" s="4">
        <v>41.860799999999998</v>
      </c>
      <c r="J74" s="4">
        <v>36.624095999999994</v>
      </c>
    </row>
    <row r="75" spans="1:10" x14ac:dyDescent="0.25">
      <c r="A75" s="4" t="s">
        <v>333</v>
      </c>
      <c r="B75" s="4" t="s">
        <v>155</v>
      </c>
      <c r="C75" s="4">
        <v>110.07499999999999</v>
      </c>
      <c r="D75" s="4">
        <v>71.717333333333329</v>
      </c>
      <c r="E75" s="4">
        <v>57.97</v>
      </c>
      <c r="F75" s="4">
        <v>49.367999999999995</v>
      </c>
      <c r="G75" s="4">
        <v>44.370000000000005</v>
      </c>
      <c r="H75" s="4">
        <v>40.698</v>
      </c>
      <c r="I75" s="4">
        <v>35.581679999999999</v>
      </c>
      <c r="J75" s="4">
        <v>31.130481599999992</v>
      </c>
    </row>
    <row r="76" spans="1:10" x14ac:dyDescent="0.25">
      <c r="A76" s="4" t="s">
        <v>333</v>
      </c>
      <c r="B76" s="4" t="s">
        <v>156</v>
      </c>
      <c r="C76" s="4">
        <v>148.92499999999998</v>
      </c>
      <c r="D76" s="4">
        <v>97.029333333333312</v>
      </c>
      <c r="E76" s="4">
        <v>78.429999999999993</v>
      </c>
      <c r="F76" s="4">
        <v>66.791999999999987</v>
      </c>
      <c r="G76" s="4">
        <v>60.03</v>
      </c>
      <c r="H76" s="4">
        <v>55.061999999999998</v>
      </c>
      <c r="I76" s="4">
        <v>48.139919999999989</v>
      </c>
      <c r="J76" s="4">
        <v>42.117710399999993</v>
      </c>
    </row>
    <row r="77" spans="1:10" x14ac:dyDescent="0.25">
      <c r="A77" s="4" t="s">
        <v>333</v>
      </c>
      <c r="B77" s="4" t="s">
        <v>86</v>
      </c>
      <c r="C77" s="4">
        <v>25</v>
      </c>
      <c r="D77" s="4">
        <v>23</v>
      </c>
      <c r="E77" s="4">
        <v>21</v>
      </c>
      <c r="F77" s="4">
        <v>20</v>
      </c>
      <c r="G77" s="4">
        <v>19</v>
      </c>
      <c r="H77" s="4">
        <v>19</v>
      </c>
      <c r="I77" s="4">
        <v>18</v>
      </c>
      <c r="J77" s="4">
        <v>18</v>
      </c>
    </row>
    <row r="78" spans="1:10" x14ac:dyDescent="0.25">
      <c r="A78" s="4" t="s">
        <v>333</v>
      </c>
      <c r="B78" s="4" t="s">
        <v>85</v>
      </c>
      <c r="C78" s="4">
        <v>25</v>
      </c>
      <c r="D78" s="4">
        <v>23</v>
      </c>
      <c r="E78" s="4">
        <v>21</v>
      </c>
      <c r="F78" s="4">
        <v>20</v>
      </c>
      <c r="G78" s="4">
        <v>19</v>
      </c>
      <c r="H78" s="4">
        <v>19</v>
      </c>
      <c r="I78" s="4">
        <v>18</v>
      </c>
      <c r="J78" s="4">
        <v>18</v>
      </c>
    </row>
    <row r="79" spans="1:10" x14ac:dyDescent="0.25">
      <c r="A79" s="4" t="s">
        <v>333</v>
      </c>
      <c r="B79" s="4" t="s">
        <v>87</v>
      </c>
      <c r="C79" s="4">
        <v>25</v>
      </c>
      <c r="D79" s="4">
        <v>23</v>
      </c>
      <c r="E79" s="4">
        <v>21</v>
      </c>
      <c r="F79" s="4">
        <v>20</v>
      </c>
      <c r="G79" s="4">
        <v>19</v>
      </c>
      <c r="H79" s="4">
        <v>19</v>
      </c>
      <c r="I79" s="4">
        <v>18</v>
      </c>
      <c r="J79" s="4">
        <v>18</v>
      </c>
    </row>
    <row r="80" spans="1:10" x14ac:dyDescent="0.25">
      <c r="A80" s="4" t="s">
        <v>333</v>
      </c>
      <c r="B80" s="4" t="s">
        <v>114</v>
      </c>
      <c r="C80" s="4">
        <v>24</v>
      </c>
      <c r="D80" s="4">
        <v>20.55</v>
      </c>
      <c r="E80" s="4">
        <v>15</v>
      </c>
      <c r="F80" s="4">
        <v>10.889999999999999</v>
      </c>
      <c r="G80" s="4">
        <v>9.75</v>
      </c>
      <c r="H80" s="4">
        <v>8.879999999999999</v>
      </c>
      <c r="I80" s="4">
        <v>8.01</v>
      </c>
      <c r="J80" s="4">
        <v>7.4399999999999995</v>
      </c>
    </row>
    <row r="81" spans="1:10" x14ac:dyDescent="0.25">
      <c r="A81" s="4" t="s">
        <v>333</v>
      </c>
      <c r="B81" s="4" t="s">
        <v>115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</row>
    <row r="82" spans="1:10" x14ac:dyDescent="0.25">
      <c r="A82" s="4" t="s">
        <v>333</v>
      </c>
      <c r="B82" s="4" t="s">
        <v>152</v>
      </c>
      <c r="C82" s="4">
        <v>10</v>
      </c>
      <c r="D82" s="4">
        <v>8</v>
      </c>
      <c r="E82" s="4">
        <v>6</v>
      </c>
      <c r="F82" s="4">
        <v>5</v>
      </c>
      <c r="G82" s="4">
        <v>4</v>
      </c>
      <c r="H82" s="4">
        <v>4</v>
      </c>
      <c r="I82" s="4">
        <v>3</v>
      </c>
      <c r="J82" s="4">
        <v>3</v>
      </c>
    </row>
    <row r="83" spans="1:10" x14ac:dyDescent="0.25">
      <c r="A83" s="4" t="s">
        <v>333</v>
      </c>
      <c r="B83" s="4" t="s">
        <v>179</v>
      </c>
      <c r="C83" s="4">
        <v>120</v>
      </c>
      <c r="D83" s="4">
        <v>120</v>
      </c>
      <c r="E83" s="4">
        <v>120</v>
      </c>
      <c r="F83" s="4">
        <v>120</v>
      </c>
      <c r="G83" s="4">
        <v>120</v>
      </c>
      <c r="H83" s="4">
        <v>120</v>
      </c>
      <c r="I83" s="4">
        <v>120</v>
      </c>
      <c r="J83" s="4">
        <v>120</v>
      </c>
    </row>
    <row r="84" spans="1:10" x14ac:dyDescent="0.25">
      <c r="A84" s="4" t="s">
        <v>333</v>
      </c>
      <c r="B84" s="4" t="s">
        <v>182</v>
      </c>
      <c r="C84" s="4">
        <v>126.61499999999999</v>
      </c>
      <c r="D84" s="4">
        <v>113.85000000000001</v>
      </c>
      <c r="E84" s="4">
        <v>108.5025</v>
      </c>
      <c r="F84" s="4">
        <v>103.155</v>
      </c>
      <c r="G84" s="4">
        <v>99.015000000000015</v>
      </c>
      <c r="H84" s="4">
        <v>94.875</v>
      </c>
      <c r="I84" s="4">
        <v>91.252499999999998</v>
      </c>
      <c r="J84" s="4">
        <v>87.63</v>
      </c>
    </row>
    <row r="85" spans="1:10" x14ac:dyDescent="0.25">
      <c r="A85" s="4" t="s">
        <v>333</v>
      </c>
      <c r="B85" s="4" t="s">
        <v>183</v>
      </c>
      <c r="C85" s="4">
        <v>95.37</v>
      </c>
      <c r="D85" s="4">
        <v>86.46</v>
      </c>
      <c r="E85" s="4">
        <v>82.334999999999994</v>
      </c>
      <c r="F85" s="4">
        <v>78.209999999999994</v>
      </c>
      <c r="G85" s="4">
        <v>74.58</v>
      </c>
      <c r="H85" s="4">
        <v>70.949999999999989</v>
      </c>
      <c r="I85" s="4">
        <v>67.649999999999991</v>
      </c>
      <c r="J85" s="4">
        <v>64.349999999999994</v>
      </c>
    </row>
    <row r="86" spans="1:10" x14ac:dyDescent="0.25">
      <c r="A86" s="4" t="s">
        <v>333</v>
      </c>
      <c r="B86" s="4" t="s">
        <v>207</v>
      </c>
      <c r="C86" s="4">
        <v>6.8250000000000011</v>
      </c>
      <c r="D86" s="4">
        <v>6.8250000000000011</v>
      </c>
      <c r="E86" s="4">
        <v>6.8250000000000011</v>
      </c>
      <c r="F86" s="4">
        <v>6.8250000000000011</v>
      </c>
      <c r="G86" s="4">
        <v>6.8250000000000011</v>
      </c>
      <c r="H86" s="4">
        <v>6.8250000000000011</v>
      </c>
      <c r="I86" s="4">
        <v>6.8250000000000011</v>
      </c>
      <c r="J86" s="4">
        <v>6.8250000000000011</v>
      </c>
    </row>
    <row r="87" spans="1:10" x14ac:dyDescent="0.25">
      <c r="A87" s="4" t="s">
        <v>333</v>
      </c>
      <c r="B87" s="4" t="s">
        <v>194</v>
      </c>
      <c r="C87" s="4">
        <v>34.177500000000002</v>
      </c>
      <c r="D87" s="4">
        <v>34.177500000000002</v>
      </c>
      <c r="E87" s="4">
        <v>34.177500000000002</v>
      </c>
      <c r="F87" s="4">
        <v>34.177500000000002</v>
      </c>
      <c r="G87" s="4">
        <v>34.177500000000002</v>
      </c>
      <c r="H87" s="4">
        <v>34.177500000000002</v>
      </c>
      <c r="I87" s="4">
        <v>34.177500000000002</v>
      </c>
      <c r="J87" s="4">
        <v>34.177500000000002</v>
      </c>
    </row>
    <row r="88" spans="1:10" x14ac:dyDescent="0.25">
      <c r="A88" s="4" t="s">
        <v>333</v>
      </c>
      <c r="B88" s="4" t="s">
        <v>189</v>
      </c>
      <c r="C88" s="4">
        <v>101.15</v>
      </c>
      <c r="D88" s="4">
        <v>91.7</v>
      </c>
      <c r="E88" s="4">
        <v>87.325000000000003</v>
      </c>
      <c r="F88" s="4">
        <v>82.95</v>
      </c>
      <c r="G88" s="4">
        <v>79.100000000000009</v>
      </c>
      <c r="H88" s="4">
        <v>75.250000000000014</v>
      </c>
      <c r="I88" s="4">
        <v>71.75</v>
      </c>
      <c r="J88" s="4">
        <v>68.25</v>
      </c>
    </row>
    <row r="89" spans="1:10" x14ac:dyDescent="0.25">
      <c r="A89" s="4" t="s">
        <v>333</v>
      </c>
      <c r="B89" s="4" t="s">
        <v>193</v>
      </c>
      <c r="C89" s="4">
        <v>128.45000000000002</v>
      </c>
      <c r="D89" s="4">
        <v>115.50000000000001</v>
      </c>
      <c r="E89" s="4">
        <v>110.07500000000002</v>
      </c>
      <c r="F89" s="4">
        <v>104.65</v>
      </c>
      <c r="G89" s="4">
        <v>100.45</v>
      </c>
      <c r="H89" s="4">
        <v>96.250000000000014</v>
      </c>
      <c r="I89" s="4">
        <v>92.575000000000003</v>
      </c>
      <c r="J89" s="4">
        <v>88.9</v>
      </c>
    </row>
    <row r="90" spans="1:10" x14ac:dyDescent="0.25">
      <c r="A90" s="4" t="s">
        <v>333</v>
      </c>
      <c r="B90" s="4" t="s">
        <v>190</v>
      </c>
      <c r="C90" s="4">
        <v>56.000000000000007</v>
      </c>
      <c r="D90" s="4">
        <v>56.000000000000007</v>
      </c>
      <c r="E90" s="4">
        <v>56.000000000000007</v>
      </c>
      <c r="F90" s="4">
        <v>56.000000000000007</v>
      </c>
      <c r="G90" s="4">
        <v>56.000000000000007</v>
      </c>
      <c r="H90" s="4">
        <v>56.000000000000007</v>
      </c>
      <c r="I90" s="4">
        <v>56.000000000000007</v>
      </c>
      <c r="J90" s="4">
        <v>56.000000000000007</v>
      </c>
    </row>
    <row r="91" spans="1:10" x14ac:dyDescent="0.25">
      <c r="A91" s="4" t="s">
        <v>333</v>
      </c>
      <c r="B91" s="4" t="s">
        <v>191</v>
      </c>
      <c r="C91" s="4">
        <v>70</v>
      </c>
      <c r="D91" s="4">
        <v>70</v>
      </c>
      <c r="E91" s="4">
        <v>70</v>
      </c>
      <c r="F91" s="4">
        <v>70</v>
      </c>
      <c r="G91" s="4">
        <v>70</v>
      </c>
      <c r="H91" s="4">
        <v>70</v>
      </c>
      <c r="I91" s="4">
        <v>70</v>
      </c>
      <c r="J91" s="4">
        <v>70</v>
      </c>
    </row>
    <row r="92" spans="1:10" x14ac:dyDescent="0.25">
      <c r="A92" s="4" t="s">
        <v>333</v>
      </c>
      <c r="B92" s="4" t="s">
        <v>192</v>
      </c>
      <c r="C92" s="4">
        <v>71.050000000000011</v>
      </c>
      <c r="D92" s="4">
        <v>71.050000000000011</v>
      </c>
      <c r="E92" s="4">
        <v>71.050000000000011</v>
      </c>
      <c r="F92" s="4">
        <v>71.050000000000011</v>
      </c>
      <c r="G92" s="4">
        <v>71.050000000000011</v>
      </c>
      <c r="H92" s="4">
        <v>71.050000000000011</v>
      </c>
      <c r="I92" s="4">
        <v>71.050000000000011</v>
      </c>
      <c r="J92" s="4">
        <v>71.050000000000011</v>
      </c>
    </row>
    <row r="93" spans="1:10" x14ac:dyDescent="0.25">
      <c r="A93" s="4" t="s">
        <v>333</v>
      </c>
      <c r="B93" s="4" t="s">
        <v>215</v>
      </c>
      <c r="C93" s="4">
        <v>71.050000000000011</v>
      </c>
      <c r="D93" s="4">
        <v>71.050000000000011</v>
      </c>
      <c r="E93" s="4">
        <v>71.050000000000011</v>
      </c>
      <c r="F93" s="4">
        <v>71.050000000000011</v>
      </c>
      <c r="G93" s="4">
        <v>71.050000000000011</v>
      </c>
      <c r="H93" s="4">
        <v>71.050000000000011</v>
      </c>
      <c r="I93" s="4">
        <v>71.050000000000011</v>
      </c>
      <c r="J93" s="4">
        <v>71.050000000000011</v>
      </c>
    </row>
    <row r="94" spans="1:10" x14ac:dyDescent="0.25">
      <c r="A94" s="4" t="s">
        <v>333</v>
      </c>
      <c r="B94" s="4" t="s">
        <v>216</v>
      </c>
      <c r="C94" s="4">
        <v>28.000000000000004</v>
      </c>
      <c r="D94" s="4">
        <v>28.000000000000004</v>
      </c>
      <c r="E94" s="4">
        <v>28.000000000000004</v>
      </c>
      <c r="F94" s="4">
        <v>28.000000000000004</v>
      </c>
      <c r="G94" s="4">
        <v>28.000000000000004</v>
      </c>
      <c r="H94" s="4">
        <v>28.000000000000004</v>
      </c>
      <c r="I94" s="4">
        <v>28.000000000000004</v>
      </c>
      <c r="J94" s="4">
        <v>28.000000000000004</v>
      </c>
    </row>
    <row r="95" spans="1:10" x14ac:dyDescent="0.25">
      <c r="A95" s="4" t="s">
        <v>333</v>
      </c>
      <c r="B95" s="4" t="s">
        <v>217</v>
      </c>
      <c r="C95" s="4">
        <v>27.055000000000003</v>
      </c>
      <c r="D95" s="4">
        <v>27.055000000000003</v>
      </c>
      <c r="E95" s="4">
        <v>27.055000000000003</v>
      </c>
      <c r="F95" s="4">
        <v>27.055000000000003</v>
      </c>
      <c r="G95" s="4">
        <v>27.055000000000003</v>
      </c>
      <c r="H95" s="4">
        <v>27.055000000000003</v>
      </c>
      <c r="I95" s="4">
        <v>27.055000000000003</v>
      </c>
      <c r="J95" s="4">
        <v>27.055000000000003</v>
      </c>
    </row>
    <row r="96" spans="1:10" x14ac:dyDescent="0.25">
      <c r="A96" s="4" t="s">
        <v>333</v>
      </c>
      <c r="B96" s="4" t="s">
        <v>218</v>
      </c>
      <c r="C96" s="4">
        <v>28.000000000000004</v>
      </c>
      <c r="D96" s="4">
        <v>27.300000000000004</v>
      </c>
      <c r="E96" s="4">
        <v>26.425000000000004</v>
      </c>
      <c r="F96" s="4">
        <v>25.55</v>
      </c>
      <c r="G96" s="4">
        <v>24.85</v>
      </c>
      <c r="H96" s="4">
        <v>24.150000000000002</v>
      </c>
      <c r="I96" s="4">
        <v>23.450000000000003</v>
      </c>
      <c r="J96" s="4">
        <v>22.750000000000004</v>
      </c>
    </row>
    <row r="97" spans="1:10" x14ac:dyDescent="0.25">
      <c r="A97" s="4" t="s">
        <v>333</v>
      </c>
      <c r="B97" s="4" t="s">
        <v>219</v>
      </c>
      <c r="C97" s="4">
        <v>34</v>
      </c>
      <c r="D97" s="4">
        <v>33</v>
      </c>
      <c r="E97" s="4">
        <v>24</v>
      </c>
      <c r="F97" s="4">
        <v>15.5</v>
      </c>
      <c r="G97" s="4">
        <v>15.05</v>
      </c>
      <c r="H97" s="4">
        <v>14.6</v>
      </c>
      <c r="I97" s="4">
        <v>14.15</v>
      </c>
      <c r="J97" s="4">
        <v>13.700000000000001</v>
      </c>
    </row>
    <row r="98" spans="1:10" x14ac:dyDescent="0.25">
      <c r="A98" s="4" t="s">
        <v>333</v>
      </c>
      <c r="B98" s="4" t="s">
        <v>198</v>
      </c>
      <c r="C98" s="4">
        <v>183.75000000000003</v>
      </c>
      <c r="D98" s="4">
        <v>173.95000000000002</v>
      </c>
      <c r="E98" s="4">
        <v>165.20000000000002</v>
      </c>
      <c r="F98" s="4">
        <v>156.45000000000002</v>
      </c>
      <c r="G98" s="4">
        <v>148.57500000000002</v>
      </c>
      <c r="H98" s="4">
        <v>140.70000000000002</v>
      </c>
      <c r="I98" s="4">
        <v>133.52500000000001</v>
      </c>
      <c r="J98" s="4">
        <v>126.35000000000001</v>
      </c>
    </row>
    <row r="99" spans="1:10" x14ac:dyDescent="0.25">
      <c r="A99" s="4" t="s">
        <v>333</v>
      </c>
      <c r="B99" s="4" t="s">
        <v>208</v>
      </c>
      <c r="C99" s="4">
        <v>17.325000000000003</v>
      </c>
      <c r="D99" s="4">
        <v>17.325000000000003</v>
      </c>
      <c r="E99" s="4">
        <v>17.325000000000003</v>
      </c>
      <c r="F99" s="4">
        <v>17.325000000000003</v>
      </c>
      <c r="G99" s="4">
        <v>17.325000000000003</v>
      </c>
      <c r="H99" s="4">
        <v>17.325000000000003</v>
      </c>
      <c r="I99" s="4">
        <v>17.325000000000003</v>
      </c>
      <c r="J99" s="4">
        <v>17.325000000000003</v>
      </c>
    </row>
    <row r="100" spans="1:10" x14ac:dyDescent="0.25">
      <c r="A100" s="4" t="s">
        <v>333</v>
      </c>
      <c r="B100" s="4" t="s">
        <v>209</v>
      </c>
      <c r="C100" s="4">
        <v>6.8250000000000011</v>
      </c>
      <c r="D100" s="4">
        <v>6.8250000000000011</v>
      </c>
      <c r="E100" s="4">
        <v>6.8250000000000011</v>
      </c>
      <c r="F100" s="4">
        <v>6.8250000000000011</v>
      </c>
      <c r="G100" s="4">
        <v>6.8250000000000011</v>
      </c>
      <c r="H100" s="4">
        <v>6.8250000000000011</v>
      </c>
      <c r="I100" s="4">
        <v>6.8250000000000011</v>
      </c>
      <c r="J100" s="4">
        <v>6.8250000000000011</v>
      </c>
    </row>
    <row r="101" spans="1:10" x14ac:dyDescent="0.25">
      <c r="A101" s="4" t="s">
        <v>333</v>
      </c>
      <c r="B101" s="4" t="s">
        <v>199</v>
      </c>
      <c r="C101" s="4">
        <v>17.010000000000002</v>
      </c>
      <c r="D101" s="4">
        <v>17.010000000000002</v>
      </c>
      <c r="E101" s="4">
        <v>17.010000000000002</v>
      </c>
      <c r="F101" s="4">
        <v>17.010000000000002</v>
      </c>
      <c r="G101" s="4">
        <v>17.010000000000002</v>
      </c>
      <c r="H101" s="4">
        <v>17.010000000000002</v>
      </c>
      <c r="I101" s="4">
        <v>17.010000000000002</v>
      </c>
      <c r="J101" s="4">
        <v>17.010000000000002</v>
      </c>
    </row>
    <row r="102" spans="1:10" x14ac:dyDescent="0.25">
      <c r="A102" s="4" t="s">
        <v>333</v>
      </c>
      <c r="B102" s="4" t="s">
        <v>200</v>
      </c>
      <c r="C102" s="4">
        <v>101.15</v>
      </c>
      <c r="D102" s="4">
        <v>91.7</v>
      </c>
      <c r="E102" s="4">
        <v>87.325000000000003</v>
      </c>
      <c r="F102" s="4">
        <v>82.95</v>
      </c>
      <c r="G102" s="4">
        <v>79.100000000000009</v>
      </c>
      <c r="H102" s="4">
        <v>75.250000000000014</v>
      </c>
      <c r="I102" s="4">
        <v>71.75</v>
      </c>
      <c r="J102" s="4">
        <v>68.25</v>
      </c>
    </row>
    <row r="103" spans="1:10" x14ac:dyDescent="0.25">
      <c r="A103" s="4" t="s">
        <v>333</v>
      </c>
      <c r="B103" s="4" t="s">
        <v>201</v>
      </c>
      <c r="C103" s="4">
        <v>128.45000000000002</v>
      </c>
      <c r="D103" s="4">
        <v>115.50000000000001</v>
      </c>
      <c r="E103" s="4">
        <v>110.07500000000002</v>
      </c>
      <c r="F103" s="4">
        <v>104.65</v>
      </c>
      <c r="G103" s="4">
        <v>100.45</v>
      </c>
      <c r="H103" s="4">
        <v>96.250000000000014</v>
      </c>
      <c r="I103" s="4">
        <v>92.575000000000003</v>
      </c>
      <c r="J103" s="4">
        <v>88.9</v>
      </c>
    </row>
    <row r="104" spans="1:10" x14ac:dyDescent="0.25">
      <c r="A104" s="4" t="s">
        <v>333</v>
      </c>
      <c r="B104" s="4" t="s">
        <v>202</v>
      </c>
      <c r="C104" s="4">
        <v>56.000000000000007</v>
      </c>
      <c r="D104" s="4">
        <v>56.000000000000007</v>
      </c>
      <c r="E104" s="4">
        <v>56.000000000000007</v>
      </c>
      <c r="F104" s="4">
        <v>56.000000000000007</v>
      </c>
      <c r="G104" s="4">
        <v>56.000000000000007</v>
      </c>
      <c r="H104" s="4">
        <v>56.000000000000007</v>
      </c>
      <c r="I104" s="4">
        <v>56.000000000000007</v>
      </c>
      <c r="J104" s="4">
        <v>56.000000000000007</v>
      </c>
    </row>
    <row r="105" spans="1:10" x14ac:dyDescent="0.25">
      <c r="A105" s="4" t="s">
        <v>333</v>
      </c>
      <c r="B105" s="4" t="s">
        <v>203</v>
      </c>
      <c r="C105" s="4">
        <v>70</v>
      </c>
      <c r="D105" s="4">
        <v>70</v>
      </c>
      <c r="E105" s="4">
        <v>70</v>
      </c>
      <c r="F105" s="4">
        <v>70</v>
      </c>
      <c r="G105" s="4">
        <v>70</v>
      </c>
      <c r="H105" s="4">
        <v>70</v>
      </c>
      <c r="I105" s="4">
        <v>70</v>
      </c>
      <c r="J105" s="4">
        <v>70</v>
      </c>
    </row>
    <row r="106" spans="1:10" x14ac:dyDescent="0.25">
      <c r="A106" s="4" t="s">
        <v>333</v>
      </c>
      <c r="B106" s="4" t="s">
        <v>204</v>
      </c>
      <c r="C106" s="4">
        <v>71.050000000000011</v>
      </c>
      <c r="D106" s="4">
        <v>71.050000000000011</v>
      </c>
      <c r="E106" s="4">
        <v>71.050000000000011</v>
      </c>
      <c r="F106" s="4">
        <v>71.050000000000011</v>
      </c>
      <c r="G106" s="4">
        <v>71.050000000000011</v>
      </c>
      <c r="H106" s="4">
        <v>71.050000000000011</v>
      </c>
      <c r="I106" s="4">
        <v>71.050000000000011</v>
      </c>
      <c r="J106" s="4">
        <v>71.050000000000011</v>
      </c>
    </row>
    <row r="107" spans="1:10" x14ac:dyDescent="0.25">
      <c r="A107" s="4" t="s">
        <v>333</v>
      </c>
      <c r="B107" s="4" t="s">
        <v>232</v>
      </c>
      <c r="C107" s="4">
        <v>71.050000000000011</v>
      </c>
      <c r="D107" s="4">
        <v>71.050000000000011</v>
      </c>
      <c r="E107" s="4">
        <v>71.050000000000011</v>
      </c>
      <c r="F107" s="4">
        <v>71.050000000000011</v>
      </c>
      <c r="G107" s="4">
        <v>71.050000000000011</v>
      </c>
      <c r="H107" s="4">
        <v>71.050000000000011</v>
      </c>
      <c r="I107" s="4">
        <v>71.050000000000011</v>
      </c>
      <c r="J107" s="4">
        <v>71.050000000000011</v>
      </c>
    </row>
    <row r="108" spans="1:10" x14ac:dyDescent="0.25">
      <c r="A108" s="4" t="s">
        <v>333</v>
      </c>
      <c r="B108" s="4" t="s">
        <v>221</v>
      </c>
      <c r="C108" s="4">
        <v>27.055000000000003</v>
      </c>
      <c r="D108" s="4">
        <v>27.055000000000003</v>
      </c>
      <c r="E108" s="4">
        <v>27.055000000000003</v>
      </c>
      <c r="F108" s="4">
        <v>27.055000000000003</v>
      </c>
      <c r="G108" s="4">
        <v>27.055000000000003</v>
      </c>
      <c r="H108" s="4">
        <v>27.055000000000003</v>
      </c>
      <c r="I108" s="4">
        <v>27.055000000000003</v>
      </c>
      <c r="J108" s="4">
        <v>27.055000000000003</v>
      </c>
    </row>
    <row r="109" spans="1:10" x14ac:dyDescent="0.25">
      <c r="A109" s="4" t="s">
        <v>333</v>
      </c>
      <c r="B109" s="4" t="s">
        <v>222</v>
      </c>
      <c r="C109" s="4">
        <v>124.95000000000002</v>
      </c>
      <c r="D109" s="4">
        <v>93.800000000000011</v>
      </c>
      <c r="E109" s="4">
        <v>83.300000000000011</v>
      </c>
      <c r="F109" s="4">
        <v>72.800000000000011</v>
      </c>
      <c r="G109" s="4">
        <v>69.125</v>
      </c>
      <c r="H109" s="4">
        <v>65.45</v>
      </c>
      <c r="I109" s="4">
        <v>63.175000000000004</v>
      </c>
      <c r="J109" s="4">
        <v>60.900000000000006</v>
      </c>
    </row>
    <row r="110" spans="1:10" x14ac:dyDescent="0.25">
      <c r="A110" s="4" t="s">
        <v>333</v>
      </c>
      <c r="B110" s="4" t="s">
        <v>205</v>
      </c>
      <c r="C110" s="4">
        <v>183.75000000000003</v>
      </c>
      <c r="D110" s="4">
        <v>173.95000000000002</v>
      </c>
      <c r="E110" s="4">
        <v>165.20000000000002</v>
      </c>
      <c r="F110" s="4">
        <v>156.45000000000002</v>
      </c>
      <c r="G110" s="4">
        <v>148.57500000000002</v>
      </c>
      <c r="H110" s="4">
        <v>140.70000000000002</v>
      </c>
      <c r="I110" s="4">
        <v>133.52500000000001</v>
      </c>
      <c r="J110" s="4">
        <v>126.35000000000001</v>
      </c>
    </row>
    <row r="111" spans="1:10" x14ac:dyDescent="0.25">
      <c r="A111" s="4" t="s">
        <v>333</v>
      </c>
      <c r="B111" s="4" t="s">
        <v>210</v>
      </c>
      <c r="C111" s="4">
        <v>17.325000000000003</v>
      </c>
      <c r="D111" s="4">
        <v>17.325000000000003</v>
      </c>
      <c r="E111" s="4">
        <v>17.325000000000003</v>
      </c>
      <c r="F111" s="4">
        <v>17.325000000000003</v>
      </c>
      <c r="G111" s="4">
        <v>17.325000000000003</v>
      </c>
      <c r="H111" s="4">
        <v>17.325000000000003</v>
      </c>
      <c r="I111" s="4">
        <v>17.325000000000003</v>
      </c>
      <c r="J111" s="4">
        <v>17.325000000000003</v>
      </c>
    </row>
    <row r="112" spans="1:10" x14ac:dyDescent="0.25">
      <c r="A112" s="4" t="s">
        <v>333</v>
      </c>
      <c r="B112" s="4" t="s">
        <v>220</v>
      </c>
      <c r="C112" s="4">
        <v>28.000000000000004</v>
      </c>
      <c r="D112" s="4">
        <v>28.000000000000004</v>
      </c>
      <c r="E112" s="4">
        <v>28.000000000000004</v>
      </c>
      <c r="F112" s="4">
        <v>28.000000000000004</v>
      </c>
      <c r="G112" s="4">
        <v>28.000000000000004</v>
      </c>
      <c r="H112" s="4">
        <v>28.000000000000004</v>
      </c>
      <c r="I112" s="4">
        <v>28.000000000000004</v>
      </c>
      <c r="J112" s="4">
        <v>28.000000000000004</v>
      </c>
    </row>
    <row r="113" spans="1:13" x14ac:dyDescent="0.25">
      <c r="A113" s="4" t="s">
        <v>333</v>
      </c>
      <c r="B113" s="4" t="s">
        <v>206</v>
      </c>
      <c r="C113" s="4">
        <v>32.550000000000004</v>
      </c>
      <c r="D113" s="4">
        <v>32.550000000000004</v>
      </c>
      <c r="E113" s="4">
        <v>32.550000000000004</v>
      </c>
      <c r="F113" s="4">
        <v>32.550000000000004</v>
      </c>
      <c r="G113" s="4">
        <v>32.550000000000004</v>
      </c>
      <c r="H113" s="4">
        <v>32.550000000000004</v>
      </c>
      <c r="I113" s="4">
        <v>32.550000000000004</v>
      </c>
      <c r="J113" s="4">
        <v>32.550000000000004</v>
      </c>
    </row>
    <row r="114" spans="1:13" x14ac:dyDescent="0.25">
      <c r="A114" s="4" t="s">
        <v>333</v>
      </c>
      <c r="B114" s="4" t="s">
        <v>213</v>
      </c>
      <c r="C114" s="4">
        <v>2.4850000000000003</v>
      </c>
      <c r="D114" s="4">
        <v>2.4850000000000003</v>
      </c>
      <c r="E114" s="4">
        <v>2.4850000000000003</v>
      </c>
      <c r="F114" s="4">
        <v>2.4850000000000003</v>
      </c>
      <c r="G114" s="4">
        <v>2.4850000000000003</v>
      </c>
      <c r="H114" s="4">
        <v>2.4850000000000003</v>
      </c>
      <c r="I114" s="4">
        <v>2.4850000000000003</v>
      </c>
      <c r="J114" s="4">
        <v>2.4850000000000003</v>
      </c>
    </row>
    <row r="115" spans="1:13" x14ac:dyDescent="0.25">
      <c r="A115" s="4" t="s">
        <v>333</v>
      </c>
      <c r="B115" s="4" t="s">
        <v>224</v>
      </c>
      <c r="C115" s="4">
        <v>4.7950000000000008</v>
      </c>
      <c r="D115" s="4">
        <v>4.7950000000000008</v>
      </c>
      <c r="E115" s="4">
        <v>4.7950000000000008</v>
      </c>
      <c r="F115" s="4">
        <v>4.7950000000000008</v>
      </c>
      <c r="G115" s="4">
        <v>4.7950000000000008</v>
      </c>
      <c r="H115" s="4">
        <v>4.7950000000000008</v>
      </c>
      <c r="I115" s="4">
        <v>4.7950000000000008</v>
      </c>
      <c r="J115" s="4">
        <v>4.7950000000000008</v>
      </c>
    </row>
    <row r="116" spans="1:13" x14ac:dyDescent="0.25">
      <c r="A116" s="4" t="s">
        <v>333</v>
      </c>
      <c r="B116" s="4" t="s">
        <v>211</v>
      </c>
      <c r="C116" s="4">
        <v>4.4800000000000004</v>
      </c>
      <c r="D116" s="4">
        <v>4.4800000000000004</v>
      </c>
      <c r="E116" s="4">
        <v>4.4800000000000004</v>
      </c>
      <c r="F116" s="4">
        <v>4.4800000000000004</v>
      </c>
      <c r="G116" s="4">
        <v>4.4800000000000004</v>
      </c>
      <c r="H116" s="4">
        <v>4.4800000000000004</v>
      </c>
      <c r="I116" s="4">
        <v>4.4800000000000004</v>
      </c>
      <c r="J116" s="4">
        <v>4.4800000000000004</v>
      </c>
    </row>
    <row r="117" spans="1:13" x14ac:dyDescent="0.25">
      <c r="A117" s="4" t="s">
        <v>333</v>
      </c>
      <c r="B117" s="4" t="s">
        <v>212</v>
      </c>
      <c r="C117" s="4">
        <v>4.4800000000000004</v>
      </c>
      <c r="D117" s="4">
        <v>4.4800000000000004</v>
      </c>
      <c r="E117" s="4">
        <v>4.4800000000000004</v>
      </c>
      <c r="F117" s="4">
        <v>4.4800000000000004</v>
      </c>
      <c r="G117" s="4">
        <v>4.4800000000000004</v>
      </c>
      <c r="H117" s="4">
        <v>4.4800000000000004</v>
      </c>
      <c r="I117" s="4">
        <v>4.4800000000000004</v>
      </c>
      <c r="J117" s="4">
        <v>4.4800000000000004</v>
      </c>
    </row>
    <row r="118" spans="1:13" x14ac:dyDescent="0.25">
      <c r="A118" s="4" t="s">
        <v>333</v>
      </c>
      <c r="B118" s="4" t="s">
        <v>223</v>
      </c>
      <c r="C118" s="4">
        <v>3.6050000000000004</v>
      </c>
      <c r="D118" s="4">
        <v>3.6050000000000004</v>
      </c>
      <c r="E118" s="4">
        <v>3.6050000000000004</v>
      </c>
      <c r="F118" s="4">
        <v>3.6050000000000004</v>
      </c>
      <c r="G118" s="4">
        <v>3.6050000000000004</v>
      </c>
      <c r="H118" s="4">
        <v>3.6050000000000004</v>
      </c>
      <c r="I118" s="4">
        <v>3.6050000000000004</v>
      </c>
      <c r="J118" s="4">
        <v>3.6050000000000004</v>
      </c>
    </row>
    <row r="119" spans="1:13" x14ac:dyDescent="0.25">
      <c r="A119" s="4" t="s">
        <v>333</v>
      </c>
      <c r="B119" s="4" t="s">
        <v>214</v>
      </c>
      <c r="C119" s="4">
        <v>3.7100000000000004</v>
      </c>
      <c r="D119" s="4">
        <v>3.7100000000000004</v>
      </c>
      <c r="E119" s="4">
        <v>3.7100000000000004</v>
      </c>
      <c r="F119" s="4">
        <v>3.7100000000000004</v>
      </c>
      <c r="G119" s="4">
        <v>3.7100000000000004</v>
      </c>
      <c r="H119" s="4">
        <v>3.7100000000000004</v>
      </c>
      <c r="I119" s="4">
        <v>3.7100000000000004</v>
      </c>
      <c r="J119" s="4">
        <v>3.7100000000000004</v>
      </c>
    </row>
    <row r="120" spans="1:13" x14ac:dyDescent="0.25">
      <c r="A120" s="4" t="s">
        <v>333</v>
      </c>
      <c r="B120" s="4" t="s">
        <v>226</v>
      </c>
      <c r="C120" s="4">
        <v>101.66000000000001</v>
      </c>
      <c r="D120" s="4">
        <v>101.66000000000001</v>
      </c>
      <c r="E120" s="4">
        <v>101.66000000000001</v>
      </c>
      <c r="F120" s="4">
        <v>101.66</v>
      </c>
      <c r="G120" s="4">
        <v>101.66</v>
      </c>
      <c r="H120" s="4">
        <v>101.66000000000001</v>
      </c>
      <c r="I120" s="4">
        <v>101.66000000000001</v>
      </c>
      <c r="J120" s="4">
        <v>101.66000000000001</v>
      </c>
    </row>
    <row r="121" spans="1:13" x14ac:dyDescent="0.25">
      <c r="A121" s="4" t="s">
        <v>333</v>
      </c>
      <c r="B121" s="4" t="s">
        <v>227</v>
      </c>
      <c r="C121" s="4">
        <v>165.60000000000002</v>
      </c>
      <c r="D121" s="4">
        <v>155.5457142857143</v>
      </c>
      <c r="E121" s="4">
        <v>145.4914285714286</v>
      </c>
      <c r="F121" s="4">
        <v>135.43714285714287</v>
      </c>
      <c r="G121" s="4">
        <v>125.38285714285715</v>
      </c>
      <c r="H121" s="4">
        <v>115.32857142857144</v>
      </c>
      <c r="I121" s="4">
        <v>105.27428571428571</v>
      </c>
      <c r="J121" s="4">
        <v>95.22</v>
      </c>
    </row>
    <row r="122" spans="1:13" x14ac:dyDescent="0.25">
      <c r="A122" s="4" t="s">
        <v>333</v>
      </c>
      <c r="B122" s="4" t="s">
        <v>228</v>
      </c>
      <c r="C122" s="4">
        <v>73.600000000000009</v>
      </c>
      <c r="D122" s="4">
        <v>70.971428571428575</v>
      </c>
      <c r="E122" s="4">
        <v>68.342857142857142</v>
      </c>
      <c r="F122" s="4">
        <v>65.714285714285708</v>
      </c>
      <c r="G122" s="4">
        <v>63.085714285714282</v>
      </c>
      <c r="H122" s="4">
        <v>60.457142857142856</v>
      </c>
      <c r="I122" s="4">
        <v>57.828571428571422</v>
      </c>
      <c r="J122" s="4">
        <v>55.199999999999996</v>
      </c>
    </row>
    <row r="123" spans="1:13" x14ac:dyDescent="0.25">
      <c r="A123" s="4" t="s">
        <v>333</v>
      </c>
      <c r="B123" s="4" t="s">
        <v>229</v>
      </c>
      <c r="C123" s="4">
        <v>169.60000000000002</v>
      </c>
      <c r="D123" s="4">
        <v>163.54285714285717</v>
      </c>
      <c r="E123" s="4">
        <v>157.48571428571429</v>
      </c>
      <c r="F123" s="4">
        <v>151.42857142857144</v>
      </c>
      <c r="G123" s="4">
        <v>145.37142857142857</v>
      </c>
      <c r="H123" s="4">
        <v>139.31428571428572</v>
      </c>
      <c r="I123" s="4">
        <v>133.25714285714284</v>
      </c>
      <c r="J123" s="4">
        <v>127.19999999999999</v>
      </c>
    </row>
    <row r="124" spans="1:13" x14ac:dyDescent="0.25">
      <c r="A124" t="s">
        <v>333</v>
      </c>
      <c r="B124" t="s">
        <v>230</v>
      </c>
      <c r="C124" s="4">
        <v>255.60000000000002</v>
      </c>
      <c r="D124" s="4">
        <v>240.08142857142857</v>
      </c>
      <c r="E124" s="4">
        <v>224.56285714285715</v>
      </c>
      <c r="F124" s="4">
        <v>209.04428571428571</v>
      </c>
      <c r="G124" s="4">
        <v>193.52571428571429</v>
      </c>
      <c r="H124" s="4">
        <v>178.00714285714287</v>
      </c>
      <c r="I124" s="4">
        <v>162.48857142857142</v>
      </c>
      <c r="J124" s="4">
        <v>146.97</v>
      </c>
      <c r="K124"/>
      <c r="L124"/>
      <c r="M124" s="10"/>
    </row>
    <row r="125" spans="1:13" x14ac:dyDescent="0.25">
      <c r="A125" t="s">
        <v>333</v>
      </c>
      <c r="B125" s="1" t="s">
        <v>231</v>
      </c>
      <c r="C125" s="4">
        <v>111.82600000000001</v>
      </c>
      <c r="D125" s="4">
        <v>111.82599999999999</v>
      </c>
      <c r="E125" s="4">
        <v>111.82600000000001</v>
      </c>
      <c r="F125" s="4">
        <v>111.82599999999999</v>
      </c>
      <c r="G125" s="4">
        <v>111.82599999999999</v>
      </c>
      <c r="H125" s="4">
        <v>111.82600000000001</v>
      </c>
      <c r="I125" s="4">
        <v>111.82599999999999</v>
      </c>
      <c r="J125" s="4">
        <v>111.82600000000001</v>
      </c>
    </row>
    <row r="126" spans="1:13" x14ac:dyDescent="0.25">
      <c r="A126" t="s">
        <v>333</v>
      </c>
      <c r="B126" s="1" t="s">
        <v>238</v>
      </c>
      <c r="C126" s="4">
        <v>130.18</v>
      </c>
      <c r="D126" s="4">
        <v>130.18</v>
      </c>
      <c r="E126" s="4">
        <v>130.18</v>
      </c>
      <c r="F126" s="4">
        <v>130.18</v>
      </c>
      <c r="G126" s="4">
        <v>130.18</v>
      </c>
      <c r="H126" s="4">
        <v>130.18</v>
      </c>
      <c r="I126" s="4">
        <v>130.18</v>
      </c>
      <c r="J126" s="4">
        <v>130.18</v>
      </c>
    </row>
    <row r="127" spans="1:13" x14ac:dyDescent="0.25">
      <c r="A127" t="s">
        <v>333</v>
      </c>
      <c r="B127" s="1" t="s">
        <v>239</v>
      </c>
      <c r="C127" s="4">
        <v>215.20000000000002</v>
      </c>
      <c r="D127" s="4">
        <v>202.13428571428571</v>
      </c>
      <c r="E127" s="4">
        <v>189.06857142857143</v>
      </c>
      <c r="F127" s="4">
        <v>176.00285714285715</v>
      </c>
      <c r="G127" s="4">
        <v>162.93714285714287</v>
      </c>
      <c r="H127" s="4">
        <v>149.87142857142859</v>
      </c>
      <c r="I127" s="4">
        <v>136.80571428571429</v>
      </c>
      <c r="J127" s="4">
        <v>123.74000000000001</v>
      </c>
    </row>
    <row r="128" spans="1:13" x14ac:dyDescent="0.25">
      <c r="A128" t="s">
        <v>333</v>
      </c>
      <c r="B128" s="1" t="s">
        <v>251</v>
      </c>
      <c r="C128" s="4">
        <v>248.28300000000004</v>
      </c>
      <c r="D128" s="4">
        <v>245.19600000000003</v>
      </c>
      <c r="E128" s="4">
        <v>242.10900000000001</v>
      </c>
      <c r="F128" s="4">
        <v>239.02200000000002</v>
      </c>
      <c r="G128" s="4">
        <v>235.93500000000003</v>
      </c>
      <c r="H128" s="4">
        <v>232.84800000000004</v>
      </c>
      <c r="I128" s="4">
        <v>229.76100000000002</v>
      </c>
      <c r="J128" s="4">
        <v>226.67400000000001</v>
      </c>
    </row>
    <row r="129" spans="1:12" x14ac:dyDescent="0.25">
      <c r="A129" t="s">
        <v>333</v>
      </c>
      <c r="B129" s="1" t="s">
        <v>245</v>
      </c>
      <c r="C129" s="4">
        <v>147.73500000000001</v>
      </c>
      <c r="D129" s="4">
        <v>142.69499999999999</v>
      </c>
      <c r="E129" s="4">
        <v>137.655</v>
      </c>
      <c r="F129" s="4">
        <v>132.61500000000001</v>
      </c>
      <c r="G129" s="4">
        <v>127.57500000000002</v>
      </c>
      <c r="H129" s="4">
        <v>122.53500000000001</v>
      </c>
      <c r="I129" s="4">
        <v>117.495</v>
      </c>
      <c r="J129" s="4">
        <v>112.45500000000001</v>
      </c>
    </row>
    <row r="130" spans="1:12" x14ac:dyDescent="0.25">
      <c r="A130" t="s">
        <v>333</v>
      </c>
      <c r="B130" t="s">
        <v>246</v>
      </c>
      <c r="C130" s="4">
        <v>154.35000000000002</v>
      </c>
      <c r="D130" s="4">
        <v>154.35000000000002</v>
      </c>
      <c r="E130" s="4">
        <v>154.35000000000002</v>
      </c>
      <c r="F130" s="4">
        <v>154.35000000000002</v>
      </c>
      <c r="G130" s="4">
        <v>154.35000000000002</v>
      </c>
      <c r="H130" s="4">
        <v>154.35000000000002</v>
      </c>
      <c r="I130" s="4">
        <v>154.35000000000002</v>
      </c>
      <c r="J130" s="4">
        <v>154.35000000000002</v>
      </c>
      <c r="L130"/>
    </row>
    <row r="131" spans="1:12" x14ac:dyDescent="0.25">
      <c r="A131" s="4" t="s">
        <v>333</v>
      </c>
      <c r="B131" s="1" t="s">
        <v>252</v>
      </c>
      <c r="C131" s="4">
        <v>248.28300000000004</v>
      </c>
      <c r="D131" s="4">
        <v>245.19600000000003</v>
      </c>
      <c r="E131" s="4">
        <v>242.10900000000001</v>
      </c>
      <c r="F131" s="4">
        <v>239.02200000000002</v>
      </c>
      <c r="G131" s="4">
        <v>235.93500000000003</v>
      </c>
      <c r="H131" s="4">
        <v>232.84800000000004</v>
      </c>
      <c r="I131" s="4">
        <v>229.76100000000002</v>
      </c>
      <c r="J131" s="4">
        <v>226.67400000000001</v>
      </c>
    </row>
    <row r="132" spans="1:12" x14ac:dyDescent="0.25">
      <c r="A132" s="4" t="s">
        <v>333</v>
      </c>
      <c r="B132" s="1" t="s">
        <v>243</v>
      </c>
      <c r="C132" s="4">
        <v>147.73500000000001</v>
      </c>
      <c r="D132" s="4">
        <v>142.69499999999999</v>
      </c>
      <c r="E132" s="4">
        <v>137.655</v>
      </c>
      <c r="F132" s="4">
        <v>132.61500000000001</v>
      </c>
      <c r="G132" s="4">
        <v>127.57500000000002</v>
      </c>
      <c r="H132" s="4">
        <v>122.53500000000001</v>
      </c>
      <c r="I132" s="4">
        <v>117.495</v>
      </c>
      <c r="J132" s="4">
        <v>112.45500000000001</v>
      </c>
    </row>
    <row r="133" spans="1:12" x14ac:dyDescent="0.25">
      <c r="A133" s="4" t="s">
        <v>333</v>
      </c>
      <c r="B133" s="4" t="s">
        <v>244</v>
      </c>
      <c r="C133" s="4">
        <v>154.35000000000002</v>
      </c>
      <c r="D133" s="4">
        <v>154.35000000000002</v>
      </c>
      <c r="E133" s="4">
        <v>154.35000000000002</v>
      </c>
      <c r="F133" s="4">
        <v>154.35000000000002</v>
      </c>
      <c r="G133" s="4">
        <v>154.35000000000002</v>
      </c>
      <c r="H133" s="4">
        <v>154.35000000000002</v>
      </c>
      <c r="I133" s="4">
        <v>154.35000000000002</v>
      </c>
      <c r="J133" s="4">
        <v>154.35000000000002</v>
      </c>
    </row>
    <row r="134" spans="1:12" x14ac:dyDescent="0.25">
      <c r="A134" s="4" t="s">
        <v>333</v>
      </c>
      <c r="B134" s="4" t="s">
        <v>247</v>
      </c>
      <c r="C134" s="4">
        <v>12.807307692307695</v>
      </c>
      <c r="D134" s="4">
        <v>12.648370786516857</v>
      </c>
      <c r="E134" s="4">
        <v>12.482126436781611</v>
      </c>
      <c r="F134" s="4">
        <v>12.308058823529414</v>
      </c>
      <c r="G134" s="4">
        <v>12.125602409638555</v>
      </c>
      <c r="H134" s="4">
        <v>11.934135802469136</v>
      </c>
      <c r="I134" s="4">
        <v>11.732974683544304</v>
      </c>
      <c r="J134" s="4">
        <v>11.521363636363638</v>
      </c>
    </row>
    <row r="135" spans="1:12" x14ac:dyDescent="0.25">
      <c r="A135" s="4" t="s">
        <v>333</v>
      </c>
      <c r="B135" s="4" t="s">
        <v>248</v>
      </c>
      <c r="C135" s="4">
        <v>9.3800000000000008</v>
      </c>
      <c r="D135" s="4">
        <v>9.06</v>
      </c>
      <c r="E135" s="4">
        <v>8.740000000000002</v>
      </c>
      <c r="F135" s="4">
        <v>8.42</v>
      </c>
      <c r="G135" s="4">
        <v>8.1</v>
      </c>
      <c r="H135" s="4">
        <v>7.78</v>
      </c>
      <c r="I135" s="4">
        <v>7.4600000000000009</v>
      </c>
      <c r="J135" s="4">
        <v>7.1400000000000006</v>
      </c>
    </row>
    <row r="136" spans="1:12" x14ac:dyDescent="0.25">
      <c r="A136" s="4" t="s">
        <v>333</v>
      </c>
      <c r="B136" s="4" t="s">
        <v>240</v>
      </c>
      <c r="C136" s="4">
        <v>83.75</v>
      </c>
      <c r="D136" s="4">
        <v>80.892857142857139</v>
      </c>
      <c r="E136" s="4">
        <v>78.035714285714292</v>
      </c>
      <c r="F136" s="4">
        <v>75.178571428571431</v>
      </c>
      <c r="G136" s="4">
        <v>72.321428571428569</v>
      </c>
      <c r="H136" s="4">
        <v>69.464285714285708</v>
      </c>
      <c r="I136" s="4">
        <v>66.607142857142861</v>
      </c>
      <c r="J136" s="4">
        <v>63.75</v>
      </c>
    </row>
    <row r="137" spans="1:12" x14ac:dyDescent="0.25">
      <c r="A137" s="4" t="s">
        <v>333</v>
      </c>
      <c r="B137" s="4" t="s">
        <v>241</v>
      </c>
      <c r="C137" s="4">
        <v>87.5</v>
      </c>
      <c r="D137" s="4">
        <v>87.5</v>
      </c>
      <c r="E137" s="4">
        <v>87.5</v>
      </c>
      <c r="F137" s="4">
        <v>87.5</v>
      </c>
      <c r="G137" s="4">
        <v>87.5</v>
      </c>
      <c r="H137" s="4">
        <v>87.5</v>
      </c>
      <c r="I137" s="4">
        <v>87.5</v>
      </c>
      <c r="J137" s="4">
        <v>87.5</v>
      </c>
    </row>
    <row r="138" spans="1:12" x14ac:dyDescent="0.25">
      <c r="A138" s="4" t="s">
        <v>333</v>
      </c>
      <c r="B138" s="4" t="s">
        <v>242</v>
      </c>
      <c r="C138" s="4">
        <v>37.5</v>
      </c>
      <c r="D138" s="4">
        <v>37.5</v>
      </c>
      <c r="E138" s="4">
        <v>37.5</v>
      </c>
      <c r="F138" s="4">
        <v>37.5</v>
      </c>
      <c r="G138" s="4">
        <v>37.5</v>
      </c>
      <c r="H138" s="4">
        <v>37.5</v>
      </c>
      <c r="I138" s="4">
        <v>37.5</v>
      </c>
      <c r="J138" s="4">
        <v>37.5</v>
      </c>
    </row>
    <row r="139" spans="1:12" x14ac:dyDescent="0.25">
      <c r="A139" s="4" t="s">
        <v>333</v>
      </c>
      <c r="B139" s="4" t="s">
        <v>249</v>
      </c>
      <c r="C139" s="4">
        <v>23.924375999999995</v>
      </c>
      <c r="D139" s="4">
        <v>22.866971999999997</v>
      </c>
      <c r="E139" s="4">
        <v>21.809567999999999</v>
      </c>
      <c r="F139" s="4">
        <v>20.752163999999997</v>
      </c>
      <c r="G139" s="4">
        <v>19.694759999999995</v>
      </c>
      <c r="H139" s="4">
        <v>18.637355999999997</v>
      </c>
      <c r="I139" s="4">
        <v>17.579951999999999</v>
      </c>
      <c r="J139" s="4">
        <v>16.522547999999997</v>
      </c>
    </row>
    <row r="140" spans="1:12" x14ac:dyDescent="0.25">
      <c r="A140" s="4" t="s">
        <v>333</v>
      </c>
      <c r="B140" s="4" t="s">
        <v>250</v>
      </c>
      <c r="C140" s="4">
        <v>123.30255323076922</v>
      </c>
      <c r="D140" s="4">
        <v>116.39031815730337</v>
      </c>
      <c r="E140" s="4">
        <v>109.54920937931034</v>
      </c>
      <c r="F140" s="4">
        <v>102.78424757647056</v>
      </c>
      <c r="G140" s="4">
        <v>96.100937349397554</v>
      </c>
      <c r="H140" s="4">
        <v>89.50532696296294</v>
      </c>
      <c r="I140" s="4">
        <v>83.004077164556946</v>
      </c>
      <c r="J140" s="4">
        <v>76.604540727272735</v>
      </c>
    </row>
    <row r="141" spans="1:12" x14ac:dyDescent="0.25">
      <c r="A141" s="4" t="s">
        <v>333</v>
      </c>
      <c r="B141" s="4" t="s">
        <v>254</v>
      </c>
      <c r="C141" s="4"/>
      <c r="D141" s="4"/>
      <c r="E141" s="4"/>
      <c r="F141" s="4"/>
      <c r="G141" s="4"/>
      <c r="H141" s="4"/>
      <c r="I141" s="4"/>
      <c r="J141" s="4"/>
    </row>
    <row r="142" spans="1:12" x14ac:dyDescent="0.25">
      <c r="A142" s="4" t="s">
        <v>333</v>
      </c>
      <c r="B142" s="4" t="s">
        <v>256</v>
      </c>
      <c r="C142" s="4">
        <v>22.750000000000004</v>
      </c>
      <c r="D142" s="4">
        <v>21.95</v>
      </c>
      <c r="E142" s="4">
        <v>21.150000000000002</v>
      </c>
      <c r="F142" s="4">
        <v>20.350000000000001</v>
      </c>
      <c r="G142" s="4">
        <v>19.55</v>
      </c>
      <c r="H142" s="4">
        <v>18.75</v>
      </c>
      <c r="I142" s="4">
        <v>17.950000000000003</v>
      </c>
      <c r="J142" s="4">
        <v>17.150000000000002</v>
      </c>
    </row>
    <row r="143" spans="1:12" x14ac:dyDescent="0.25">
      <c r="A143" s="4" t="s">
        <v>333</v>
      </c>
      <c r="B143" s="4" t="s">
        <v>257</v>
      </c>
      <c r="C143" s="4">
        <v>22.750000000000004</v>
      </c>
      <c r="D143" s="4">
        <v>21.95</v>
      </c>
      <c r="E143" s="4">
        <v>21.150000000000002</v>
      </c>
      <c r="F143" s="4">
        <v>20.350000000000001</v>
      </c>
      <c r="G143" s="4">
        <v>19.55</v>
      </c>
      <c r="H143" s="4">
        <v>18.75</v>
      </c>
      <c r="I143" s="4">
        <v>17.950000000000003</v>
      </c>
      <c r="J143" s="4">
        <v>17.150000000000002</v>
      </c>
    </row>
    <row r="144" spans="1:12" x14ac:dyDescent="0.25">
      <c r="A144" s="4" t="s">
        <v>333</v>
      </c>
      <c r="B144" s="4" t="s">
        <v>258</v>
      </c>
      <c r="C144" s="4">
        <v>36.571138211382113</v>
      </c>
      <c r="D144" s="4">
        <v>31.293595908520061</v>
      </c>
      <c r="E144" s="4">
        <v>23.04279033643995</v>
      </c>
      <c r="F144" s="4">
        <v>17.393590124925637</v>
      </c>
      <c r="G144" s="4">
        <v>15.460968999933904</v>
      </c>
      <c r="H144" s="4">
        <v>14.123000528785775</v>
      </c>
      <c r="I144" s="4">
        <v>12.78503205763765</v>
      </c>
      <c r="J144" s="4">
        <v>11.893053076872231</v>
      </c>
    </row>
    <row r="145" spans="1:10" x14ac:dyDescent="0.25">
      <c r="A145" s="33"/>
      <c r="B145" s="4"/>
      <c r="C145" s="4"/>
      <c r="D145" s="4"/>
      <c r="E145" s="4"/>
      <c r="F145" s="4"/>
      <c r="G145" s="4"/>
      <c r="H145" s="4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x14ac:dyDescent="0.25">
      <c r="A258"/>
      <c r="B258"/>
      <c r="C258"/>
      <c r="D258"/>
      <c r="E258"/>
      <c r="F258"/>
      <c r="G258"/>
      <c r="H258"/>
      <c r="I258"/>
      <c r="J258"/>
    </row>
    <row r="259" spans="1:10" x14ac:dyDescent="0.25">
      <c r="A259"/>
      <c r="B259" s="1"/>
      <c r="C259"/>
      <c r="D259"/>
      <c r="E259"/>
      <c r="F259"/>
      <c r="G259"/>
      <c r="H259"/>
      <c r="I259"/>
      <c r="J259"/>
    </row>
    <row r="260" spans="1:10" x14ac:dyDescent="0.25">
      <c r="A260"/>
      <c r="B260" s="1"/>
      <c r="C260"/>
      <c r="D260"/>
      <c r="E260"/>
      <c r="F260"/>
      <c r="G260"/>
      <c r="H260"/>
      <c r="I260"/>
      <c r="J260"/>
    </row>
    <row r="261" spans="1:10" x14ac:dyDescent="0.25">
      <c r="A261"/>
      <c r="B261" s="1"/>
      <c r="C261" s="4"/>
      <c r="D261" s="4"/>
      <c r="E261" s="4"/>
      <c r="F261" s="4"/>
      <c r="G261" s="4"/>
      <c r="H261" s="4"/>
      <c r="I261" s="4"/>
      <c r="J261" s="4"/>
    </row>
    <row r="262" spans="1:10" x14ac:dyDescent="0.25">
      <c r="A262"/>
      <c r="B262" s="1"/>
      <c r="C262" s="4"/>
      <c r="D262" s="4"/>
      <c r="E262" s="4"/>
      <c r="F262" s="4"/>
      <c r="G262" s="4"/>
      <c r="H262" s="4"/>
      <c r="I262" s="4"/>
      <c r="J262" s="4"/>
    </row>
    <row r="263" spans="1:10" x14ac:dyDescent="0.25">
      <c r="A263"/>
      <c r="B263" s="1"/>
      <c r="C263" s="4"/>
      <c r="D263" s="4"/>
      <c r="E263" s="4"/>
      <c r="F263" s="4"/>
      <c r="G263" s="4"/>
      <c r="H263" s="4"/>
      <c r="I263" s="4"/>
      <c r="J263" s="4"/>
    </row>
    <row r="264" spans="1:10" x14ac:dyDescent="0.25">
      <c r="A264"/>
      <c r="B264"/>
      <c r="C264"/>
      <c r="D264"/>
      <c r="E264"/>
      <c r="F264"/>
      <c r="G264"/>
      <c r="H264"/>
      <c r="I264"/>
      <c r="J264"/>
    </row>
    <row r="265" spans="1:10" x14ac:dyDescent="0.25">
      <c r="A265" s="4"/>
      <c r="B265" s="1"/>
      <c r="C265" s="4"/>
      <c r="D265" s="4"/>
      <c r="E265" s="4"/>
      <c r="F265" s="4"/>
      <c r="G265" s="4"/>
      <c r="H265" s="4"/>
      <c r="I265" s="4"/>
      <c r="J265" s="4"/>
    </row>
    <row r="266" spans="1:10" x14ac:dyDescent="0.25">
      <c r="A266" s="4"/>
      <c r="B266" s="1"/>
      <c r="C266" s="4"/>
      <c r="D266" s="4"/>
      <c r="E266" s="4"/>
      <c r="F266" s="4"/>
      <c r="G266" s="4"/>
      <c r="H266" s="4"/>
      <c r="I266" s="4"/>
      <c r="J266" s="4"/>
    </row>
  </sheetData>
  <dataValidations count="1">
    <dataValidation type="list" allowBlank="1" showInputMessage="1" showErrorMessage="1" sqref="B128 B262" xr:uid="{00000000-0002-0000-12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16"/>
  <dimension ref="A1:J160"/>
  <sheetViews>
    <sheetView topLeftCell="A122" zoomScale="90" zoomScaleNormal="90" zoomScalePageLayoutView="90" workbookViewId="0">
      <selection activeCell="K160" sqref="K160"/>
    </sheetView>
  </sheetViews>
  <sheetFormatPr defaultColWidth="11.42578125" defaultRowHeight="15" x14ac:dyDescent="0.25"/>
  <cols>
    <col min="1" max="1" width="11.42578125" style="23"/>
    <col min="2" max="2" width="28.7109375" style="23" customWidth="1"/>
    <col min="3" max="10" width="12.28515625" style="23" bestFit="1" customWidth="1"/>
    <col min="11" max="11" width="2.85546875" style="23" customWidth="1"/>
    <col min="12" max="15" width="11.42578125" style="23"/>
    <col min="16" max="16" width="12.140625" style="23" bestFit="1" customWidth="1"/>
    <col min="17" max="16384" width="11.42578125" style="23"/>
  </cols>
  <sheetData>
    <row r="1" spans="1:10" x14ac:dyDescent="0.25">
      <c r="A1" t="s">
        <v>319</v>
      </c>
    </row>
    <row r="2" spans="1:10" x14ac:dyDescent="0.25">
      <c r="A2" t="s">
        <v>318</v>
      </c>
    </row>
    <row r="3" spans="1:10" x14ac:dyDescent="0.25">
      <c r="A3" t="s">
        <v>304</v>
      </c>
    </row>
    <row r="5" spans="1:10" x14ac:dyDescent="0.25">
      <c r="A5" s="23" t="s">
        <v>15</v>
      </c>
      <c r="B5" s="23" t="s">
        <v>21</v>
      </c>
      <c r="C5" s="23">
        <v>2018</v>
      </c>
      <c r="D5" s="23">
        <v>2020</v>
      </c>
      <c r="E5" s="23">
        <v>2025</v>
      </c>
      <c r="F5" s="23">
        <v>2030</v>
      </c>
      <c r="G5" s="23">
        <v>2035</v>
      </c>
      <c r="H5" s="23">
        <v>2040</v>
      </c>
      <c r="I5" s="23">
        <v>2045</v>
      </c>
      <c r="J5" s="23">
        <v>2050</v>
      </c>
    </row>
    <row r="6" spans="1:10" x14ac:dyDescent="0.25">
      <c r="A6" s="23" t="s">
        <v>333</v>
      </c>
      <c r="B6" t="s">
        <v>337</v>
      </c>
      <c r="C6" s="23">
        <v>1</v>
      </c>
      <c r="D6" s="23">
        <v>1</v>
      </c>
      <c r="E6" s="23">
        <v>1</v>
      </c>
      <c r="F6" s="23">
        <v>1</v>
      </c>
      <c r="G6" s="23">
        <v>1</v>
      </c>
      <c r="H6" s="23">
        <v>1</v>
      </c>
      <c r="I6" s="23">
        <v>1</v>
      </c>
      <c r="J6" s="23">
        <v>1</v>
      </c>
    </row>
    <row r="7" spans="1:10" x14ac:dyDescent="0.25">
      <c r="A7" s="23" t="s">
        <v>333</v>
      </c>
      <c r="B7" t="s">
        <v>149</v>
      </c>
      <c r="C7" s="23">
        <v>0.84</v>
      </c>
      <c r="D7" s="23">
        <v>0.84</v>
      </c>
      <c r="E7" s="23">
        <v>0.84</v>
      </c>
      <c r="F7" s="23">
        <v>0.84</v>
      </c>
      <c r="G7" s="23">
        <v>0.84</v>
      </c>
      <c r="H7" s="23">
        <v>0.84</v>
      </c>
      <c r="I7" s="23">
        <v>0.84</v>
      </c>
      <c r="J7" s="23">
        <v>0.84</v>
      </c>
    </row>
    <row r="8" spans="1:10" x14ac:dyDescent="0.25">
      <c r="A8" s="23" t="s">
        <v>333</v>
      </c>
      <c r="B8" s="23" t="s">
        <v>97</v>
      </c>
      <c r="C8" s="23">
        <v>0.84399999999999997</v>
      </c>
      <c r="D8" s="23">
        <v>0.84399999999999997</v>
      </c>
      <c r="E8" s="23">
        <v>0.84399999999999997</v>
      </c>
      <c r="F8" s="23">
        <v>0.84399999999999997</v>
      </c>
      <c r="G8" s="23">
        <v>0.84399999999999997</v>
      </c>
      <c r="H8" s="23">
        <v>0.84399999999999997</v>
      </c>
      <c r="I8" s="23">
        <v>0.84399999999999997</v>
      </c>
      <c r="J8" s="23">
        <v>0.84399999999999997</v>
      </c>
    </row>
    <row r="9" spans="1:10" x14ac:dyDescent="0.25">
      <c r="A9" s="23" t="s">
        <v>333</v>
      </c>
      <c r="B9" s="23" t="s">
        <v>98</v>
      </c>
      <c r="C9" s="23">
        <v>0.84399999999999997</v>
      </c>
      <c r="D9" s="23">
        <v>0.84399999999999997</v>
      </c>
      <c r="E9" s="23">
        <v>0.84399999999999997</v>
      </c>
      <c r="F9" s="23">
        <v>0.84399999999999997</v>
      </c>
      <c r="G9" s="23">
        <v>0.84399999999999997</v>
      </c>
      <c r="H9" s="23">
        <v>0.84399999999999997</v>
      </c>
      <c r="I9" s="23">
        <v>0.84399999999999997</v>
      </c>
      <c r="J9" s="23">
        <v>0.84399999999999997</v>
      </c>
    </row>
    <row r="10" spans="1:10" x14ac:dyDescent="0.25">
      <c r="A10" s="23" t="s">
        <v>333</v>
      </c>
      <c r="B10" s="23" t="s">
        <v>99</v>
      </c>
      <c r="C10" s="23">
        <v>0.87</v>
      </c>
      <c r="D10" s="23">
        <v>0.87</v>
      </c>
      <c r="E10" s="23">
        <v>0.87</v>
      </c>
      <c r="F10" s="23">
        <v>0.87</v>
      </c>
      <c r="G10" s="23">
        <v>0.87</v>
      </c>
      <c r="H10" s="23">
        <v>0.87</v>
      </c>
      <c r="I10" s="23">
        <v>0.87</v>
      </c>
      <c r="J10" s="23">
        <v>0.87</v>
      </c>
    </row>
    <row r="11" spans="1:10" x14ac:dyDescent="0.25">
      <c r="A11" s="23" t="s">
        <v>333</v>
      </c>
      <c r="B11" s="23" t="s">
        <v>100</v>
      </c>
      <c r="C11" s="23">
        <v>0.83699999999999997</v>
      </c>
      <c r="D11" s="23">
        <v>0.83699999999999997</v>
      </c>
      <c r="E11" s="23">
        <v>0.83699999999999997</v>
      </c>
      <c r="F11" s="23">
        <v>0.83699999999999997</v>
      </c>
      <c r="G11" s="23">
        <v>0.83699999999999997</v>
      </c>
      <c r="H11" s="23">
        <v>0.83699999999999997</v>
      </c>
      <c r="I11" s="23">
        <v>0.83699999999999997</v>
      </c>
      <c r="J11" s="23">
        <v>0.83699999999999997</v>
      </c>
    </row>
    <row r="12" spans="1:10" x14ac:dyDescent="0.25">
      <c r="A12" s="23" t="s">
        <v>333</v>
      </c>
      <c r="B12" s="23" t="s">
        <v>129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23">
        <v>1</v>
      </c>
      <c r="I12" s="23">
        <v>1</v>
      </c>
      <c r="J12" s="23">
        <v>1</v>
      </c>
    </row>
    <row r="13" spans="1:10" x14ac:dyDescent="0.25">
      <c r="A13" s="23" t="s">
        <v>333</v>
      </c>
      <c r="B13" s="23" t="s">
        <v>130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23">
        <v>1</v>
      </c>
      <c r="I13" s="23">
        <v>1</v>
      </c>
      <c r="J13" s="23">
        <v>1</v>
      </c>
    </row>
    <row r="14" spans="1:10" x14ac:dyDescent="0.25">
      <c r="A14" s="23" t="s">
        <v>333</v>
      </c>
      <c r="B14" s="23" t="s">
        <v>142</v>
      </c>
      <c r="C14" s="23">
        <v>1</v>
      </c>
      <c r="D14" s="23">
        <v>1</v>
      </c>
      <c r="E14" s="23">
        <v>1</v>
      </c>
      <c r="F14" s="23">
        <v>1</v>
      </c>
      <c r="G14" s="23">
        <v>1</v>
      </c>
      <c r="H14" s="23">
        <v>1</v>
      </c>
      <c r="I14" s="23">
        <v>1</v>
      </c>
      <c r="J14" s="23">
        <v>1</v>
      </c>
    </row>
    <row r="15" spans="1:10" x14ac:dyDescent="0.25">
      <c r="A15" s="23" t="s">
        <v>333</v>
      </c>
      <c r="B15" s="23" t="s">
        <v>143</v>
      </c>
      <c r="C15" s="23">
        <v>1</v>
      </c>
      <c r="D15" s="23">
        <v>1</v>
      </c>
      <c r="E15" s="23">
        <v>1</v>
      </c>
      <c r="F15" s="23">
        <v>1</v>
      </c>
      <c r="G15" s="23">
        <v>1</v>
      </c>
      <c r="H15" s="23">
        <v>1</v>
      </c>
      <c r="I15" s="23">
        <v>1</v>
      </c>
      <c r="J15" s="23">
        <v>1</v>
      </c>
    </row>
    <row r="16" spans="1:10" x14ac:dyDescent="0.25">
      <c r="A16" s="23" t="s">
        <v>333</v>
      </c>
      <c r="B16" s="23" t="s">
        <v>234</v>
      </c>
      <c r="C16" s="23">
        <v>1</v>
      </c>
      <c r="D16" s="23">
        <v>1</v>
      </c>
      <c r="E16" s="23">
        <v>1</v>
      </c>
      <c r="F16" s="23">
        <v>1</v>
      </c>
      <c r="G16" s="23">
        <v>1</v>
      </c>
      <c r="H16" s="23">
        <v>1</v>
      </c>
      <c r="I16" s="23">
        <v>1</v>
      </c>
      <c r="J16" s="23">
        <v>1</v>
      </c>
    </row>
    <row r="17" spans="1:10" x14ac:dyDescent="0.25">
      <c r="A17" s="23" t="s">
        <v>333</v>
      </c>
      <c r="B17" s="23" t="s">
        <v>236</v>
      </c>
      <c r="C17" s="23">
        <v>1</v>
      </c>
      <c r="D17" s="23">
        <v>1</v>
      </c>
      <c r="E17" s="23">
        <v>1</v>
      </c>
      <c r="F17" s="23">
        <v>1</v>
      </c>
      <c r="G17" s="23">
        <v>1</v>
      </c>
      <c r="H17" s="23">
        <v>1</v>
      </c>
      <c r="I17" s="23">
        <v>1</v>
      </c>
      <c r="J17" s="23">
        <v>1</v>
      </c>
    </row>
    <row r="18" spans="1:10" x14ac:dyDescent="0.25">
      <c r="A18" s="23" t="s">
        <v>333</v>
      </c>
      <c r="B18" s="23" t="s">
        <v>128</v>
      </c>
      <c r="C18" s="23">
        <v>1</v>
      </c>
      <c r="D18" s="23">
        <v>1</v>
      </c>
      <c r="E18" s="23">
        <v>1</v>
      </c>
      <c r="F18" s="23">
        <v>1</v>
      </c>
      <c r="G18" s="23">
        <v>1</v>
      </c>
      <c r="H18" s="23">
        <v>1</v>
      </c>
      <c r="I18" s="23">
        <v>1</v>
      </c>
      <c r="J18" s="23">
        <v>1</v>
      </c>
    </row>
    <row r="19" spans="1:10" x14ac:dyDescent="0.25">
      <c r="A19" s="23" t="s">
        <v>333</v>
      </c>
      <c r="B19" s="23" t="s">
        <v>132</v>
      </c>
      <c r="C19" s="23">
        <v>1</v>
      </c>
      <c r="D19" s="23">
        <v>1</v>
      </c>
      <c r="E19" s="23">
        <v>1</v>
      </c>
      <c r="F19" s="23">
        <v>1</v>
      </c>
      <c r="G19" s="23">
        <v>1</v>
      </c>
      <c r="H19" s="23">
        <v>1</v>
      </c>
      <c r="I19" s="23">
        <v>1</v>
      </c>
      <c r="J19" s="23">
        <v>1</v>
      </c>
    </row>
    <row r="20" spans="1:10" x14ac:dyDescent="0.25">
      <c r="A20" s="23" t="s">
        <v>333</v>
      </c>
      <c r="B20" s="23" t="s">
        <v>180</v>
      </c>
      <c r="C20" s="23">
        <v>1</v>
      </c>
      <c r="D20" s="23">
        <v>1</v>
      </c>
      <c r="E20" s="23">
        <v>1</v>
      </c>
      <c r="F20" s="23">
        <v>1</v>
      </c>
      <c r="G20" s="23">
        <v>1</v>
      </c>
      <c r="H20" s="23">
        <v>1</v>
      </c>
      <c r="I20" s="23">
        <v>1</v>
      </c>
      <c r="J20" s="23">
        <v>1</v>
      </c>
    </row>
    <row r="21" spans="1:10" x14ac:dyDescent="0.25">
      <c r="A21" s="23" t="s">
        <v>333</v>
      </c>
      <c r="B21" s="23" t="s">
        <v>123</v>
      </c>
      <c r="C21" s="23">
        <v>0.95</v>
      </c>
      <c r="D21" s="23">
        <v>0.94999999999999984</v>
      </c>
      <c r="E21" s="23">
        <v>0.95</v>
      </c>
      <c r="F21" s="23">
        <v>0.95</v>
      </c>
      <c r="G21" s="23">
        <v>0.95</v>
      </c>
      <c r="H21" s="23">
        <v>0.95</v>
      </c>
      <c r="I21" s="23">
        <v>0.94999999999999984</v>
      </c>
      <c r="J21" s="23">
        <v>0.95</v>
      </c>
    </row>
    <row r="22" spans="1:10" x14ac:dyDescent="0.25">
      <c r="A22" s="23" t="s">
        <v>333</v>
      </c>
      <c r="B22" s="23" t="s">
        <v>124</v>
      </c>
      <c r="C22" s="23">
        <v>0.95</v>
      </c>
      <c r="D22" s="23">
        <v>0.94999999999999984</v>
      </c>
      <c r="E22" s="23">
        <v>0.95</v>
      </c>
      <c r="F22" s="23">
        <v>0.95</v>
      </c>
      <c r="G22" s="23">
        <v>0.95</v>
      </c>
      <c r="H22" s="23">
        <v>0.95</v>
      </c>
      <c r="I22" s="23">
        <v>0.94999999999999984</v>
      </c>
      <c r="J22" s="23">
        <v>0.95</v>
      </c>
    </row>
    <row r="23" spans="1:10" x14ac:dyDescent="0.25">
      <c r="A23" s="23" t="s">
        <v>333</v>
      </c>
      <c r="B23" s="23" t="s">
        <v>165</v>
      </c>
      <c r="C23" s="23">
        <v>0</v>
      </c>
      <c r="D23" s="23">
        <v>0</v>
      </c>
      <c r="E23" s="23">
        <v>0.95</v>
      </c>
      <c r="F23" s="23">
        <v>0.95</v>
      </c>
      <c r="G23" s="23">
        <v>0.95</v>
      </c>
      <c r="H23" s="23">
        <v>0.95</v>
      </c>
      <c r="I23" s="23">
        <v>0.94999999999999984</v>
      </c>
      <c r="J23" s="23">
        <v>0.95</v>
      </c>
    </row>
    <row r="24" spans="1:10" x14ac:dyDescent="0.25">
      <c r="A24" s="23" t="s">
        <v>333</v>
      </c>
      <c r="B24" s="23" t="s">
        <v>118</v>
      </c>
      <c r="C24" s="23">
        <v>0</v>
      </c>
      <c r="D24" s="23">
        <v>0.91734003623078653</v>
      </c>
      <c r="E24" s="23">
        <v>0.9325813526564195</v>
      </c>
      <c r="F24" s="23">
        <v>0.93639168176282772</v>
      </c>
      <c r="G24" s="23">
        <v>0.93829684631603183</v>
      </c>
      <c r="H24" s="23">
        <v>0.93924942859263383</v>
      </c>
      <c r="I24" s="23">
        <v>0.93972571973093488</v>
      </c>
      <c r="J24" s="23">
        <v>0.94020201086923594</v>
      </c>
    </row>
    <row r="25" spans="1:10" x14ac:dyDescent="0.25">
      <c r="A25" s="23" t="s">
        <v>333</v>
      </c>
      <c r="B25" s="23" t="s">
        <v>53</v>
      </c>
      <c r="C25" s="23">
        <v>0</v>
      </c>
      <c r="D25" s="23">
        <v>0</v>
      </c>
      <c r="E25" s="23">
        <v>0.95</v>
      </c>
      <c r="F25" s="23">
        <v>0.95</v>
      </c>
      <c r="G25" s="23">
        <v>0.95</v>
      </c>
      <c r="H25" s="23">
        <v>0.95</v>
      </c>
      <c r="I25" s="23">
        <v>0.94999999999999984</v>
      </c>
      <c r="J25" s="23">
        <v>0.95</v>
      </c>
    </row>
    <row r="26" spans="1:10" x14ac:dyDescent="0.25">
      <c r="A26" s="23" t="s">
        <v>333</v>
      </c>
      <c r="B26" s="23" t="s">
        <v>119</v>
      </c>
      <c r="C26" s="23">
        <v>0.95</v>
      </c>
      <c r="D26" s="23">
        <v>0.94999999999999984</v>
      </c>
      <c r="E26" s="23">
        <v>0.95</v>
      </c>
      <c r="F26" s="23">
        <v>0.95</v>
      </c>
      <c r="G26" s="23">
        <v>0.95</v>
      </c>
      <c r="H26" s="23">
        <v>0.95</v>
      </c>
      <c r="I26" s="23">
        <v>0.94999999999999984</v>
      </c>
      <c r="J26" s="23">
        <v>0.95</v>
      </c>
    </row>
    <row r="27" spans="1:10" x14ac:dyDescent="0.25">
      <c r="A27" s="23" t="s">
        <v>333</v>
      </c>
      <c r="B27" s="23" t="s">
        <v>120</v>
      </c>
      <c r="C27" s="23">
        <v>0</v>
      </c>
      <c r="D27" s="23">
        <v>0.94999999999999984</v>
      </c>
      <c r="E27" s="23">
        <v>0.95</v>
      </c>
      <c r="F27" s="23">
        <v>0.95</v>
      </c>
      <c r="G27" s="23">
        <v>0.95</v>
      </c>
      <c r="H27" s="23">
        <v>0.95</v>
      </c>
      <c r="I27" s="23">
        <v>0.94999999999999984</v>
      </c>
      <c r="J27" s="23">
        <v>0.95</v>
      </c>
    </row>
    <row r="28" spans="1:10" x14ac:dyDescent="0.25">
      <c r="A28" s="23" t="s">
        <v>333</v>
      </c>
      <c r="B28" s="23" t="s">
        <v>171</v>
      </c>
      <c r="C28" s="23">
        <v>0.95</v>
      </c>
      <c r="D28" s="23">
        <v>0.94999999999999984</v>
      </c>
      <c r="E28" s="23">
        <v>0.95</v>
      </c>
      <c r="F28" s="23">
        <v>0.95</v>
      </c>
      <c r="G28" s="23">
        <v>0.95</v>
      </c>
      <c r="H28" s="23">
        <v>0.95</v>
      </c>
      <c r="I28" s="23">
        <v>0.94999999999999984</v>
      </c>
      <c r="J28" s="23">
        <v>0.95</v>
      </c>
    </row>
    <row r="29" spans="1:10" x14ac:dyDescent="0.25">
      <c r="A29" s="23" t="s">
        <v>333</v>
      </c>
      <c r="B29" s="23" t="s">
        <v>172</v>
      </c>
      <c r="C29" s="23">
        <v>0.95</v>
      </c>
      <c r="D29" s="23">
        <v>0.94999999999999984</v>
      </c>
      <c r="E29" s="23">
        <v>0.95</v>
      </c>
      <c r="F29" s="23">
        <v>0.95</v>
      </c>
      <c r="G29" s="23">
        <v>0.95</v>
      </c>
      <c r="H29" s="23">
        <v>0.95</v>
      </c>
      <c r="I29" s="23">
        <v>0.94999999999999984</v>
      </c>
      <c r="J29" s="23">
        <v>0.95</v>
      </c>
    </row>
    <row r="30" spans="1:10" x14ac:dyDescent="0.25">
      <c r="A30" s="23" t="s">
        <v>333</v>
      </c>
      <c r="B30" s="23" t="s">
        <v>52</v>
      </c>
      <c r="C30" s="23">
        <v>0.95</v>
      </c>
      <c r="D30" s="23">
        <v>0.94999999999999984</v>
      </c>
      <c r="E30" s="23">
        <v>0.95</v>
      </c>
      <c r="F30" s="23">
        <v>0.95</v>
      </c>
      <c r="G30" s="23">
        <v>0.95</v>
      </c>
      <c r="H30" s="23">
        <v>0.95</v>
      </c>
      <c r="I30" s="23">
        <v>0.94999999999999984</v>
      </c>
      <c r="J30" s="23">
        <v>0.95</v>
      </c>
    </row>
    <row r="31" spans="1:10" x14ac:dyDescent="0.25">
      <c r="A31" s="23" t="s">
        <v>333</v>
      </c>
      <c r="B31" s="23" t="s">
        <v>51</v>
      </c>
      <c r="C31" s="23">
        <v>0.95</v>
      </c>
      <c r="D31" s="23">
        <v>0.94999999999999984</v>
      </c>
      <c r="E31" s="23">
        <v>0.95</v>
      </c>
      <c r="F31" s="23">
        <v>0.95</v>
      </c>
      <c r="G31" s="23">
        <v>0.95</v>
      </c>
      <c r="H31" s="23">
        <v>0.95</v>
      </c>
      <c r="I31" s="23">
        <v>0.94999999999999984</v>
      </c>
      <c r="J31" s="23">
        <v>0.95</v>
      </c>
    </row>
    <row r="32" spans="1:10" x14ac:dyDescent="0.25">
      <c r="A32" s="23" t="s">
        <v>333</v>
      </c>
      <c r="B32" s="23" t="s">
        <v>101</v>
      </c>
      <c r="C32" s="23">
        <v>0.84</v>
      </c>
      <c r="D32" s="23">
        <v>0.84</v>
      </c>
      <c r="E32" s="23">
        <v>0.84</v>
      </c>
      <c r="F32" s="23">
        <v>0.84</v>
      </c>
      <c r="G32" s="23">
        <v>0.84</v>
      </c>
      <c r="H32" s="23">
        <v>0.84</v>
      </c>
      <c r="I32" s="23">
        <v>0.84</v>
      </c>
      <c r="J32" s="23">
        <v>0.84</v>
      </c>
    </row>
    <row r="33" spans="1:10" x14ac:dyDescent="0.25">
      <c r="A33" s="23" t="s">
        <v>333</v>
      </c>
      <c r="B33" s="23" t="s">
        <v>102</v>
      </c>
      <c r="C33" s="23">
        <v>0.84399999999999997</v>
      </c>
      <c r="D33" s="23">
        <v>0.84399999999999997</v>
      </c>
      <c r="E33" s="23">
        <v>0.84399999999999997</v>
      </c>
      <c r="F33" s="23">
        <v>0.84399999999999997</v>
      </c>
      <c r="G33" s="23">
        <v>0.84399999999999997</v>
      </c>
      <c r="H33" s="23">
        <v>0.84399999999999997</v>
      </c>
      <c r="I33" s="23">
        <v>0.84399999999999997</v>
      </c>
      <c r="J33" s="23">
        <v>0.84399999999999997</v>
      </c>
    </row>
    <row r="34" spans="1:10" x14ac:dyDescent="0.25">
      <c r="A34" s="23" t="s">
        <v>333</v>
      </c>
      <c r="B34" s="23" t="s">
        <v>103</v>
      </c>
      <c r="C34" s="23">
        <v>0.84399999999999997</v>
      </c>
      <c r="D34" s="23">
        <v>0.84399999999999997</v>
      </c>
      <c r="E34" s="23">
        <v>0.84399999999999997</v>
      </c>
      <c r="F34" s="23">
        <v>0.84399999999999997</v>
      </c>
      <c r="G34" s="23">
        <v>0.84399999999999997</v>
      </c>
      <c r="H34" s="23">
        <v>0.84399999999999997</v>
      </c>
      <c r="I34" s="23">
        <v>0.84399999999999997</v>
      </c>
      <c r="J34" s="23">
        <v>0.84399999999999997</v>
      </c>
    </row>
    <row r="35" spans="1:10" x14ac:dyDescent="0.25">
      <c r="A35" s="23" t="s">
        <v>333</v>
      </c>
      <c r="B35" s="23" t="s">
        <v>104</v>
      </c>
      <c r="C35" s="23">
        <v>0.95</v>
      </c>
      <c r="D35" s="23">
        <v>0.95</v>
      </c>
      <c r="E35" s="23">
        <v>0.95</v>
      </c>
      <c r="F35" s="23">
        <v>0.95</v>
      </c>
      <c r="G35" s="23">
        <v>0.95</v>
      </c>
      <c r="H35" s="23">
        <v>0.95</v>
      </c>
      <c r="I35" s="23">
        <v>0.95</v>
      </c>
      <c r="J35" s="23">
        <v>0.95</v>
      </c>
    </row>
    <row r="36" spans="1:10" x14ac:dyDescent="0.25">
      <c r="A36" s="23" t="s">
        <v>333</v>
      </c>
      <c r="B36" s="23" t="s">
        <v>105</v>
      </c>
      <c r="C36" s="23">
        <v>0.87</v>
      </c>
      <c r="D36" s="23">
        <v>0.87</v>
      </c>
      <c r="E36" s="23">
        <v>0.87</v>
      </c>
      <c r="F36" s="23">
        <v>0.87</v>
      </c>
      <c r="G36" s="23">
        <v>0.87</v>
      </c>
      <c r="H36" s="23">
        <v>0.87</v>
      </c>
      <c r="I36" s="23">
        <v>0.87</v>
      </c>
      <c r="J36" s="23">
        <v>0.87</v>
      </c>
    </row>
    <row r="37" spans="1:10" x14ac:dyDescent="0.25">
      <c r="A37" s="23" t="s">
        <v>333</v>
      </c>
      <c r="B37" s="23" t="s">
        <v>106</v>
      </c>
      <c r="C37" s="23">
        <v>0.92</v>
      </c>
      <c r="D37" s="23">
        <v>0.92</v>
      </c>
      <c r="E37" s="23">
        <v>0.92</v>
      </c>
      <c r="F37" s="23">
        <v>0.92</v>
      </c>
      <c r="G37" s="23">
        <v>0.92</v>
      </c>
      <c r="H37" s="23">
        <v>0.92</v>
      </c>
      <c r="I37" s="23">
        <v>0.92</v>
      </c>
      <c r="J37" s="23">
        <v>0.92</v>
      </c>
    </row>
    <row r="38" spans="1:10" x14ac:dyDescent="0.25">
      <c r="A38" s="23" t="s">
        <v>333</v>
      </c>
      <c r="B38" s="23" t="s">
        <v>151</v>
      </c>
      <c r="C38" s="23">
        <v>0.84</v>
      </c>
      <c r="D38" s="23">
        <v>0.84</v>
      </c>
      <c r="E38" s="23">
        <v>0.84</v>
      </c>
      <c r="F38" s="23">
        <v>0.84</v>
      </c>
      <c r="G38" s="23">
        <v>0.84</v>
      </c>
      <c r="H38" s="23">
        <v>0.84</v>
      </c>
      <c r="I38" s="23">
        <v>0.84</v>
      </c>
      <c r="J38" s="23">
        <v>0.84</v>
      </c>
    </row>
    <row r="39" spans="1:10" x14ac:dyDescent="0.25">
      <c r="A39" s="23" t="s">
        <v>333</v>
      </c>
      <c r="B39" s="23" t="s">
        <v>178</v>
      </c>
      <c r="C39" s="23">
        <v>0.98199999999999998</v>
      </c>
      <c r="D39" s="24">
        <v>0.98199999999999998</v>
      </c>
      <c r="E39" s="24">
        <v>0.98199999999999998</v>
      </c>
      <c r="F39" s="24">
        <v>0.98199999999999998</v>
      </c>
      <c r="G39" s="24">
        <v>0.98199999999999998</v>
      </c>
      <c r="H39" s="24">
        <v>0.98199999999999998</v>
      </c>
      <c r="I39" s="24">
        <v>0.98199999999999998</v>
      </c>
      <c r="J39" s="24">
        <v>0.98199999999999998</v>
      </c>
    </row>
    <row r="40" spans="1:10" x14ac:dyDescent="0.25">
      <c r="A40" s="23" t="s">
        <v>333</v>
      </c>
      <c r="B40" s="23" t="s">
        <v>107</v>
      </c>
      <c r="C40" s="23">
        <v>0.84</v>
      </c>
      <c r="D40" s="23">
        <v>0.84</v>
      </c>
      <c r="E40" s="23">
        <v>0.84</v>
      </c>
      <c r="F40" s="23">
        <v>0.84</v>
      </c>
      <c r="G40" s="23">
        <v>0.84</v>
      </c>
      <c r="H40" s="23">
        <v>0.84</v>
      </c>
      <c r="I40" s="23">
        <v>0.84</v>
      </c>
      <c r="J40" s="23">
        <v>0.84</v>
      </c>
    </row>
    <row r="41" spans="1:10" x14ac:dyDescent="0.25">
      <c r="A41" s="23" t="s">
        <v>333</v>
      </c>
      <c r="B41" s="23" t="s">
        <v>108</v>
      </c>
      <c r="C41" s="23">
        <v>0.84399999999999997</v>
      </c>
      <c r="D41" s="23">
        <v>0.84399999999999997</v>
      </c>
      <c r="E41" s="23">
        <v>0.84399999999999997</v>
      </c>
      <c r="F41" s="23">
        <v>0.84399999999999997</v>
      </c>
      <c r="G41" s="23">
        <v>0.84399999999999997</v>
      </c>
      <c r="H41" s="23">
        <v>0.84399999999999997</v>
      </c>
      <c r="I41" s="23">
        <v>0.84399999999999997</v>
      </c>
      <c r="J41" s="23">
        <v>0.84399999999999997</v>
      </c>
    </row>
    <row r="42" spans="1:10" x14ac:dyDescent="0.25">
      <c r="A42" s="23" t="s">
        <v>333</v>
      </c>
      <c r="B42" s="23" t="s">
        <v>109</v>
      </c>
      <c r="C42" s="23">
        <v>0.84399999999999997</v>
      </c>
      <c r="D42" s="23">
        <v>0.84399999999999997</v>
      </c>
      <c r="E42" s="23">
        <v>0.84399999999999997</v>
      </c>
      <c r="F42" s="23">
        <v>0.84399999999999997</v>
      </c>
      <c r="G42" s="23">
        <v>0.84399999999999997</v>
      </c>
      <c r="H42" s="23">
        <v>0.84399999999999997</v>
      </c>
      <c r="I42" s="23">
        <v>0.84399999999999997</v>
      </c>
      <c r="J42" s="23">
        <v>0.84399999999999997</v>
      </c>
    </row>
    <row r="43" spans="1:10" x14ac:dyDescent="0.25">
      <c r="A43" s="23" t="s">
        <v>333</v>
      </c>
      <c r="B43" s="23" t="s">
        <v>110</v>
      </c>
      <c r="C43" s="23">
        <v>0.95</v>
      </c>
      <c r="D43" s="23">
        <v>0.95</v>
      </c>
      <c r="E43" s="23">
        <v>0.95</v>
      </c>
      <c r="F43" s="23">
        <v>0.95</v>
      </c>
      <c r="G43" s="23">
        <v>0.95</v>
      </c>
      <c r="H43" s="23">
        <v>0.95</v>
      </c>
      <c r="I43" s="23">
        <v>0.95</v>
      </c>
      <c r="J43" s="23">
        <v>0.95</v>
      </c>
    </row>
    <row r="44" spans="1:10" x14ac:dyDescent="0.25">
      <c r="A44" s="23" t="s">
        <v>333</v>
      </c>
      <c r="B44" s="23" t="s">
        <v>111</v>
      </c>
      <c r="C44" s="23">
        <v>0.87</v>
      </c>
      <c r="D44" s="23">
        <v>0.87</v>
      </c>
      <c r="E44" s="23">
        <v>0.87</v>
      </c>
      <c r="F44" s="23">
        <v>0.87</v>
      </c>
      <c r="G44" s="23">
        <v>0.87</v>
      </c>
      <c r="H44" s="23">
        <v>0.87</v>
      </c>
      <c r="I44" s="23">
        <v>0.87</v>
      </c>
      <c r="J44" s="23">
        <v>0.87</v>
      </c>
    </row>
    <row r="45" spans="1:10" x14ac:dyDescent="0.25">
      <c r="A45" s="23" t="s">
        <v>333</v>
      </c>
      <c r="B45" s="23" t="s">
        <v>112</v>
      </c>
      <c r="C45" s="23">
        <v>0.92</v>
      </c>
      <c r="D45" s="23">
        <v>0.92</v>
      </c>
      <c r="E45" s="23">
        <v>0.92</v>
      </c>
      <c r="F45" s="23">
        <v>0.92</v>
      </c>
      <c r="G45" s="23">
        <v>0.92</v>
      </c>
      <c r="H45" s="23">
        <v>0.92</v>
      </c>
      <c r="I45" s="23">
        <v>0.92</v>
      </c>
      <c r="J45" s="23">
        <v>0.92</v>
      </c>
    </row>
    <row r="46" spans="1:10" x14ac:dyDescent="0.25">
      <c r="A46" s="23" t="s">
        <v>333</v>
      </c>
      <c r="B46" s="23" t="s">
        <v>113</v>
      </c>
      <c r="C46" s="23">
        <v>0.95</v>
      </c>
      <c r="D46" s="23">
        <v>0.95</v>
      </c>
      <c r="E46" s="23">
        <v>0.95</v>
      </c>
      <c r="F46" s="23">
        <v>0.95</v>
      </c>
      <c r="G46" s="23">
        <v>0.95</v>
      </c>
      <c r="H46" s="23">
        <v>0.95</v>
      </c>
      <c r="I46" s="23">
        <v>0.95</v>
      </c>
      <c r="J46" s="23">
        <v>0.95</v>
      </c>
    </row>
    <row r="47" spans="1:10" x14ac:dyDescent="0.25">
      <c r="A47" s="23" t="s">
        <v>333</v>
      </c>
      <c r="B47" s="23" t="s">
        <v>150</v>
      </c>
      <c r="C47" s="23">
        <v>0.84</v>
      </c>
      <c r="D47" s="23">
        <v>0.84</v>
      </c>
      <c r="E47" s="23">
        <v>0.84</v>
      </c>
      <c r="F47" s="23">
        <v>0.84</v>
      </c>
      <c r="G47" s="23">
        <v>0.84</v>
      </c>
      <c r="H47" s="23">
        <v>0.84</v>
      </c>
      <c r="I47" s="23">
        <v>0.84</v>
      </c>
      <c r="J47" s="23">
        <v>0.84</v>
      </c>
    </row>
    <row r="48" spans="1:10" x14ac:dyDescent="0.25">
      <c r="A48" s="23" t="s">
        <v>333</v>
      </c>
      <c r="B48" s="23" t="s">
        <v>163</v>
      </c>
      <c r="C48" s="23">
        <v>0.98</v>
      </c>
      <c r="D48" s="23">
        <v>0.98</v>
      </c>
      <c r="E48" s="23">
        <v>0.98</v>
      </c>
      <c r="F48" s="23">
        <v>0.98</v>
      </c>
      <c r="G48" s="23">
        <v>0.98</v>
      </c>
      <c r="H48" s="23">
        <v>0.98</v>
      </c>
      <c r="I48" s="23">
        <v>0.98</v>
      </c>
      <c r="J48" s="23">
        <v>0.98</v>
      </c>
    </row>
    <row r="49" spans="1:10" x14ac:dyDescent="0.25">
      <c r="A49" s="23" t="s">
        <v>333</v>
      </c>
      <c r="B49" s="23" t="s">
        <v>164</v>
      </c>
      <c r="C49" s="23">
        <v>0.98</v>
      </c>
      <c r="D49" s="23">
        <v>0.98</v>
      </c>
      <c r="E49" s="23">
        <v>0.98</v>
      </c>
      <c r="F49" s="23">
        <v>0.98</v>
      </c>
      <c r="G49" s="23">
        <v>0.98</v>
      </c>
      <c r="H49" s="23">
        <v>0.98</v>
      </c>
      <c r="I49" s="23">
        <v>0.98</v>
      </c>
      <c r="J49" s="23">
        <v>0.98</v>
      </c>
    </row>
    <row r="50" spans="1:10" x14ac:dyDescent="0.25">
      <c r="A50" s="23" t="s">
        <v>333</v>
      </c>
      <c r="B50" s="23" t="s">
        <v>153</v>
      </c>
      <c r="C50" s="23">
        <v>0.84</v>
      </c>
      <c r="D50" s="23">
        <v>0.84</v>
      </c>
      <c r="E50" s="23">
        <v>0.84</v>
      </c>
      <c r="F50" s="23">
        <v>0.84</v>
      </c>
      <c r="G50" s="23">
        <v>0.84</v>
      </c>
      <c r="H50" s="23">
        <v>0.84</v>
      </c>
      <c r="I50" s="23">
        <v>0.84</v>
      </c>
      <c r="J50" s="23">
        <v>0.84</v>
      </c>
    </row>
    <row r="51" spans="1:10" x14ac:dyDescent="0.25">
      <c r="A51" s="23" t="s">
        <v>333</v>
      </c>
      <c r="B51" s="23" t="s">
        <v>96</v>
      </c>
      <c r="C51" s="23">
        <v>0.84399999999999997</v>
      </c>
      <c r="D51" s="23">
        <v>0.84399999999999997</v>
      </c>
      <c r="E51" s="23">
        <v>0.84399999999999997</v>
      </c>
      <c r="F51" s="23">
        <v>0.84399999999999997</v>
      </c>
      <c r="G51" s="23">
        <v>0.84399999999999997</v>
      </c>
      <c r="H51" s="23">
        <v>0.84399999999999997</v>
      </c>
      <c r="I51" s="23">
        <v>0.84399999999999997</v>
      </c>
      <c r="J51" s="23">
        <v>0.84399999999999997</v>
      </c>
    </row>
    <row r="52" spans="1:10" x14ac:dyDescent="0.25">
      <c r="A52" s="23" t="s">
        <v>333</v>
      </c>
      <c r="B52" s="23" t="s">
        <v>95</v>
      </c>
      <c r="C52" s="23">
        <v>0.84399999999999997</v>
      </c>
      <c r="D52" s="23">
        <v>0.84399999999999997</v>
      </c>
      <c r="E52" s="23">
        <v>0.84399999999999997</v>
      </c>
      <c r="F52" s="23">
        <v>0.84399999999999997</v>
      </c>
      <c r="G52" s="23">
        <v>0.84399999999999997</v>
      </c>
      <c r="H52" s="23">
        <v>0.84399999999999997</v>
      </c>
      <c r="I52" s="23">
        <v>0.84399999999999997</v>
      </c>
      <c r="J52" s="23">
        <v>0.84399999999999997</v>
      </c>
    </row>
    <row r="53" spans="1:10" x14ac:dyDescent="0.25">
      <c r="A53" s="23" t="s">
        <v>333</v>
      </c>
      <c r="B53" s="23" t="s">
        <v>17</v>
      </c>
      <c r="C53" s="23">
        <v>0.87</v>
      </c>
      <c r="D53" s="23">
        <v>0.88142857142857134</v>
      </c>
      <c r="E53" s="23">
        <v>0.89285714285714279</v>
      </c>
      <c r="F53" s="23">
        <v>0.90428571428571414</v>
      </c>
      <c r="G53" s="23">
        <v>0.9157142857142857</v>
      </c>
      <c r="H53" s="23">
        <v>0.92714285714285716</v>
      </c>
      <c r="I53" s="23">
        <v>0.93857142857142839</v>
      </c>
      <c r="J53" s="23">
        <v>0.95</v>
      </c>
    </row>
    <row r="54" spans="1:10" x14ac:dyDescent="0.25">
      <c r="A54" s="23" t="s">
        <v>333</v>
      </c>
      <c r="B54" s="23" t="s">
        <v>18</v>
      </c>
      <c r="C54" s="23">
        <v>0.83699999999999997</v>
      </c>
      <c r="D54" s="23">
        <v>0.83699999999999997</v>
      </c>
      <c r="E54" s="23">
        <v>0.83699999999999997</v>
      </c>
      <c r="F54" s="23">
        <v>0.83699999999999997</v>
      </c>
      <c r="G54" s="23">
        <v>0.83699999999999997</v>
      </c>
      <c r="H54" s="23">
        <v>0.83699999999999997</v>
      </c>
      <c r="I54" s="23">
        <v>0.83699999999999997</v>
      </c>
      <c r="J54" s="23">
        <v>0.83699999999999997</v>
      </c>
    </row>
    <row r="55" spans="1:10" x14ac:dyDescent="0.25">
      <c r="A55" s="23" t="s">
        <v>333</v>
      </c>
      <c r="B55" s="23" t="s">
        <v>50</v>
      </c>
      <c r="C55" s="23">
        <v>0.84</v>
      </c>
      <c r="D55" s="23">
        <v>0.84</v>
      </c>
      <c r="E55" s="23">
        <v>0.84</v>
      </c>
      <c r="F55" s="23">
        <v>0.84</v>
      </c>
      <c r="G55" s="23">
        <v>0.84</v>
      </c>
      <c r="H55" s="23">
        <v>0.84</v>
      </c>
      <c r="I55" s="23">
        <v>0.84</v>
      </c>
      <c r="J55" s="23">
        <v>0.84</v>
      </c>
    </row>
    <row r="56" spans="1:10" x14ac:dyDescent="0.25">
      <c r="A56" s="23" t="s">
        <v>333</v>
      </c>
      <c r="B56" s="23" t="s">
        <v>126</v>
      </c>
      <c r="C56" s="23">
        <v>0.95</v>
      </c>
      <c r="D56" s="23">
        <v>0.94999999999999984</v>
      </c>
      <c r="E56" s="23">
        <v>0.95</v>
      </c>
      <c r="F56" s="23">
        <v>0.95</v>
      </c>
      <c r="G56" s="23">
        <v>0.95</v>
      </c>
      <c r="H56" s="23">
        <v>0.95</v>
      </c>
      <c r="I56" s="23">
        <v>0.94999999999999984</v>
      </c>
      <c r="J56" s="23">
        <v>0.95</v>
      </c>
    </row>
    <row r="57" spans="1:10" x14ac:dyDescent="0.25">
      <c r="A57" s="23" t="s">
        <v>333</v>
      </c>
      <c r="B57" s="23" t="s">
        <v>54</v>
      </c>
      <c r="C57" s="23">
        <v>0.95</v>
      </c>
      <c r="D57" s="23">
        <v>0.94999999999999984</v>
      </c>
      <c r="E57" s="23">
        <v>0.95</v>
      </c>
      <c r="F57" s="23">
        <v>0.95</v>
      </c>
      <c r="G57" s="23">
        <v>0.95</v>
      </c>
      <c r="H57" s="23">
        <v>0.95</v>
      </c>
      <c r="I57" s="23">
        <v>0.94999999999999984</v>
      </c>
      <c r="J57" s="23">
        <v>0.95</v>
      </c>
    </row>
    <row r="58" spans="1:10" x14ac:dyDescent="0.25">
      <c r="A58" s="23" t="s">
        <v>333</v>
      </c>
      <c r="B58" s="23" t="s">
        <v>127</v>
      </c>
      <c r="C58" s="23">
        <v>0.95</v>
      </c>
      <c r="D58" s="23">
        <v>0.94999999999999984</v>
      </c>
      <c r="E58" s="23">
        <v>0.95</v>
      </c>
      <c r="F58" s="23">
        <v>0.95</v>
      </c>
      <c r="G58" s="23">
        <v>0.95</v>
      </c>
      <c r="H58" s="23">
        <v>0.95</v>
      </c>
      <c r="I58" s="23">
        <v>0.94999999999999984</v>
      </c>
      <c r="J58" s="23">
        <v>0.95</v>
      </c>
    </row>
    <row r="59" spans="1:10" x14ac:dyDescent="0.25">
      <c r="A59" s="23" t="s">
        <v>333</v>
      </c>
      <c r="B59" s="23" t="s">
        <v>121</v>
      </c>
      <c r="C59" s="23">
        <v>0.95</v>
      </c>
      <c r="D59" s="23">
        <v>0.94999999999999984</v>
      </c>
      <c r="E59" s="23">
        <v>0.95</v>
      </c>
      <c r="F59" s="23">
        <v>0.95</v>
      </c>
      <c r="G59" s="23">
        <v>0.95</v>
      </c>
      <c r="H59" s="23">
        <v>0.95</v>
      </c>
      <c r="I59" s="23">
        <v>0.94999999999999984</v>
      </c>
      <c r="J59" s="23">
        <v>0.95</v>
      </c>
    </row>
    <row r="60" spans="1:10" x14ac:dyDescent="0.25">
      <c r="A60" s="23" t="s">
        <v>333</v>
      </c>
      <c r="B60" s="23" t="s">
        <v>122</v>
      </c>
      <c r="C60" s="23">
        <v>0.95</v>
      </c>
      <c r="D60" s="23">
        <v>0.94999999999999984</v>
      </c>
      <c r="E60" s="23">
        <v>0.95</v>
      </c>
      <c r="F60" s="23">
        <v>0.95</v>
      </c>
      <c r="G60" s="23">
        <v>0.95</v>
      </c>
      <c r="H60" s="23">
        <v>0.95</v>
      </c>
      <c r="I60" s="23">
        <v>0.94999999999999984</v>
      </c>
      <c r="J60" s="23">
        <v>0.95</v>
      </c>
    </row>
    <row r="61" spans="1:10" x14ac:dyDescent="0.25">
      <c r="A61" s="23" t="s">
        <v>333</v>
      </c>
      <c r="B61" s="23" t="s">
        <v>56</v>
      </c>
      <c r="C61" s="23">
        <v>0.91734003623078653</v>
      </c>
      <c r="D61" s="23">
        <v>0.91734003623078653</v>
      </c>
      <c r="E61" s="23">
        <v>0.91734003623078653</v>
      </c>
      <c r="F61" s="23">
        <v>0.91734003623078653</v>
      </c>
      <c r="G61" s="23">
        <v>0.91734003623078653</v>
      </c>
      <c r="H61" s="23">
        <v>0.91734003623078653</v>
      </c>
      <c r="I61" s="23">
        <v>0.91734003623078653</v>
      </c>
      <c r="J61" s="23">
        <v>0.91734003623078653</v>
      </c>
    </row>
    <row r="62" spans="1:10" x14ac:dyDescent="0.25">
      <c r="A62" s="23" t="s">
        <v>333</v>
      </c>
      <c r="B62" s="23" t="s">
        <v>116</v>
      </c>
      <c r="C62" s="23">
        <v>0</v>
      </c>
      <c r="D62" s="23">
        <v>0</v>
      </c>
      <c r="E62" s="23">
        <v>0.95</v>
      </c>
      <c r="F62" s="23">
        <v>0.95</v>
      </c>
      <c r="G62" s="23">
        <v>0.95</v>
      </c>
      <c r="H62" s="23">
        <v>0.95</v>
      </c>
      <c r="I62" s="23">
        <v>0.94999999999999984</v>
      </c>
      <c r="J62" s="23">
        <v>0.95</v>
      </c>
    </row>
    <row r="63" spans="1:10" x14ac:dyDescent="0.25">
      <c r="A63" s="23" t="s">
        <v>333</v>
      </c>
      <c r="B63" s="23" t="s">
        <v>55</v>
      </c>
      <c r="C63" s="23">
        <v>0.95</v>
      </c>
      <c r="D63" s="23">
        <v>0.94999999999999984</v>
      </c>
      <c r="E63" s="23">
        <v>0.95</v>
      </c>
      <c r="F63" s="23">
        <v>0.95</v>
      </c>
      <c r="G63" s="23">
        <v>0.95</v>
      </c>
      <c r="H63" s="23">
        <v>0.95</v>
      </c>
      <c r="I63" s="23">
        <v>0.94999999999999984</v>
      </c>
      <c r="J63" s="23">
        <v>0.95</v>
      </c>
    </row>
    <row r="64" spans="1:10" x14ac:dyDescent="0.25">
      <c r="A64" s="23" t="s">
        <v>333</v>
      </c>
      <c r="B64" s="23" t="s">
        <v>117</v>
      </c>
      <c r="C64" s="23">
        <v>0</v>
      </c>
      <c r="D64" s="23">
        <v>0.94999999999999984</v>
      </c>
      <c r="E64" s="23">
        <v>0.95</v>
      </c>
      <c r="F64" s="23">
        <v>0.95</v>
      </c>
      <c r="G64" s="23">
        <v>0.95</v>
      </c>
      <c r="H64" s="23">
        <v>0.95</v>
      </c>
      <c r="I64" s="23">
        <v>0.94999999999999984</v>
      </c>
      <c r="J64" s="23">
        <v>0.95</v>
      </c>
    </row>
    <row r="65" spans="1:10" x14ac:dyDescent="0.25">
      <c r="A65" s="23" t="s">
        <v>333</v>
      </c>
      <c r="B65" s="23" t="s">
        <v>173</v>
      </c>
      <c r="C65" s="23">
        <v>0.95</v>
      </c>
      <c r="D65" s="23">
        <v>0.94999999999999984</v>
      </c>
      <c r="E65" s="23">
        <v>0.95</v>
      </c>
      <c r="F65" s="23">
        <v>0.95</v>
      </c>
      <c r="G65" s="23">
        <v>0.95</v>
      </c>
      <c r="H65" s="23">
        <v>0.95</v>
      </c>
      <c r="I65" s="23">
        <v>0.94999999999999984</v>
      </c>
      <c r="J65" s="23">
        <v>0.95</v>
      </c>
    </row>
    <row r="66" spans="1:10" x14ac:dyDescent="0.25">
      <c r="A66" s="23" t="s">
        <v>333</v>
      </c>
      <c r="B66" s="23" t="s">
        <v>174</v>
      </c>
      <c r="C66" s="23">
        <v>0.95</v>
      </c>
      <c r="D66" s="23">
        <v>0.94999999999999984</v>
      </c>
      <c r="E66" s="23">
        <v>0.95</v>
      </c>
      <c r="F66" s="23">
        <v>0.95</v>
      </c>
      <c r="G66" s="23">
        <v>0.95</v>
      </c>
      <c r="H66" s="23">
        <v>0.95</v>
      </c>
      <c r="I66" s="23">
        <v>0.94999999999999984</v>
      </c>
      <c r="J66" s="23">
        <v>0.95</v>
      </c>
    </row>
    <row r="67" spans="1:10" x14ac:dyDescent="0.25">
      <c r="A67" s="23" t="s">
        <v>333</v>
      </c>
      <c r="B67" s="23" t="s">
        <v>79</v>
      </c>
      <c r="C67" s="23">
        <v>1</v>
      </c>
      <c r="D67" s="23">
        <v>1</v>
      </c>
      <c r="E67" s="23">
        <v>1</v>
      </c>
      <c r="F67" s="23">
        <v>1</v>
      </c>
      <c r="G67" s="23">
        <v>1</v>
      </c>
      <c r="H67" s="23">
        <v>1</v>
      </c>
      <c r="I67" s="23">
        <v>1</v>
      </c>
      <c r="J67" s="23">
        <v>1</v>
      </c>
    </row>
    <row r="68" spans="1:10" x14ac:dyDescent="0.25">
      <c r="A68" s="23" t="s">
        <v>333</v>
      </c>
      <c r="B68" s="23" t="s">
        <v>78</v>
      </c>
      <c r="C68" s="23">
        <v>1</v>
      </c>
      <c r="D68" s="23">
        <v>1</v>
      </c>
      <c r="E68" s="23">
        <v>1</v>
      </c>
      <c r="F68" s="23">
        <v>1</v>
      </c>
      <c r="G68" s="23">
        <v>1</v>
      </c>
      <c r="H68" s="23">
        <v>1</v>
      </c>
      <c r="I68" s="23">
        <v>1</v>
      </c>
      <c r="J68" s="23">
        <v>1</v>
      </c>
    </row>
    <row r="69" spans="1:10" x14ac:dyDescent="0.25">
      <c r="A69" s="23" t="s">
        <v>333</v>
      </c>
      <c r="B69" s="23" t="s">
        <v>77</v>
      </c>
      <c r="C69" s="23">
        <v>1</v>
      </c>
      <c r="D69" s="23">
        <v>1</v>
      </c>
      <c r="E69" s="23">
        <v>1</v>
      </c>
      <c r="F69" s="23">
        <v>1</v>
      </c>
      <c r="G69" s="23">
        <v>1</v>
      </c>
      <c r="H69" s="23">
        <v>1</v>
      </c>
      <c r="I69" s="23">
        <v>1</v>
      </c>
      <c r="J69" s="23">
        <v>1</v>
      </c>
    </row>
    <row r="70" spans="1:10" x14ac:dyDescent="0.25">
      <c r="A70" s="23" t="s">
        <v>333</v>
      </c>
      <c r="B70" s="23" t="s">
        <v>80</v>
      </c>
      <c r="C70" s="23">
        <v>1</v>
      </c>
      <c r="D70" s="23">
        <v>1</v>
      </c>
      <c r="E70" s="23">
        <v>1</v>
      </c>
      <c r="F70" s="23">
        <v>1</v>
      </c>
      <c r="G70" s="23">
        <v>1</v>
      </c>
      <c r="H70" s="23">
        <v>1</v>
      </c>
      <c r="I70" s="23">
        <v>1</v>
      </c>
      <c r="J70" s="23">
        <v>1</v>
      </c>
    </row>
    <row r="71" spans="1:10" x14ac:dyDescent="0.25">
      <c r="A71" s="23" t="s">
        <v>333</v>
      </c>
      <c r="B71" s="23" t="s">
        <v>81</v>
      </c>
      <c r="C71" s="23">
        <v>1</v>
      </c>
      <c r="D71" s="23">
        <v>1</v>
      </c>
      <c r="E71" s="23">
        <v>1</v>
      </c>
      <c r="F71" s="23">
        <v>1</v>
      </c>
      <c r="G71" s="23">
        <v>1</v>
      </c>
      <c r="H71" s="23">
        <v>1</v>
      </c>
      <c r="I71" s="23">
        <v>1</v>
      </c>
      <c r="J71" s="23">
        <v>1</v>
      </c>
    </row>
    <row r="72" spans="1:10" x14ac:dyDescent="0.25">
      <c r="A72" s="23" t="s">
        <v>333</v>
      </c>
      <c r="B72" s="23" t="s">
        <v>148</v>
      </c>
      <c r="C72" s="23">
        <v>1</v>
      </c>
      <c r="D72" s="23">
        <v>1</v>
      </c>
      <c r="E72" s="23">
        <v>1</v>
      </c>
      <c r="F72" s="23">
        <v>1</v>
      </c>
      <c r="G72" s="23">
        <v>1</v>
      </c>
      <c r="H72" s="23">
        <v>1</v>
      </c>
      <c r="I72" s="23">
        <v>1</v>
      </c>
      <c r="J72" s="23">
        <v>1</v>
      </c>
    </row>
    <row r="73" spans="1:10" x14ac:dyDescent="0.25">
      <c r="A73" s="23" t="s">
        <v>333</v>
      </c>
      <c r="B73" s="23" t="s">
        <v>89</v>
      </c>
      <c r="C73" s="23">
        <v>0.98</v>
      </c>
      <c r="D73" s="23">
        <v>0.98</v>
      </c>
      <c r="E73" s="23">
        <v>0.98</v>
      </c>
      <c r="F73" s="23">
        <v>0.98</v>
      </c>
      <c r="G73" s="23">
        <v>0.98</v>
      </c>
      <c r="H73" s="23">
        <v>0.98</v>
      </c>
      <c r="I73" s="23">
        <v>0.98</v>
      </c>
      <c r="J73" s="23">
        <v>0.98</v>
      </c>
    </row>
    <row r="74" spans="1:10" x14ac:dyDescent="0.25">
      <c r="A74" s="23" t="s">
        <v>333</v>
      </c>
      <c r="B74" s="23" t="s">
        <v>90</v>
      </c>
      <c r="C74" s="23">
        <v>0.98</v>
      </c>
      <c r="D74" s="23">
        <v>0.98</v>
      </c>
      <c r="E74" s="23">
        <v>0.98</v>
      </c>
      <c r="F74" s="23">
        <v>0.98</v>
      </c>
      <c r="G74" s="23">
        <v>0.98</v>
      </c>
      <c r="H74" s="23">
        <v>0.98</v>
      </c>
      <c r="I74" s="23">
        <v>0.98</v>
      </c>
      <c r="J74" s="23">
        <v>0.98</v>
      </c>
    </row>
    <row r="75" spans="1:10" x14ac:dyDescent="0.25">
      <c r="A75" s="23" t="s">
        <v>333</v>
      </c>
      <c r="B75" s="23" t="s">
        <v>94</v>
      </c>
      <c r="C75" s="23">
        <v>0.92</v>
      </c>
      <c r="D75" s="23">
        <v>0.92</v>
      </c>
      <c r="E75" s="23">
        <v>0.92</v>
      </c>
      <c r="F75" s="23">
        <v>0.92</v>
      </c>
      <c r="G75" s="23">
        <v>0.92</v>
      </c>
      <c r="H75" s="23">
        <v>0.92</v>
      </c>
      <c r="I75" s="23">
        <v>0.92</v>
      </c>
      <c r="J75" s="23">
        <v>0.92</v>
      </c>
    </row>
    <row r="76" spans="1:10" x14ac:dyDescent="0.25">
      <c r="A76" s="23" t="s">
        <v>333</v>
      </c>
      <c r="B76" s="23" t="s">
        <v>91</v>
      </c>
      <c r="C76" s="23">
        <v>0.33</v>
      </c>
      <c r="D76" s="23">
        <v>0.33</v>
      </c>
      <c r="E76" s="23">
        <v>0.33</v>
      </c>
      <c r="F76" s="23">
        <v>0.33</v>
      </c>
      <c r="G76" s="23">
        <v>0.33</v>
      </c>
      <c r="H76" s="23">
        <v>0.33</v>
      </c>
      <c r="I76" s="23">
        <v>0.33</v>
      </c>
      <c r="J76" s="23">
        <v>0.33</v>
      </c>
    </row>
    <row r="77" spans="1:10" x14ac:dyDescent="0.25">
      <c r="A77" s="23" t="s">
        <v>333</v>
      </c>
      <c r="B77" s="23" t="s">
        <v>92</v>
      </c>
      <c r="C77" s="23">
        <v>0.9</v>
      </c>
      <c r="D77" s="23">
        <v>0.9</v>
      </c>
      <c r="E77" s="23">
        <v>0.9</v>
      </c>
      <c r="F77" s="23">
        <v>0.9</v>
      </c>
      <c r="G77" s="23">
        <v>0.9</v>
      </c>
      <c r="H77" s="23">
        <v>0.9</v>
      </c>
      <c r="I77" s="23">
        <v>0.9</v>
      </c>
      <c r="J77" s="23">
        <v>0.9</v>
      </c>
    </row>
    <row r="78" spans="1:10" x14ac:dyDescent="0.25">
      <c r="A78" s="23" t="s">
        <v>333</v>
      </c>
      <c r="B78" s="23" t="s">
        <v>93</v>
      </c>
      <c r="C78" s="23">
        <v>0.36</v>
      </c>
      <c r="D78" s="23">
        <v>0.45</v>
      </c>
      <c r="E78" s="23">
        <v>0.46</v>
      </c>
      <c r="F78" s="23">
        <v>0.47</v>
      </c>
      <c r="G78" s="23">
        <v>0.47</v>
      </c>
      <c r="H78" s="23">
        <v>0.47</v>
      </c>
      <c r="I78" s="23">
        <v>0.48</v>
      </c>
      <c r="J78" s="23">
        <v>0.5</v>
      </c>
    </row>
    <row r="79" spans="1:10" x14ac:dyDescent="0.25">
      <c r="A79" s="23" t="s">
        <v>333</v>
      </c>
      <c r="B79" s="23" t="s">
        <v>161</v>
      </c>
      <c r="C79" s="23">
        <v>0.98</v>
      </c>
      <c r="D79" s="23">
        <v>0.98</v>
      </c>
      <c r="E79" s="23">
        <v>0.98</v>
      </c>
      <c r="F79" s="23">
        <v>0.98</v>
      </c>
      <c r="G79" s="23">
        <v>0.98</v>
      </c>
      <c r="H79" s="23">
        <v>0.98</v>
      </c>
      <c r="I79" s="23">
        <v>0.98</v>
      </c>
      <c r="J79" s="23">
        <v>0.98</v>
      </c>
    </row>
    <row r="80" spans="1:10" x14ac:dyDescent="0.25">
      <c r="A80" s="23" t="s">
        <v>333</v>
      </c>
      <c r="B80" s="23" t="s">
        <v>162</v>
      </c>
      <c r="C80" s="23">
        <v>0.98</v>
      </c>
      <c r="D80" s="23">
        <v>0.98</v>
      </c>
      <c r="E80" s="23">
        <v>0.98</v>
      </c>
      <c r="F80" s="23">
        <v>0.98</v>
      </c>
      <c r="G80" s="23">
        <v>0.98</v>
      </c>
      <c r="H80" s="23">
        <v>0.98</v>
      </c>
      <c r="I80" s="23">
        <v>0.98</v>
      </c>
      <c r="J80" s="23">
        <v>0.98</v>
      </c>
    </row>
    <row r="81" spans="1:10" x14ac:dyDescent="0.25">
      <c r="A81" s="23" t="s">
        <v>333</v>
      </c>
      <c r="B81" s="23" t="s">
        <v>83</v>
      </c>
      <c r="C81" s="23">
        <v>0.98</v>
      </c>
      <c r="D81" s="23">
        <v>0.98</v>
      </c>
      <c r="E81" s="23">
        <v>0.98</v>
      </c>
      <c r="F81" s="23">
        <v>0.98</v>
      </c>
      <c r="G81" s="23">
        <v>0.98</v>
      </c>
      <c r="H81" s="23">
        <v>0.98</v>
      </c>
      <c r="I81" s="23">
        <v>0.98</v>
      </c>
      <c r="J81" s="23">
        <v>0.98</v>
      </c>
    </row>
    <row r="82" spans="1:10" x14ac:dyDescent="0.25">
      <c r="A82" s="23" t="s">
        <v>333</v>
      </c>
      <c r="B82" s="23" t="s">
        <v>82</v>
      </c>
      <c r="C82" s="23">
        <v>0.98</v>
      </c>
      <c r="D82" s="23">
        <v>0.98</v>
      </c>
      <c r="E82" s="23">
        <v>0.98</v>
      </c>
      <c r="F82" s="23">
        <v>0.98</v>
      </c>
      <c r="G82" s="23">
        <v>0.98</v>
      </c>
      <c r="H82" s="23">
        <v>0.98</v>
      </c>
      <c r="I82" s="23">
        <v>0.98</v>
      </c>
      <c r="J82" s="23">
        <v>0.98</v>
      </c>
    </row>
    <row r="83" spans="1:10" x14ac:dyDescent="0.25">
      <c r="A83" s="23" t="s">
        <v>333</v>
      </c>
      <c r="B83" s="23" t="s">
        <v>84</v>
      </c>
      <c r="C83" s="23">
        <v>0.98</v>
      </c>
      <c r="D83" s="23">
        <v>0.98</v>
      </c>
      <c r="E83" s="23">
        <v>0.98</v>
      </c>
      <c r="F83" s="23">
        <v>0.98</v>
      </c>
      <c r="G83" s="23">
        <v>0.98</v>
      </c>
      <c r="H83" s="23">
        <v>0.98</v>
      </c>
      <c r="I83" s="23">
        <v>0.98</v>
      </c>
      <c r="J83" s="23">
        <v>0.98</v>
      </c>
    </row>
    <row r="84" spans="1:10" x14ac:dyDescent="0.25">
      <c r="A84" s="23" t="s">
        <v>333</v>
      </c>
      <c r="B84" s="23" t="s">
        <v>154</v>
      </c>
      <c r="C84" s="23">
        <v>0.98</v>
      </c>
      <c r="D84" s="23">
        <v>0.98</v>
      </c>
      <c r="E84" s="23">
        <v>0.98</v>
      </c>
      <c r="F84" s="23">
        <v>0.98</v>
      </c>
      <c r="G84" s="23">
        <v>0.98</v>
      </c>
      <c r="H84" s="23">
        <v>0.98</v>
      </c>
      <c r="I84" s="23">
        <v>0.98</v>
      </c>
      <c r="J84" s="23">
        <v>0.98</v>
      </c>
    </row>
    <row r="85" spans="1:10" x14ac:dyDescent="0.25">
      <c r="A85" s="23" t="s">
        <v>333</v>
      </c>
      <c r="B85" s="23" t="s">
        <v>155</v>
      </c>
      <c r="C85" s="23">
        <v>0.98</v>
      </c>
      <c r="D85" s="23">
        <v>0.98</v>
      </c>
      <c r="E85" s="23">
        <v>0.98</v>
      </c>
      <c r="F85" s="23">
        <v>0.98</v>
      </c>
      <c r="G85" s="23">
        <v>0.98</v>
      </c>
      <c r="H85" s="23">
        <v>0.98</v>
      </c>
      <c r="I85" s="23">
        <v>0.98</v>
      </c>
      <c r="J85" s="23">
        <v>0.98</v>
      </c>
    </row>
    <row r="86" spans="1:10" x14ac:dyDescent="0.25">
      <c r="A86" s="23" t="s">
        <v>333</v>
      </c>
      <c r="B86" s="23" t="s">
        <v>156</v>
      </c>
      <c r="C86" s="23">
        <v>0.98</v>
      </c>
      <c r="D86" s="23">
        <v>0.98</v>
      </c>
      <c r="E86" s="23">
        <v>0.98</v>
      </c>
      <c r="F86" s="23">
        <v>0.98</v>
      </c>
      <c r="G86" s="23">
        <v>0.98</v>
      </c>
      <c r="H86" s="23">
        <v>0.98</v>
      </c>
      <c r="I86" s="23">
        <v>0.98</v>
      </c>
      <c r="J86" s="23">
        <v>0.98</v>
      </c>
    </row>
    <row r="87" spans="1:10" x14ac:dyDescent="0.25">
      <c r="A87" s="23" t="s">
        <v>333</v>
      </c>
      <c r="B87" s="23" t="s">
        <v>86</v>
      </c>
      <c r="C87" s="23">
        <v>0.98</v>
      </c>
      <c r="D87" s="23">
        <v>0.98</v>
      </c>
      <c r="E87" s="23">
        <v>0.98</v>
      </c>
      <c r="F87" s="23">
        <v>0.98</v>
      </c>
      <c r="G87" s="23">
        <v>0.98</v>
      </c>
      <c r="H87" s="23">
        <v>0.98</v>
      </c>
      <c r="I87" s="23">
        <v>0.98</v>
      </c>
      <c r="J87" s="23">
        <v>0.98</v>
      </c>
    </row>
    <row r="88" spans="1:10" x14ac:dyDescent="0.25">
      <c r="A88" s="23" t="s">
        <v>333</v>
      </c>
      <c r="B88" s="23" t="s">
        <v>85</v>
      </c>
      <c r="C88" s="23">
        <v>0.98</v>
      </c>
      <c r="D88" s="23">
        <v>0.98</v>
      </c>
      <c r="E88" s="23">
        <v>0.98</v>
      </c>
      <c r="F88" s="23">
        <v>0.98</v>
      </c>
      <c r="G88" s="23">
        <v>0.98</v>
      </c>
      <c r="H88" s="23">
        <v>0.98</v>
      </c>
      <c r="I88" s="23">
        <v>0.98</v>
      </c>
      <c r="J88" s="23">
        <v>0.98</v>
      </c>
    </row>
    <row r="89" spans="1:10" x14ac:dyDescent="0.25">
      <c r="A89" s="23" t="s">
        <v>333</v>
      </c>
      <c r="B89" s="23" t="s">
        <v>87</v>
      </c>
      <c r="C89" s="23">
        <v>0.98</v>
      </c>
      <c r="D89" s="23">
        <v>0.98</v>
      </c>
      <c r="E89" s="23">
        <v>0.98</v>
      </c>
      <c r="F89" s="23">
        <v>0.98</v>
      </c>
      <c r="G89" s="23">
        <v>0.98</v>
      </c>
      <c r="H89" s="23">
        <v>0.98</v>
      </c>
      <c r="I89" s="23">
        <v>0.98</v>
      </c>
      <c r="J89" s="23">
        <v>0.98</v>
      </c>
    </row>
    <row r="90" spans="1:10" x14ac:dyDescent="0.25">
      <c r="A90" s="23" t="s">
        <v>333</v>
      </c>
      <c r="B90" s="23" t="s">
        <v>114</v>
      </c>
      <c r="C90" s="23">
        <v>0.98199999999999998</v>
      </c>
      <c r="D90" s="23">
        <v>0.98199999999999998</v>
      </c>
      <c r="E90" s="23">
        <v>0.98199999999999998</v>
      </c>
      <c r="F90" s="23">
        <v>0.98199999999999998</v>
      </c>
      <c r="G90" s="23">
        <v>0.98199999999999998</v>
      </c>
      <c r="H90" s="23">
        <v>0.98199999999999998</v>
      </c>
      <c r="I90" s="23">
        <v>0.98199999999999998</v>
      </c>
      <c r="J90" s="23">
        <v>0.98199999999999998</v>
      </c>
    </row>
    <row r="91" spans="1:10" x14ac:dyDescent="0.25">
      <c r="A91" s="23" t="s">
        <v>333</v>
      </c>
      <c r="B91" s="23" t="s">
        <v>115</v>
      </c>
      <c r="C91" s="23">
        <v>0.98199999999999998</v>
      </c>
      <c r="D91" s="23">
        <v>0.98199999999999998</v>
      </c>
      <c r="E91" s="23">
        <v>0.98199999999999998</v>
      </c>
      <c r="F91" s="23">
        <v>0.98199999999999998</v>
      </c>
      <c r="G91" s="23">
        <v>0.98199999999999998</v>
      </c>
      <c r="H91" s="23">
        <v>0.98199999999999998</v>
      </c>
      <c r="I91" s="23">
        <v>0.98199999999999998</v>
      </c>
      <c r="J91" s="23">
        <v>0.98199999999999998</v>
      </c>
    </row>
    <row r="92" spans="1:10" x14ac:dyDescent="0.25">
      <c r="A92" s="23" t="s">
        <v>333</v>
      </c>
      <c r="B92" s="23" t="s">
        <v>152</v>
      </c>
      <c r="C92" s="23">
        <v>0.98199999999999998</v>
      </c>
      <c r="D92" s="23">
        <v>0.98199999999999998</v>
      </c>
      <c r="E92" s="23">
        <v>0.98199999999999998</v>
      </c>
      <c r="F92" s="23">
        <v>0.98199999999999998</v>
      </c>
      <c r="G92" s="23">
        <v>0.98199999999999998</v>
      </c>
      <c r="H92" s="23">
        <v>0.98199999999999998</v>
      </c>
      <c r="I92" s="23">
        <v>0.98199999999999998</v>
      </c>
      <c r="J92" s="23">
        <v>0.98199999999999998</v>
      </c>
    </row>
    <row r="93" spans="1:10" x14ac:dyDescent="0.25">
      <c r="A93" s="23" t="s">
        <v>333</v>
      </c>
      <c r="B93" s="23" t="s">
        <v>184</v>
      </c>
      <c r="C93" s="23">
        <v>1</v>
      </c>
      <c r="D93" s="23">
        <v>1</v>
      </c>
      <c r="E93" s="23">
        <v>1</v>
      </c>
      <c r="F93" s="23">
        <v>1</v>
      </c>
      <c r="G93" s="23">
        <v>1</v>
      </c>
      <c r="H93" s="23">
        <v>1</v>
      </c>
      <c r="I93" s="23">
        <v>1</v>
      </c>
      <c r="J93" s="23">
        <v>1</v>
      </c>
    </row>
    <row r="94" spans="1:10" x14ac:dyDescent="0.25">
      <c r="A94" s="23" t="s">
        <v>333</v>
      </c>
      <c r="B94" s="23" t="s">
        <v>182</v>
      </c>
      <c r="C94" s="23">
        <v>0.84</v>
      </c>
      <c r="D94" s="23">
        <v>0.84</v>
      </c>
      <c r="E94" s="23">
        <v>0.84</v>
      </c>
      <c r="F94" s="23">
        <v>0.84</v>
      </c>
      <c r="G94" s="23">
        <v>0.84</v>
      </c>
      <c r="H94" s="23">
        <v>0.84</v>
      </c>
      <c r="I94" s="23">
        <v>0.84</v>
      </c>
      <c r="J94" s="23">
        <v>0.84</v>
      </c>
    </row>
    <row r="95" spans="1:10" x14ac:dyDescent="0.25">
      <c r="A95" s="23" t="s">
        <v>333</v>
      </c>
      <c r="B95" s="23" t="s">
        <v>183</v>
      </c>
      <c r="C95" s="23">
        <v>0.84</v>
      </c>
      <c r="D95" s="23">
        <v>0.84</v>
      </c>
      <c r="E95" s="23">
        <v>0.84</v>
      </c>
      <c r="F95" s="23">
        <v>0.84</v>
      </c>
      <c r="G95" s="23">
        <v>0.84</v>
      </c>
      <c r="H95" s="23">
        <v>0.84</v>
      </c>
      <c r="I95" s="23">
        <v>0.84</v>
      </c>
      <c r="J95" s="23">
        <v>0.84</v>
      </c>
    </row>
    <row r="96" spans="1:10" x14ac:dyDescent="0.25">
      <c r="A96" s="23" t="s">
        <v>333</v>
      </c>
      <c r="B96" s="23" t="s">
        <v>207</v>
      </c>
      <c r="C96" s="23">
        <v>0.98</v>
      </c>
      <c r="D96" s="23">
        <v>0.98</v>
      </c>
      <c r="E96" s="23">
        <v>0.98</v>
      </c>
      <c r="F96" s="23">
        <v>0.98</v>
      </c>
      <c r="G96" s="23">
        <v>0.98</v>
      </c>
      <c r="H96" s="23">
        <v>0.98</v>
      </c>
      <c r="I96" s="23">
        <v>0.98</v>
      </c>
      <c r="J96" s="23">
        <v>0.98</v>
      </c>
    </row>
    <row r="97" spans="1:10" x14ac:dyDescent="0.25">
      <c r="A97" s="23" t="s">
        <v>333</v>
      </c>
      <c r="B97" s="23" t="s">
        <v>194</v>
      </c>
      <c r="C97" s="23">
        <v>0.98</v>
      </c>
      <c r="D97" s="23">
        <v>0.98</v>
      </c>
      <c r="E97" s="23">
        <v>0.98</v>
      </c>
      <c r="F97" s="23">
        <v>0.98</v>
      </c>
      <c r="G97" s="23">
        <v>0.98</v>
      </c>
      <c r="H97" s="23">
        <v>0.98</v>
      </c>
      <c r="I97" s="23">
        <v>0.98</v>
      </c>
      <c r="J97" s="23">
        <v>0.98</v>
      </c>
    </row>
    <row r="98" spans="1:10" x14ac:dyDescent="0.25">
      <c r="A98" s="23" t="s">
        <v>333</v>
      </c>
      <c r="B98" s="23" t="s">
        <v>189</v>
      </c>
      <c r="C98" s="23">
        <v>0.98</v>
      </c>
      <c r="D98" s="23">
        <v>0.98</v>
      </c>
      <c r="E98" s="23">
        <v>0.98</v>
      </c>
      <c r="F98" s="23">
        <v>0.98</v>
      </c>
      <c r="G98" s="23">
        <v>0.98</v>
      </c>
      <c r="H98" s="23">
        <v>0.98</v>
      </c>
      <c r="I98" s="23">
        <v>0.98</v>
      </c>
      <c r="J98" s="23">
        <v>0.98</v>
      </c>
    </row>
    <row r="99" spans="1:10" x14ac:dyDescent="0.25">
      <c r="A99" s="23" t="s">
        <v>333</v>
      </c>
      <c r="B99" s="23" t="s">
        <v>193</v>
      </c>
      <c r="C99" s="23">
        <v>0.98</v>
      </c>
      <c r="D99" s="23">
        <v>0.98</v>
      </c>
      <c r="E99" s="23">
        <v>0.98</v>
      </c>
      <c r="F99" s="23">
        <v>0.98</v>
      </c>
      <c r="G99" s="23">
        <v>0.98</v>
      </c>
      <c r="H99" s="23">
        <v>0.98</v>
      </c>
      <c r="I99" s="23">
        <v>0.98</v>
      </c>
      <c r="J99" s="23">
        <v>0.98</v>
      </c>
    </row>
    <row r="100" spans="1:10" x14ac:dyDescent="0.25">
      <c r="A100" s="23" t="s">
        <v>333</v>
      </c>
      <c r="B100" s="23" t="s">
        <v>190</v>
      </c>
      <c r="C100" s="23">
        <v>0.98</v>
      </c>
      <c r="D100" s="23">
        <v>0.98</v>
      </c>
      <c r="E100" s="23">
        <v>0.98</v>
      </c>
      <c r="F100" s="23">
        <v>0.98</v>
      </c>
      <c r="G100" s="23">
        <v>0.98</v>
      </c>
      <c r="H100" s="23">
        <v>0.98</v>
      </c>
      <c r="I100" s="23">
        <v>0.98</v>
      </c>
      <c r="J100" s="23">
        <v>0.98</v>
      </c>
    </row>
    <row r="101" spans="1:10" x14ac:dyDescent="0.25">
      <c r="A101" s="23" t="s">
        <v>333</v>
      </c>
      <c r="B101" s="23" t="s">
        <v>191</v>
      </c>
      <c r="C101" s="23">
        <v>0.98</v>
      </c>
      <c r="D101" s="23">
        <v>0.98</v>
      </c>
      <c r="E101" s="23">
        <v>0.98</v>
      </c>
      <c r="F101" s="23">
        <v>0.98</v>
      </c>
      <c r="G101" s="23">
        <v>0.98</v>
      </c>
      <c r="H101" s="23">
        <v>0.98</v>
      </c>
      <c r="I101" s="23">
        <v>0.98</v>
      </c>
      <c r="J101" s="23">
        <v>0.98</v>
      </c>
    </row>
    <row r="102" spans="1:10" x14ac:dyDescent="0.25">
      <c r="A102" s="23" t="s">
        <v>333</v>
      </c>
      <c r="B102" s="23" t="s">
        <v>192</v>
      </c>
      <c r="C102" s="23">
        <v>0.98</v>
      </c>
      <c r="D102" s="23">
        <v>0.98</v>
      </c>
      <c r="E102" s="23">
        <v>0.98</v>
      </c>
      <c r="F102" s="23">
        <v>0.98</v>
      </c>
      <c r="G102" s="23">
        <v>0.98</v>
      </c>
      <c r="H102" s="23">
        <v>0.98</v>
      </c>
      <c r="I102" s="23">
        <v>0.98</v>
      </c>
      <c r="J102" s="23">
        <v>0.98</v>
      </c>
    </row>
    <row r="103" spans="1:10" x14ac:dyDescent="0.25">
      <c r="A103" s="23" t="s">
        <v>333</v>
      </c>
      <c r="B103" s="23" t="s">
        <v>215</v>
      </c>
      <c r="C103" s="23">
        <v>0.98</v>
      </c>
      <c r="D103" s="23">
        <v>0.98</v>
      </c>
      <c r="E103" s="23">
        <v>0.98</v>
      </c>
      <c r="F103" s="23">
        <v>0.98</v>
      </c>
      <c r="G103" s="23">
        <v>0.98</v>
      </c>
      <c r="H103" s="23">
        <v>0.98</v>
      </c>
      <c r="I103" s="23">
        <v>0.98</v>
      </c>
      <c r="J103" s="23">
        <v>0.98</v>
      </c>
    </row>
    <row r="104" spans="1:10" x14ac:dyDescent="0.25">
      <c r="A104" s="23" t="s">
        <v>333</v>
      </c>
      <c r="B104" s="23" t="s">
        <v>216</v>
      </c>
      <c r="C104" s="23">
        <v>0.98</v>
      </c>
      <c r="D104" s="23">
        <v>0.98</v>
      </c>
      <c r="E104" s="23">
        <v>0.98</v>
      </c>
      <c r="F104" s="23">
        <v>0.98</v>
      </c>
      <c r="G104" s="23">
        <v>0.98</v>
      </c>
      <c r="H104" s="23">
        <v>0.98</v>
      </c>
      <c r="I104" s="23">
        <v>0.98</v>
      </c>
      <c r="J104" s="23">
        <v>0.98</v>
      </c>
    </row>
    <row r="105" spans="1:10" x14ac:dyDescent="0.25">
      <c r="A105" s="23" t="s">
        <v>333</v>
      </c>
      <c r="B105" s="23" t="s">
        <v>217</v>
      </c>
      <c r="C105" s="23">
        <v>0.98</v>
      </c>
      <c r="D105" s="23">
        <v>0.98</v>
      </c>
      <c r="E105" s="23">
        <v>0.98</v>
      </c>
      <c r="F105" s="23">
        <v>0.98</v>
      </c>
      <c r="G105" s="23">
        <v>0.98</v>
      </c>
      <c r="H105" s="23">
        <v>0.98</v>
      </c>
      <c r="I105" s="23">
        <v>0.98</v>
      </c>
      <c r="J105" s="23">
        <v>0.98</v>
      </c>
    </row>
    <row r="106" spans="1:10" x14ac:dyDescent="0.25">
      <c r="A106" s="23" t="s">
        <v>333</v>
      </c>
      <c r="B106" s="23" t="s">
        <v>218</v>
      </c>
      <c r="C106" s="23">
        <v>0.98</v>
      </c>
      <c r="D106" s="23">
        <v>0.98</v>
      </c>
      <c r="E106" s="23">
        <v>0.98</v>
      </c>
      <c r="F106" s="23">
        <v>0.98</v>
      </c>
      <c r="G106" s="23">
        <v>0.98</v>
      </c>
      <c r="H106" s="23">
        <v>0.98</v>
      </c>
      <c r="I106" s="23">
        <v>0.98</v>
      </c>
      <c r="J106" s="23">
        <v>0.98</v>
      </c>
    </row>
    <row r="107" spans="1:10" x14ac:dyDescent="0.25">
      <c r="A107" s="23" t="s">
        <v>333</v>
      </c>
      <c r="B107" s="23" t="s">
        <v>219</v>
      </c>
      <c r="C107" s="23">
        <v>0.98</v>
      </c>
      <c r="D107" s="23">
        <v>0.98</v>
      </c>
      <c r="E107" s="23">
        <v>0.98</v>
      </c>
      <c r="F107" s="23">
        <v>0.98</v>
      </c>
      <c r="G107" s="23">
        <v>0.98</v>
      </c>
      <c r="H107" s="23">
        <v>0.98</v>
      </c>
      <c r="I107" s="23">
        <v>0.98</v>
      </c>
      <c r="J107" s="23">
        <v>0.98</v>
      </c>
    </row>
    <row r="108" spans="1:10" x14ac:dyDescent="0.25">
      <c r="A108" s="23" t="s">
        <v>333</v>
      </c>
      <c r="B108" s="23" t="s">
        <v>198</v>
      </c>
      <c r="C108" s="23">
        <v>0.98</v>
      </c>
      <c r="D108" s="23">
        <v>0.98</v>
      </c>
      <c r="E108" s="23">
        <v>0.98</v>
      </c>
      <c r="F108" s="23">
        <v>0.98</v>
      </c>
      <c r="G108" s="23">
        <v>0.98</v>
      </c>
      <c r="H108" s="23">
        <v>0.98</v>
      </c>
      <c r="I108" s="23">
        <v>0.98</v>
      </c>
      <c r="J108" s="23">
        <v>0.98</v>
      </c>
    </row>
    <row r="109" spans="1:10" x14ac:dyDescent="0.25">
      <c r="A109" s="23" t="s">
        <v>333</v>
      </c>
      <c r="B109" s="23" t="s">
        <v>208</v>
      </c>
      <c r="C109" s="23">
        <v>0.98</v>
      </c>
      <c r="D109" s="23">
        <v>0.98</v>
      </c>
      <c r="E109" s="23">
        <v>0.98</v>
      </c>
      <c r="F109" s="23">
        <v>0.98</v>
      </c>
      <c r="G109" s="23">
        <v>0.98</v>
      </c>
      <c r="H109" s="23">
        <v>0.98</v>
      </c>
      <c r="I109" s="23">
        <v>0.98</v>
      </c>
      <c r="J109" s="23">
        <v>0.98</v>
      </c>
    </row>
    <row r="110" spans="1:10" x14ac:dyDescent="0.25">
      <c r="A110" s="23" t="s">
        <v>333</v>
      </c>
      <c r="B110" s="23" t="s">
        <v>209</v>
      </c>
      <c r="C110" s="23">
        <v>0.98</v>
      </c>
      <c r="D110" s="23">
        <v>0.98</v>
      </c>
      <c r="E110" s="23">
        <v>0.98</v>
      </c>
      <c r="F110" s="23">
        <v>0.98</v>
      </c>
      <c r="G110" s="23">
        <v>0.98</v>
      </c>
      <c r="H110" s="23">
        <v>0.98</v>
      </c>
      <c r="I110" s="23">
        <v>0.98</v>
      </c>
      <c r="J110" s="23">
        <v>0.98</v>
      </c>
    </row>
    <row r="111" spans="1:10" x14ac:dyDescent="0.25">
      <c r="A111" s="23" t="s">
        <v>333</v>
      </c>
      <c r="B111" s="23" t="s">
        <v>199</v>
      </c>
      <c r="C111" s="23">
        <v>0.98</v>
      </c>
      <c r="D111" s="23">
        <v>0.98</v>
      </c>
      <c r="E111" s="23">
        <v>0.98</v>
      </c>
      <c r="F111" s="23">
        <v>0.98</v>
      </c>
      <c r="G111" s="23">
        <v>0.98</v>
      </c>
      <c r="H111" s="23">
        <v>0.98</v>
      </c>
      <c r="I111" s="23">
        <v>0.98</v>
      </c>
      <c r="J111" s="23">
        <v>0.98</v>
      </c>
    </row>
    <row r="112" spans="1:10" x14ac:dyDescent="0.25">
      <c r="A112" s="23" t="s">
        <v>333</v>
      </c>
      <c r="B112" s="23" t="s">
        <v>200</v>
      </c>
      <c r="C112" s="23">
        <v>0.98</v>
      </c>
      <c r="D112" s="23">
        <v>0.98</v>
      </c>
      <c r="E112" s="23">
        <v>0.98</v>
      </c>
      <c r="F112" s="23">
        <v>0.98</v>
      </c>
      <c r="G112" s="23">
        <v>0.98</v>
      </c>
      <c r="H112" s="23">
        <v>0.98</v>
      </c>
      <c r="I112" s="23">
        <v>0.98</v>
      </c>
      <c r="J112" s="23">
        <v>0.98</v>
      </c>
    </row>
    <row r="113" spans="1:10" x14ac:dyDescent="0.25">
      <c r="A113" s="23" t="s">
        <v>333</v>
      </c>
      <c r="B113" s="23" t="s">
        <v>201</v>
      </c>
      <c r="C113" s="23">
        <v>0.98</v>
      </c>
      <c r="D113" s="23">
        <v>0.98</v>
      </c>
      <c r="E113" s="23">
        <v>0.98</v>
      </c>
      <c r="F113" s="23">
        <v>0.98</v>
      </c>
      <c r="G113" s="23">
        <v>0.98</v>
      </c>
      <c r="H113" s="23">
        <v>0.98</v>
      </c>
      <c r="I113" s="23">
        <v>0.98</v>
      </c>
      <c r="J113" s="23">
        <v>0.98</v>
      </c>
    </row>
    <row r="114" spans="1:10" x14ac:dyDescent="0.25">
      <c r="A114" s="23" t="s">
        <v>333</v>
      </c>
      <c r="B114" s="23" t="s">
        <v>202</v>
      </c>
      <c r="C114" s="23">
        <v>0.98</v>
      </c>
      <c r="D114" s="23">
        <v>0.98</v>
      </c>
      <c r="E114" s="23">
        <v>0.98</v>
      </c>
      <c r="F114" s="23">
        <v>0.98</v>
      </c>
      <c r="G114" s="23">
        <v>0.98</v>
      </c>
      <c r="H114" s="23">
        <v>0.98</v>
      </c>
      <c r="I114" s="23">
        <v>0.98</v>
      </c>
      <c r="J114" s="23">
        <v>0.98</v>
      </c>
    </row>
    <row r="115" spans="1:10" x14ac:dyDescent="0.25">
      <c r="A115" s="23" t="s">
        <v>333</v>
      </c>
      <c r="B115" s="23" t="s">
        <v>203</v>
      </c>
      <c r="C115" s="23">
        <v>0.98</v>
      </c>
      <c r="D115" s="23">
        <v>0.98</v>
      </c>
      <c r="E115" s="23">
        <v>0.98</v>
      </c>
      <c r="F115" s="23">
        <v>0.98</v>
      </c>
      <c r="G115" s="23">
        <v>0.98</v>
      </c>
      <c r="H115" s="23">
        <v>0.98</v>
      </c>
      <c r="I115" s="23">
        <v>0.98</v>
      </c>
      <c r="J115" s="23">
        <v>0.98</v>
      </c>
    </row>
    <row r="116" spans="1:10" x14ac:dyDescent="0.25">
      <c r="A116" s="23" t="s">
        <v>333</v>
      </c>
      <c r="B116" s="23" t="s">
        <v>204</v>
      </c>
      <c r="C116" s="23">
        <v>0.98</v>
      </c>
      <c r="D116" s="23">
        <v>0.98</v>
      </c>
      <c r="E116" s="23">
        <v>0.98</v>
      </c>
      <c r="F116" s="23">
        <v>0.98</v>
      </c>
      <c r="G116" s="23">
        <v>0.98</v>
      </c>
      <c r="H116" s="23">
        <v>0.98</v>
      </c>
      <c r="I116" s="23">
        <v>0.98</v>
      </c>
      <c r="J116" s="23">
        <v>0.98</v>
      </c>
    </row>
    <row r="117" spans="1:10" x14ac:dyDescent="0.25">
      <c r="A117" s="23" t="s">
        <v>333</v>
      </c>
      <c r="B117" s="23" t="s">
        <v>232</v>
      </c>
      <c r="C117" s="23">
        <v>0.98</v>
      </c>
      <c r="D117" s="23">
        <v>0.98</v>
      </c>
      <c r="E117" s="23">
        <v>0.98</v>
      </c>
      <c r="F117" s="23">
        <v>0.98</v>
      </c>
      <c r="G117" s="23">
        <v>0.98</v>
      </c>
      <c r="H117" s="23">
        <v>0.98</v>
      </c>
      <c r="I117" s="23">
        <v>0.98</v>
      </c>
      <c r="J117" s="23">
        <v>0.98</v>
      </c>
    </row>
    <row r="118" spans="1:10" x14ac:dyDescent="0.25">
      <c r="A118" s="23" t="s">
        <v>333</v>
      </c>
      <c r="B118" s="23" t="s">
        <v>221</v>
      </c>
      <c r="C118" s="23">
        <v>0.98</v>
      </c>
      <c r="D118" s="23">
        <v>0.98</v>
      </c>
      <c r="E118" s="23">
        <v>0.98</v>
      </c>
      <c r="F118" s="23">
        <v>0.98</v>
      </c>
      <c r="G118" s="23">
        <v>0.98</v>
      </c>
      <c r="H118" s="23">
        <v>0.98</v>
      </c>
      <c r="I118" s="23">
        <v>0.98</v>
      </c>
      <c r="J118" s="23">
        <v>0.98</v>
      </c>
    </row>
    <row r="119" spans="1:10" x14ac:dyDescent="0.25">
      <c r="A119" s="23" t="s">
        <v>333</v>
      </c>
      <c r="B119" s="23" t="s">
        <v>222</v>
      </c>
      <c r="C119" s="23">
        <v>0.98</v>
      </c>
      <c r="D119" s="23">
        <v>0.98</v>
      </c>
      <c r="E119" s="23">
        <v>0.98</v>
      </c>
      <c r="F119" s="23">
        <v>0.98</v>
      </c>
      <c r="G119" s="23">
        <v>0.98</v>
      </c>
      <c r="H119" s="23">
        <v>0.98</v>
      </c>
      <c r="I119" s="23">
        <v>0.98</v>
      </c>
      <c r="J119" s="23">
        <v>0.98</v>
      </c>
    </row>
    <row r="120" spans="1:10" x14ac:dyDescent="0.25">
      <c r="A120" s="23" t="s">
        <v>333</v>
      </c>
      <c r="B120" s="23" t="s">
        <v>205</v>
      </c>
      <c r="C120" s="23">
        <v>0.98</v>
      </c>
      <c r="D120" s="23">
        <v>0.98</v>
      </c>
      <c r="E120" s="23">
        <v>0.98</v>
      </c>
      <c r="F120" s="23">
        <v>0.98</v>
      </c>
      <c r="G120" s="23">
        <v>0.98</v>
      </c>
      <c r="H120" s="23">
        <v>0.98</v>
      </c>
      <c r="I120" s="23">
        <v>0.98</v>
      </c>
      <c r="J120" s="23">
        <v>0.98</v>
      </c>
    </row>
    <row r="121" spans="1:10" x14ac:dyDescent="0.25">
      <c r="A121" s="23" t="s">
        <v>333</v>
      </c>
      <c r="B121" s="23" t="s">
        <v>210</v>
      </c>
      <c r="C121" s="23">
        <v>0.98</v>
      </c>
      <c r="D121" s="23">
        <v>0.98</v>
      </c>
      <c r="E121" s="23">
        <v>0.98</v>
      </c>
      <c r="F121" s="23">
        <v>0.98</v>
      </c>
      <c r="G121" s="23">
        <v>0.98</v>
      </c>
      <c r="H121" s="23">
        <v>0.98</v>
      </c>
      <c r="I121" s="23">
        <v>0.98</v>
      </c>
      <c r="J121" s="23">
        <v>0.98</v>
      </c>
    </row>
    <row r="122" spans="1:10" x14ac:dyDescent="0.25">
      <c r="A122" s="23" t="s">
        <v>333</v>
      </c>
      <c r="B122" s="23" t="s">
        <v>220</v>
      </c>
      <c r="C122" s="23">
        <v>0.98</v>
      </c>
      <c r="D122" s="23">
        <v>0.98</v>
      </c>
      <c r="E122" s="23">
        <v>0.98</v>
      </c>
      <c r="F122" s="23">
        <v>0.98</v>
      </c>
      <c r="G122" s="23">
        <v>0.98</v>
      </c>
      <c r="H122" s="23">
        <v>0.98</v>
      </c>
      <c r="I122" s="23">
        <v>0.98</v>
      </c>
      <c r="J122" s="23">
        <v>0.98</v>
      </c>
    </row>
    <row r="123" spans="1:10" x14ac:dyDescent="0.25">
      <c r="A123" s="23" t="s">
        <v>333</v>
      </c>
      <c r="B123" s="23" t="s">
        <v>206</v>
      </c>
      <c r="C123" s="23">
        <v>0.98</v>
      </c>
      <c r="D123" s="23">
        <v>0.98</v>
      </c>
      <c r="E123" s="23">
        <v>0.98</v>
      </c>
      <c r="F123" s="23">
        <v>0.98</v>
      </c>
      <c r="G123" s="23">
        <v>0.98</v>
      </c>
      <c r="H123" s="23">
        <v>0.98</v>
      </c>
      <c r="I123" s="23">
        <v>0.98</v>
      </c>
      <c r="J123" s="23">
        <v>0.98</v>
      </c>
    </row>
    <row r="124" spans="1:10" x14ac:dyDescent="0.25">
      <c r="A124" s="23" t="s">
        <v>333</v>
      </c>
      <c r="B124" s="23" t="s">
        <v>213</v>
      </c>
      <c r="C124" s="23">
        <v>0.98</v>
      </c>
      <c r="D124" s="23">
        <v>0.98</v>
      </c>
      <c r="E124" s="23">
        <v>0.98</v>
      </c>
      <c r="F124" s="23">
        <v>0.98</v>
      </c>
      <c r="G124" s="23">
        <v>0.98</v>
      </c>
      <c r="H124" s="23">
        <v>0.98</v>
      </c>
      <c r="I124" s="23">
        <v>0.98</v>
      </c>
      <c r="J124" s="23">
        <v>0.98</v>
      </c>
    </row>
    <row r="125" spans="1:10" x14ac:dyDescent="0.25">
      <c r="A125" s="23" t="s">
        <v>333</v>
      </c>
      <c r="B125" s="23" t="s">
        <v>224</v>
      </c>
      <c r="C125" s="23">
        <v>0.98</v>
      </c>
      <c r="D125" s="23">
        <v>0.98</v>
      </c>
      <c r="E125" s="23">
        <v>0.98</v>
      </c>
      <c r="F125" s="23">
        <v>0.98</v>
      </c>
      <c r="G125" s="23">
        <v>0.98</v>
      </c>
      <c r="H125" s="23">
        <v>0.98</v>
      </c>
      <c r="I125" s="23">
        <v>0.98</v>
      </c>
      <c r="J125" s="23">
        <v>0.98</v>
      </c>
    </row>
    <row r="126" spans="1:10" x14ac:dyDescent="0.25">
      <c r="A126" s="23" t="s">
        <v>333</v>
      </c>
      <c r="B126" s="23" t="s">
        <v>211</v>
      </c>
      <c r="C126" s="23">
        <v>0.98</v>
      </c>
      <c r="D126" s="23">
        <v>0.98</v>
      </c>
      <c r="E126" s="23">
        <v>0.98</v>
      </c>
      <c r="F126" s="23">
        <v>0.98</v>
      </c>
      <c r="G126" s="23">
        <v>0.98</v>
      </c>
      <c r="H126" s="23">
        <v>0.98</v>
      </c>
      <c r="I126" s="23">
        <v>0.98</v>
      </c>
      <c r="J126" s="23">
        <v>0.98</v>
      </c>
    </row>
    <row r="127" spans="1:10" x14ac:dyDescent="0.25">
      <c r="A127" s="23" t="s">
        <v>333</v>
      </c>
      <c r="B127" s="23" t="s">
        <v>212</v>
      </c>
      <c r="C127" s="23">
        <v>0.98</v>
      </c>
      <c r="D127" s="23">
        <v>0.98</v>
      </c>
      <c r="E127" s="23">
        <v>0.98</v>
      </c>
      <c r="F127" s="23">
        <v>0.98</v>
      </c>
      <c r="G127" s="23">
        <v>0.98</v>
      </c>
      <c r="H127" s="23">
        <v>0.98</v>
      </c>
      <c r="I127" s="23">
        <v>0.98</v>
      </c>
      <c r="J127" s="23">
        <v>0.98</v>
      </c>
    </row>
    <row r="128" spans="1:10" x14ac:dyDescent="0.25">
      <c r="A128" s="23" t="s">
        <v>333</v>
      </c>
      <c r="B128" s="23" t="s">
        <v>223</v>
      </c>
      <c r="C128" s="23">
        <v>0.98</v>
      </c>
      <c r="D128" s="23">
        <v>0.98</v>
      </c>
      <c r="E128" s="23">
        <v>0.98</v>
      </c>
      <c r="F128" s="23">
        <v>0.98</v>
      </c>
      <c r="G128" s="23">
        <v>0.98</v>
      </c>
      <c r="H128" s="23">
        <v>0.98</v>
      </c>
      <c r="I128" s="23">
        <v>0.98</v>
      </c>
      <c r="J128" s="23">
        <v>0.98</v>
      </c>
    </row>
    <row r="129" spans="1:10" x14ac:dyDescent="0.25">
      <c r="A129" s="23" t="s">
        <v>333</v>
      </c>
      <c r="B129" s="23" t="s">
        <v>214</v>
      </c>
      <c r="C129" s="23">
        <v>0.98</v>
      </c>
      <c r="D129" s="23">
        <v>0.98</v>
      </c>
      <c r="E129" s="23">
        <v>0.98</v>
      </c>
      <c r="F129" s="23">
        <v>0.98</v>
      </c>
      <c r="G129" s="23">
        <v>0.98</v>
      </c>
      <c r="H129" s="23">
        <v>0.98</v>
      </c>
      <c r="I129" s="23">
        <v>0.98</v>
      </c>
      <c r="J129" s="23">
        <v>0.98</v>
      </c>
    </row>
    <row r="130" spans="1:10" x14ac:dyDescent="0.25">
      <c r="A130" s="23" t="s">
        <v>333</v>
      </c>
      <c r="B130" s="23" t="s">
        <v>226</v>
      </c>
      <c r="C130" s="23">
        <v>0.98</v>
      </c>
      <c r="D130" s="23">
        <v>0.98</v>
      </c>
      <c r="E130" s="23">
        <v>0.98</v>
      </c>
      <c r="F130" s="23">
        <v>0.98</v>
      </c>
      <c r="G130" s="23">
        <v>0.98</v>
      </c>
      <c r="H130" s="23">
        <v>0.98</v>
      </c>
      <c r="I130" s="23">
        <v>0.98</v>
      </c>
      <c r="J130" s="23">
        <v>0.98</v>
      </c>
    </row>
    <row r="131" spans="1:10" x14ac:dyDescent="0.25">
      <c r="A131" s="23" t="s">
        <v>333</v>
      </c>
      <c r="B131" s="23" t="s">
        <v>227</v>
      </c>
      <c r="C131" s="23">
        <v>0.98</v>
      </c>
      <c r="D131" s="23">
        <v>0.98</v>
      </c>
      <c r="E131" s="23">
        <v>0.98</v>
      </c>
      <c r="F131" s="23">
        <v>0.98</v>
      </c>
      <c r="G131" s="23">
        <v>0.98</v>
      </c>
      <c r="H131" s="23">
        <v>0.98</v>
      </c>
      <c r="I131" s="23">
        <v>0.98</v>
      </c>
      <c r="J131" s="23">
        <v>0.98</v>
      </c>
    </row>
    <row r="132" spans="1:10" x14ac:dyDescent="0.25">
      <c r="A132" s="23" t="s">
        <v>333</v>
      </c>
      <c r="B132" s="23" t="s">
        <v>228</v>
      </c>
      <c r="C132" s="23">
        <v>0.98</v>
      </c>
      <c r="D132" s="23">
        <v>0.98</v>
      </c>
      <c r="E132" s="23">
        <v>0.98</v>
      </c>
      <c r="F132" s="23">
        <v>0.98</v>
      </c>
      <c r="G132" s="23">
        <v>0.98</v>
      </c>
      <c r="H132" s="23">
        <v>0.98</v>
      </c>
      <c r="I132" s="23">
        <v>0.98</v>
      </c>
      <c r="J132" s="23">
        <v>0.98</v>
      </c>
    </row>
    <row r="133" spans="1:10" x14ac:dyDescent="0.25">
      <c r="A133" s="23" t="s">
        <v>333</v>
      </c>
      <c r="B133" s="23" t="s">
        <v>229</v>
      </c>
      <c r="C133" s="23">
        <v>0.98</v>
      </c>
      <c r="D133" s="23">
        <v>0.98</v>
      </c>
      <c r="E133" s="23">
        <v>0.98</v>
      </c>
      <c r="F133" s="23">
        <v>0.98</v>
      </c>
      <c r="G133" s="23">
        <v>0.98</v>
      </c>
      <c r="H133" s="23">
        <v>0.98</v>
      </c>
      <c r="I133" s="23">
        <v>0.98</v>
      </c>
      <c r="J133" s="23">
        <v>0.98</v>
      </c>
    </row>
    <row r="134" spans="1:10" x14ac:dyDescent="0.25">
      <c r="A134" s="23" t="s">
        <v>333</v>
      </c>
      <c r="B134" s="23" t="s">
        <v>230</v>
      </c>
      <c r="C134" s="23">
        <v>0.98</v>
      </c>
      <c r="D134" s="23">
        <v>0.98</v>
      </c>
      <c r="E134" s="23">
        <v>0.98</v>
      </c>
      <c r="F134" s="23">
        <v>0.98</v>
      </c>
      <c r="G134" s="23">
        <v>0.98</v>
      </c>
      <c r="H134" s="23">
        <v>0.98</v>
      </c>
      <c r="I134" s="23">
        <v>0.98</v>
      </c>
      <c r="J134" s="23">
        <v>0.98</v>
      </c>
    </row>
    <row r="135" spans="1:10" x14ac:dyDescent="0.25">
      <c r="A135" s="23" t="s">
        <v>333</v>
      </c>
      <c r="B135" s="23" t="s">
        <v>231</v>
      </c>
      <c r="C135" s="23">
        <v>0.98</v>
      </c>
      <c r="D135" s="23">
        <v>0.98</v>
      </c>
      <c r="E135" s="23">
        <v>0.98</v>
      </c>
      <c r="F135" s="23">
        <v>0.98</v>
      </c>
      <c r="G135" s="23">
        <v>0.98</v>
      </c>
      <c r="H135" s="23">
        <v>0.98</v>
      </c>
      <c r="I135" s="23">
        <v>0.98</v>
      </c>
      <c r="J135" s="23">
        <v>0.98</v>
      </c>
    </row>
    <row r="136" spans="1:10" x14ac:dyDescent="0.25">
      <c r="A136" s="23" t="s">
        <v>333</v>
      </c>
      <c r="B136" s="23" t="s">
        <v>18</v>
      </c>
      <c r="C136" s="23">
        <v>0.8</v>
      </c>
      <c r="D136" s="23">
        <v>0.8</v>
      </c>
      <c r="E136" s="23">
        <v>0.8</v>
      </c>
      <c r="F136" s="23">
        <v>0.8</v>
      </c>
      <c r="G136" s="23">
        <v>0.8</v>
      </c>
      <c r="H136" s="23">
        <v>0.8</v>
      </c>
      <c r="I136" s="23">
        <v>0.8</v>
      </c>
      <c r="J136" s="23">
        <v>0.8</v>
      </c>
    </row>
    <row r="137" spans="1:10" x14ac:dyDescent="0.25">
      <c r="A137" s="23" t="s">
        <v>333</v>
      </c>
      <c r="B137" s="23" t="s">
        <v>18</v>
      </c>
      <c r="C137" s="23">
        <v>0.8</v>
      </c>
      <c r="D137" s="23">
        <v>0.8</v>
      </c>
      <c r="E137" s="23">
        <v>0.8</v>
      </c>
      <c r="F137" s="23">
        <v>0.8</v>
      </c>
      <c r="G137" s="23">
        <v>0.8</v>
      </c>
      <c r="H137" s="23">
        <v>0.8</v>
      </c>
      <c r="I137" s="23">
        <v>0.8</v>
      </c>
      <c r="J137" s="23">
        <v>0.8</v>
      </c>
    </row>
    <row r="138" spans="1:10" x14ac:dyDescent="0.25">
      <c r="A138" s="23" t="s">
        <v>333</v>
      </c>
      <c r="B138" s="23" t="s">
        <v>100</v>
      </c>
      <c r="C138" s="23">
        <v>0.8</v>
      </c>
      <c r="D138" s="23">
        <v>0.8</v>
      </c>
      <c r="E138" s="23">
        <v>0.8</v>
      </c>
      <c r="F138" s="23">
        <v>0.8</v>
      </c>
      <c r="G138" s="23">
        <v>0.8</v>
      </c>
      <c r="H138" s="23">
        <v>0.8</v>
      </c>
      <c r="I138" s="23">
        <v>0.8</v>
      </c>
      <c r="J138" s="23">
        <v>0.8</v>
      </c>
    </row>
    <row r="139" spans="1:10" x14ac:dyDescent="0.25">
      <c r="A139" s="23" t="s">
        <v>333</v>
      </c>
      <c r="B139" s="23" t="s">
        <v>100</v>
      </c>
      <c r="C139" s="23">
        <v>0.8</v>
      </c>
      <c r="D139" s="23">
        <v>0.8</v>
      </c>
      <c r="E139" s="23">
        <v>0.8</v>
      </c>
      <c r="F139" s="23">
        <v>0.8</v>
      </c>
      <c r="G139" s="23">
        <v>0.8</v>
      </c>
      <c r="H139" s="23">
        <v>0.8</v>
      </c>
      <c r="I139" s="23">
        <v>0.8</v>
      </c>
      <c r="J139" s="23">
        <v>0.8</v>
      </c>
    </row>
    <row r="140" spans="1:10" x14ac:dyDescent="0.25">
      <c r="A140" s="23" t="s">
        <v>333</v>
      </c>
      <c r="B140" s="23" t="s">
        <v>238</v>
      </c>
      <c r="C140" s="23">
        <v>0.98</v>
      </c>
      <c r="D140" s="23">
        <v>0.98</v>
      </c>
      <c r="E140" s="23">
        <v>0.98</v>
      </c>
      <c r="F140" s="23">
        <v>0.98</v>
      </c>
      <c r="G140" s="23">
        <v>0.98</v>
      </c>
      <c r="H140" s="23">
        <v>0.98</v>
      </c>
      <c r="I140" s="23">
        <v>0.98</v>
      </c>
      <c r="J140" s="23">
        <v>0.98</v>
      </c>
    </row>
    <row r="141" spans="1:10" x14ac:dyDescent="0.25">
      <c r="A141" s="23" t="s">
        <v>333</v>
      </c>
      <c r="B141" s="23" t="s">
        <v>239</v>
      </c>
      <c r="C141" s="23">
        <v>0.98</v>
      </c>
      <c r="D141" s="23">
        <v>0.98</v>
      </c>
      <c r="E141" s="23">
        <v>0.98</v>
      </c>
      <c r="F141" s="23">
        <v>0.98</v>
      </c>
      <c r="G141" s="23">
        <v>0.98</v>
      </c>
      <c r="H141" s="23">
        <v>0.98</v>
      </c>
      <c r="I141" s="23">
        <v>0.98</v>
      </c>
      <c r="J141" s="23">
        <v>0.98</v>
      </c>
    </row>
    <row r="142" spans="1:10" x14ac:dyDescent="0.25">
      <c r="A142" s="23" t="s">
        <v>333</v>
      </c>
      <c r="B142" s="23" t="s">
        <v>251</v>
      </c>
      <c r="C142" s="23">
        <v>0.98</v>
      </c>
      <c r="D142" s="23">
        <v>0.98</v>
      </c>
      <c r="E142" s="23">
        <v>0.98</v>
      </c>
      <c r="F142" s="23">
        <v>0.98</v>
      </c>
      <c r="G142" s="23">
        <v>0.98</v>
      </c>
      <c r="H142" s="23">
        <v>0.98</v>
      </c>
      <c r="I142" s="23">
        <v>0.98</v>
      </c>
      <c r="J142" s="23">
        <v>0.98</v>
      </c>
    </row>
    <row r="143" spans="1:10" x14ac:dyDescent="0.25">
      <c r="A143" s="23" t="s">
        <v>333</v>
      </c>
      <c r="B143" s="23" t="s">
        <v>245</v>
      </c>
      <c r="C143" s="23">
        <v>0.98</v>
      </c>
      <c r="D143" s="23">
        <v>0.98</v>
      </c>
      <c r="E143" s="23">
        <v>0.98</v>
      </c>
      <c r="F143" s="23">
        <v>0.98</v>
      </c>
      <c r="G143" s="23">
        <v>0.98</v>
      </c>
      <c r="H143" s="23">
        <v>0.98</v>
      </c>
      <c r="I143" s="23">
        <v>0.98</v>
      </c>
      <c r="J143" s="23">
        <v>0.98</v>
      </c>
    </row>
    <row r="144" spans="1:10" x14ac:dyDescent="0.25">
      <c r="A144" s="23" t="s">
        <v>333</v>
      </c>
      <c r="B144" s="23" t="s">
        <v>246</v>
      </c>
      <c r="C144" s="23">
        <v>0.98</v>
      </c>
      <c r="D144" s="23">
        <v>0.98</v>
      </c>
      <c r="E144" s="23">
        <v>0.98</v>
      </c>
      <c r="F144" s="23">
        <v>0.98</v>
      </c>
      <c r="G144" s="23">
        <v>0.98</v>
      </c>
      <c r="H144" s="23">
        <v>0.98</v>
      </c>
      <c r="I144" s="23">
        <v>0.98</v>
      </c>
      <c r="J144" s="23">
        <v>0.98</v>
      </c>
    </row>
    <row r="145" spans="1:10" x14ac:dyDescent="0.25">
      <c r="A145" s="23" t="s">
        <v>333</v>
      </c>
      <c r="B145" s="1" t="s">
        <v>252</v>
      </c>
      <c r="C145" s="4">
        <v>0.98</v>
      </c>
      <c r="D145" s="4">
        <v>0.98</v>
      </c>
      <c r="E145" s="4">
        <v>0.98</v>
      </c>
      <c r="F145" s="4">
        <v>0.98</v>
      </c>
      <c r="G145" s="4">
        <v>0.98</v>
      </c>
      <c r="H145" s="4">
        <v>0.98</v>
      </c>
      <c r="I145" s="4">
        <v>0.98</v>
      </c>
      <c r="J145" s="4">
        <v>0.98</v>
      </c>
    </row>
    <row r="146" spans="1:10" x14ac:dyDescent="0.25">
      <c r="A146" s="23" t="s">
        <v>333</v>
      </c>
      <c r="B146" s="1" t="s">
        <v>243</v>
      </c>
      <c r="C146" s="4">
        <v>0.98</v>
      </c>
      <c r="D146" s="4">
        <v>0.98</v>
      </c>
      <c r="E146" s="4">
        <v>0.98</v>
      </c>
      <c r="F146" s="4">
        <v>0.98</v>
      </c>
      <c r="G146" s="4">
        <v>0.98</v>
      </c>
      <c r="H146" s="4">
        <v>0.98</v>
      </c>
      <c r="I146" s="4">
        <v>0.98</v>
      </c>
      <c r="J146" s="4">
        <v>0.98</v>
      </c>
    </row>
    <row r="147" spans="1:10" x14ac:dyDescent="0.25">
      <c r="A147" s="23" t="s">
        <v>333</v>
      </c>
      <c r="B147" s="1" t="s">
        <v>244</v>
      </c>
      <c r="C147" s="4">
        <v>0.98</v>
      </c>
      <c r="D147" s="4">
        <v>0.98</v>
      </c>
      <c r="E147" s="4">
        <v>0.98</v>
      </c>
      <c r="F147" s="4">
        <v>0.98</v>
      </c>
      <c r="G147" s="4">
        <v>0.98</v>
      </c>
      <c r="H147" s="4">
        <v>0.98</v>
      </c>
      <c r="I147" s="4">
        <v>0.98</v>
      </c>
      <c r="J147" s="4">
        <v>0.98</v>
      </c>
    </row>
    <row r="148" spans="1:10" x14ac:dyDescent="0.25">
      <c r="A148" s="23" t="s">
        <v>333</v>
      </c>
      <c r="B148" s="1" t="s">
        <v>247</v>
      </c>
      <c r="C148" s="4">
        <v>0.98</v>
      </c>
      <c r="D148" s="4">
        <v>0.98</v>
      </c>
      <c r="E148" s="4">
        <v>0.98</v>
      </c>
      <c r="F148" s="4">
        <v>0.98</v>
      </c>
      <c r="G148" s="4">
        <v>0.98</v>
      </c>
      <c r="H148" s="4">
        <v>0.98</v>
      </c>
      <c r="I148" s="4">
        <v>0.98</v>
      </c>
      <c r="J148" s="4">
        <v>0.98</v>
      </c>
    </row>
    <row r="149" spans="1:10" x14ac:dyDescent="0.25">
      <c r="A149" s="23" t="s">
        <v>333</v>
      </c>
      <c r="B149" s="1" t="s">
        <v>248</v>
      </c>
      <c r="C149" s="4">
        <v>0.98</v>
      </c>
      <c r="D149" s="4">
        <v>0.98</v>
      </c>
      <c r="E149" s="4">
        <v>0.98</v>
      </c>
      <c r="F149" s="4">
        <v>0.98</v>
      </c>
      <c r="G149" s="4">
        <v>0.98</v>
      </c>
      <c r="H149" s="4">
        <v>0.98</v>
      </c>
      <c r="I149" s="4">
        <v>0.98</v>
      </c>
      <c r="J149" s="4">
        <v>0.98</v>
      </c>
    </row>
    <row r="150" spans="1:10" x14ac:dyDescent="0.25">
      <c r="A150" s="23" t="s">
        <v>333</v>
      </c>
      <c r="B150" t="s">
        <v>240</v>
      </c>
      <c r="C150" s="4">
        <v>0.98</v>
      </c>
      <c r="D150" s="4">
        <v>0.98</v>
      </c>
      <c r="E150" s="4">
        <v>0.98</v>
      </c>
      <c r="F150" s="4">
        <v>0.98</v>
      </c>
      <c r="G150" s="4">
        <v>0.98</v>
      </c>
      <c r="H150" s="4">
        <v>0.98</v>
      </c>
      <c r="I150" s="4">
        <v>0.98</v>
      </c>
      <c r="J150" s="4">
        <v>0.98</v>
      </c>
    </row>
    <row r="151" spans="1:10" x14ac:dyDescent="0.25">
      <c r="A151" s="5" t="s">
        <v>333</v>
      </c>
      <c r="B151" s="1" t="s">
        <v>241</v>
      </c>
      <c r="C151" s="4">
        <v>0.98</v>
      </c>
      <c r="D151" s="4">
        <v>0.98</v>
      </c>
      <c r="E151" s="4">
        <v>0.98</v>
      </c>
      <c r="F151" s="4">
        <v>0.98</v>
      </c>
      <c r="G151" s="4">
        <v>0.98</v>
      </c>
      <c r="H151" s="4">
        <v>0.98</v>
      </c>
      <c r="I151" s="4">
        <v>0.98</v>
      </c>
      <c r="J151" s="4">
        <v>0.98</v>
      </c>
    </row>
    <row r="152" spans="1:10" x14ac:dyDescent="0.25">
      <c r="A152" s="5" t="s">
        <v>333</v>
      </c>
      <c r="B152" s="1" t="s">
        <v>242</v>
      </c>
      <c r="C152" s="4">
        <v>0.98</v>
      </c>
      <c r="D152" s="4">
        <v>0.98</v>
      </c>
      <c r="E152" s="4">
        <v>0.98</v>
      </c>
      <c r="F152" s="4">
        <v>0.98</v>
      </c>
      <c r="G152" s="4">
        <v>0.98</v>
      </c>
      <c r="H152" s="4">
        <v>0.98</v>
      </c>
      <c r="I152" s="4">
        <v>0.98</v>
      </c>
      <c r="J152" s="4">
        <v>0.98</v>
      </c>
    </row>
    <row r="153" spans="1:10" x14ac:dyDescent="0.25">
      <c r="A153" t="s">
        <v>333</v>
      </c>
      <c r="B153" s="1" t="s">
        <v>249</v>
      </c>
      <c r="C153">
        <v>0.98</v>
      </c>
      <c r="D153">
        <v>0.98</v>
      </c>
      <c r="E153">
        <v>0.98</v>
      </c>
      <c r="F153">
        <v>0.98</v>
      </c>
      <c r="G153">
        <v>0.98</v>
      </c>
      <c r="H153">
        <v>0.98</v>
      </c>
      <c r="I153">
        <v>0.98</v>
      </c>
      <c r="J153">
        <v>0.98</v>
      </c>
    </row>
    <row r="154" spans="1:10" x14ac:dyDescent="0.25">
      <c r="A154" t="s">
        <v>333</v>
      </c>
      <c r="B154" t="s">
        <v>250</v>
      </c>
      <c r="C154">
        <v>0.98</v>
      </c>
      <c r="D154">
        <v>0.98</v>
      </c>
      <c r="E154">
        <v>0.98</v>
      </c>
      <c r="F154">
        <v>0.98</v>
      </c>
      <c r="G154">
        <v>0.98</v>
      </c>
      <c r="H154">
        <v>0.98</v>
      </c>
      <c r="I154">
        <v>0.98</v>
      </c>
      <c r="J154">
        <v>0.98</v>
      </c>
    </row>
    <row r="155" spans="1:10" x14ac:dyDescent="0.25">
      <c r="A155" t="s">
        <v>333</v>
      </c>
      <c r="B155" t="s">
        <v>254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25">
      <c r="A156" s="23" t="s">
        <v>333</v>
      </c>
      <c r="B156" s="23" t="s">
        <v>256</v>
      </c>
      <c r="C156" s="23">
        <v>0.98</v>
      </c>
      <c r="D156" s="23">
        <v>0.98</v>
      </c>
      <c r="E156" s="23">
        <v>0.98</v>
      </c>
      <c r="F156" s="23">
        <v>0.98</v>
      </c>
      <c r="G156" s="23">
        <v>0.98</v>
      </c>
      <c r="H156" s="23">
        <v>0.98</v>
      </c>
      <c r="I156" s="23">
        <v>0.98</v>
      </c>
      <c r="J156" s="23">
        <v>0.98</v>
      </c>
    </row>
    <row r="157" spans="1:10" x14ac:dyDescent="0.25">
      <c r="A157" s="23" t="s">
        <v>333</v>
      </c>
      <c r="B157" s="23" t="s">
        <v>257</v>
      </c>
      <c r="C157" s="23">
        <v>0.98</v>
      </c>
      <c r="D157" s="23">
        <v>0.98</v>
      </c>
      <c r="E157" s="23">
        <v>0.98</v>
      </c>
      <c r="F157" s="23">
        <v>0.98</v>
      </c>
      <c r="G157" s="23">
        <v>0.98</v>
      </c>
      <c r="H157" s="23">
        <v>0.98</v>
      </c>
      <c r="I157" s="23">
        <v>0.98</v>
      </c>
      <c r="J157" s="23">
        <v>0.98</v>
      </c>
    </row>
    <row r="158" spans="1:10" x14ac:dyDescent="0.25">
      <c r="A158" s="23" t="s">
        <v>333</v>
      </c>
      <c r="B158" s="23" t="s">
        <v>258</v>
      </c>
      <c r="C158" s="23">
        <v>1</v>
      </c>
      <c r="D158" s="23">
        <v>1</v>
      </c>
      <c r="E158" s="23">
        <v>1</v>
      </c>
      <c r="F158" s="23">
        <v>1</v>
      </c>
      <c r="G158" s="23">
        <v>1</v>
      </c>
      <c r="H158" s="23">
        <v>1</v>
      </c>
      <c r="I158" s="23">
        <v>1</v>
      </c>
      <c r="J158" s="23">
        <v>1</v>
      </c>
    </row>
    <row r="159" spans="1:10" x14ac:dyDescent="0.25">
      <c r="A159" s="23" t="s">
        <v>333</v>
      </c>
      <c r="B159" s="23" t="s">
        <v>335</v>
      </c>
      <c r="C159" s="23">
        <v>1</v>
      </c>
      <c r="D159" s="23">
        <v>1</v>
      </c>
      <c r="E159" s="23">
        <v>1</v>
      </c>
      <c r="F159" s="23">
        <v>1</v>
      </c>
      <c r="G159" s="23">
        <v>1</v>
      </c>
      <c r="H159" s="23">
        <v>1</v>
      </c>
      <c r="I159" s="23">
        <v>1</v>
      </c>
      <c r="J159" s="23">
        <v>1</v>
      </c>
    </row>
    <row r="160" spans="1:10" x14ac:dyDescent="0.25">
      <c r="A160" s="33" t="s">
        <v>333</v>
      </c>
      <c r="B160" s="33" t="s">
        <v>372</v>
      </c>
      <c r="C160" s="33">
        <v>1</v>
      </c>
      <c r="D160" s="33">
        <v>1</v>
      </c>
      <c r="E160" s="33">
        <v>1</v>
      </c>
      <c r="F160" s="33">
        <v>1</v>
      </c>
      <c r="G160" s="33">
        <v>1</v>
      </c>
      <c r="H160" s="33">
        <v>1</v>
      </c>
      <c r="I160" s="33">
        <v>1</v>
      </c>
      <c r="J160" s="33">
        <v>1</v>
      </c>
    </row>
  </sheetData>
  <dataValidations count="1">
    <dataValidation type="list" allowBlank="1" showInputMessage="1" showErrorMessage="1" sqref="B148" xr:uid="{00000000-0002-0000-13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3"/>
  <dimension ref="A1:C155"/>
  <sheetViews>
    <sheetView topLeftCell="A142" workbookViewId="0">
      <selection activeCell="C156" sqref="C156"/>
    </sheetView>
  </sheetViews>
  <sheetFormatPr defaultColWidth="11.42578125" defaultRowHeight="15" x14ac:dyDescent="0.25"/>
  <cols>
    <col min="2" max="2" width="25.42578125" customWidth="1"/>
  </cols>
  <sheetData>
    <row r="1" spans="1:3" x14ac:dyDescent="0.25">
      <c r="A1" t="s">
        <v>321</v>
      </c>
    </row>
    <row r="2" spans="1:3" x14ac:dyDescent="0.25">
      <c r="A2" t="s">
        <v>8</v>
      </c>
    </row>
    <row r="3" spans="1:3" x14ac:dyDescent="0.25">
      <c r="A3" t="s">
        <v>320</v>
      </c>
    </row>
    <row r="5" spans="1:3" x14ac:dyDescent="0.25">
      <c r="A5" t="s">
        <v>333</v>
      </c>
      <c r="B5" t="s">
        <v>159</v>
      </c>
      <c r="C5">
        <v>101</v>
      </c>
    </row>
    <row r="6" spans="1:3" x14ac:dyDescent="0.25">
      <c r="A6" t="s">
        <v>333</v>
      </c>
      <c r="B6" t="s">
        <v>160</v>
      </c>
      <c r="C6">
        <v>101</v>
      </c>
    </row>
    <row r="7" spans="1:3" x14ac:dyDescent="0.25">
      <c r="A7" t="s">
        <v>333</v>
      </c>
      <c r="B7" t="s">
        <v>149</v>
      </c>
      <c r="C7">
        <v>31</v>
      </c>
    </row>
    <row r="8" spans="1:3" x14ac:dyDescent="0.25">
      <c r="A8" t="s">
        <v>333</v>
      </c>
      <c r="B8" t="s">
        <v>97</v>
      </c>
      <c r="C8">
        <v>41</v>
      </c>
    </row>
    <row r="9" spans="1:3" x14ac:dyDescent="0.25">
      <c r="A9" t="s">
        <v>333</v>
      </c>
      <c r="B9" t="s">
        <v>98</v>
      </c>
      <c r="C9">
        <v>31</v>
      </c>
    </row>
    <row r="10" spans="1:3" x14ac:dyDescent="0.25">
      <c r="A10" t="s">
        <v>333</v>
      </c>
      <c r="B10" t="s">
        <v>99</v>
      </c>
      <c r="C10">
        <v>31</v>
      </c>
    </row>
    <row r="11" spans="1:3" x14ac:dyDescent="0.25">
      <c r="A11" t="s">
        <v>333</v>
      </c>
      <c r="B11" t="s">
        <v>100</v>
      </c>
      <c r="C11">
        <v>41</v>
      </c>
    </row>
    <row r="12" spans="1:3" x14ac:dyDescent="0.25">
      <c r="A12" t="s">
        <v>333</v>
      </c>
      <c r="B12" t="s">
        <v>129</v>
      </c>
      <c r="C12">
        <v>11</v>
      </c>
    </row>
    <row r="13" spans="1:3" x14ac:dyDescent="0.25">
      <c r="A13" t="s">
        <v>333</v>
      </c>
      <c r="B13" t="s">
        <v>130</v>
      </c>
      <c r="C13">
        <v>20</v>
      </c>
    </row>
    <row r="14" spans="1:3" x14ac:dyDescent="0.25">
      <c r="A14" t="s">
        <v>333</v>
      </c>
      <c r="B14" t="s">
        <v>142</v>
      </c>
      <c r="C14">
        <v>40</v>
      </c>
    </row>
    <row r="15" spans="1:3" x14ac:dyDescent="0.25">
      <c r="A15" t="s">
        <v>333</v>
      </c>
      <c r="B15" s="1" t="s">
        <v>143</v>
      </c>
      <c r="C15">
        <v>40</v>
      </c>
    </row>
    <row r="16" spans="1:3" x14ac:dyDescent="0.25">
      <c r="A16" t="s">
        <v>333</v>
      </c>
      <c r="B16" s="1" t="s">
        <v>234</v>
      </c>
      <c r="C16">
        <v>30</v>
      </c>
    </row>
    <row r="17" spans="1:3" x14ac:dyDescent="0.25">
      <c r="A17" t="s">
        <v>333</v>
      </c>
      <c r="B17" s="1" t="s">
        <v>236</v>
      </c>
      <c r="C17">
        <v>30</v>
      </c>
    </row>
    <row r="18" spans="1:3" x14ac:dyDescent="0.25">
      <c r="A18" t="s">
        <v>333</v>
      </c>
      <c r="B18" s="1" t="s">
        <v>128</v>
      </c>
      <c r="C18">
        <v>40</v>
      </c>
    </row>
    <row r="19" spans="1:3" x14ac:dyDescent="0.25">
      <c r="A19" t="s">
        <v>333</v>
      </c>
      <c r="B19" s="1" t="s">
        <v>132</v>
      </c>
      <c r="C19">
        <v>40</v>
      </c>
    </row>
    <row r="20" spans="1:3" x14ac:dyDescent="0.25">
      <c r="A20" t="s">
        <v>333</v>
      </c>
      <c r="B20" s="1" t="s">
        <v>180</v>
      </c>
      <c r="C20">
        <v>30</v>
      </c>
    </row>
    <row r="21" spans="1:3" x14ac:dyDescent="0.25">
      <c r="A21" t="s">
        <v>333</v>
      </c>
      <c r="B21" s="1" t="s">
        <v>123</v>
      </c>
      <c r="C21">
        <v>26</v>
      </c>
    </row>
    <row r="22" spans="1:3" x14ac:dyDescent="0.25">
      <c r="A22" t="s">
        <v>333</v>
      </c>
      <c r="B22" s="1" t="s">
        <v>124</v>
      </c>
      <c r="C22">
        <v>31</v>
      </c>
    </row>
    <row r="23" spans="1:3" x14ac:dyDescent="0.25">
      <c r="A23" t="s">
        <v>333</v>
      </c>
      <c r="B23" s="1" t="s">
        <v>118</v>
      </c>
      <c r="C23">
        <v>21</v>
      </c>
    </row>
    <row r="24" spans="1:3" x14ac:dyDescent="0.25">
      <c r="A24" t="s">
        <v>333</v>
      </c>
      <c r="B24" s="1" t="s">
        <v>53</v>
      </c>
      <c r="C24">
        <v>21</v>
      </c>
    </row>
    <row r="25" spans="1:3" x14ac:dyDescent="0.25">
      <c r="A25" t="s">
        <v>333</v>
      </c>
      <c r="B25" s="1" t="s">
        <v>119</v>
      </c>
      <c r="C25">
        <v>21</v>
      </c>
    </row>
    <row r="26" spans="1:3" x14ac:dyDescent="0.25">
      <c r="A26" t="s">
        <v>333</v>
      </c>
      <c r="B26" t="s">
        <v>120</v>
      </c>
      <c r="C26">
        <v>26</v>
      </c>
    </row>
    <row r="27" spans="1:3" x14ac:dyDescent="0.25">
      <c r="A27" t="s">
        <v>333</v>
      </c>
      <c r="B27" t="s">
        <v>171</v>
      </c>
      <c r="C27">
        <v>21</v>
      </c>
    </row>
    <row r="28" spans="1:3" x14ac:dyDescent="0.25">
      <c r="A28" t="s">
        <v>333</v>
      </c>
      <c r="B28" t="s">
        <v>176</v>
      </c>
      <c r="C28">
        <v>26</v>
      </c>
    </row>
    <row r="29" spans="1:3" x14ac:dyDescent="0.25">
      <c r="A29" t="s">
        <v>333</v>
      </c>
      <c r="B29" t="s">
        <v>165</v>
      </c>
      <c r="C29">
        <v>26</v>
      </c>
    </row>
    <row r="30" spans="1:3" x14ac:dyDescent="0.25">
      <c r="A30" t="s">
        <v>333</v>
      </c>
      <c r="B30" t="s">
        <v>52</v>
      </c>
      <c r="C30">
        <v>31</v>
      </c>
    </row>
    <row r="31" spans="1:3" x14ac:dyDescent="0.25">
      <c r="A31" t="s">
        <v>333</v>
      </c>
      <c r="B31" t="s">
        <v>51</v>
      </c>
      <c r="C31">
        <v>31</v>
      </c>
    </row>
    <row r="32" spans="1:3" x14ac:dyDescent="0.25">
      <c r="A32" t="s">
        <v>333</v>
      </c>
      <c r="B32" s="1" t="s">
        <v>101</v>
      </c>
      <c r="C32">
        <v>31</v>
      </c>
    </row>
    <row r="33" spans="1:3" x14ac:dyDescent="0.25">
      <c r="A33" t="s">
        <v>333</v>
      </c>
      <c r="B33" s="1" t="s">
        <v>102</v>
      </c>
      <c r="C33">
        <v>31</v>
      </c>
    </row>
    <row r="34" spans="1:3" x14ac:dyDescent="0.25">
      <c r="A34" t="s">
        <v>333</v>
      </c>
      <c r="B34" s="1" t="s">
        <v>103</v>
      </c>
      <c r="C34">
        <v>31</v>
      </c>
    </row>
    <row r="35" spans="1:3" x14ac:dyDescent="0.25">
      <c r="A35" t="s">
        <v>333</v>
      </c>
      <c r="B35" s="1" t="s">
        <v>104</v>
      </c>
      <c r="C35">
        <v>31</v>
      </c>
    </row>
    <row r="36" spans="1:3" x14ac:dyDescent="0.25">
      <c r="A36" t="s">
        <v>333</v>
      </c>
      <c r="B36" s="1" t="s">
        <v>105</v>
      </c>
      <c r="C36">
        <v>31</v>
      </c>
    </row>
    <row r="37" spans="1:3" x14ac:dyDescent="0.25">
      <c r="A37" t="s">
        <v>333</v>
      </c>
      <c r="B37" s="1" t="s">
        <v>106</v>
      </c>
      <c r="C37">
        <v>31</v>
      </c>
    </row>
    <row r="38" spans="1:3" x14ac:dyDescent="0.25">
      <c r="A38" t="s">
        <v>333</v>
      </c>
      <c r="B38" s="1" t="s">
        <v>151</v>
      </c>
      <c r="C38">
        <v>21</v>
      </c>
    </row>
    <row r="39" spans="1:3" x14ac:dyDescent="0.25">
      <c r="A39" t="s">
        <v>333</v>
      </c>
      <c r="B39" s="1" t="s">
        <v>178</v>
      </c>
      <c r="C39">
        <v>21</v>
      </c>
    </row>
    <row r="40" spans="1:3" x14ac:dyDescent="0.25">
      <c r="A40" t="s">
        <v>333</v>
      </c>
      <c r="B40" s="1" t="s">
        <v>107</v>
      </c>
      <c r="C40">
        <v>31</v>
      </c>
    </row>
    <row r="41" spans="1:3" x14ac:dyDescent="0.25">
      <c r="A41" t="s">
        <v>333</v>
      </c>
      <c r="B41" s="1" t="s">
        <v>108</v>
      </c>
      <c r="C41">
        <v>16</v>
      </c>
    </row>
    <row r="42" spans="1:3" x14ac:dyDescent="0.25">
      <c r="A42" t="s">
        <v>333</v>
      </c>
      <c r="B42" s="1" t="s">
        <v>109</v>
      </c>
      <c r="C42">
        <v>16</v>
      </c>
    </row>
    <row r="43" spans="1:3" x14ac:dyDescent="0.25">
      <c r="A43" t="s">
        <v>333</v>
      </c>
      <c r="B43" t="s">
        <v>110</v>
      </c>
      <c r="C43">
        <v>31</v>
      </c>
    </row>
    <row r="44" spans="1:3" x14ac:dyDescent="0.25">
      <c r="A44" t="s">
        <v>333</v>
      </c>
      <c r="B44" t="s">
        <v>111</v>
      </c>
      <c r="C44">
        <v>26</v>
      </c>
    </row>
    <row r="45" spans="1:3" x14ac:dyDescent="0.25">
      <c r="A45" t="s">
        <v>333</v>
      </c>
      <c r="B45" t="s">
        <v>112</v>
      </c>
      <c r="C45">
        <v>41</v>
      </c>
    </row>
    <row r="46" spans="1:3" x14ac:dyDescent="0.25">
      <c r="A46" t="s">
        <v>333</v>
      </c>
      <c r="B46" t="s">
        <v>113</v>
      </c>
      <c r="C46">
        <v>31</v>
      </c>
    </row>
    <row r="47" spans="1:3" x14ac:dyDescent="0.25">
      <c r="A47" t="s">
        <v>333</v>
      </c>
      <c r="B47" t="s">
        <v>150</v>
      </c>
      <c r="C47">
        <v>21</v>
      </c>
    </row>
    <row r="48" spans="1:3" x14ac:dyDescent="0.25">
      <c r="A48" t="s">
        <v>333</v>
      </c>
      <c r="B48" t="s">
        <v>163</v>
      </c>
      <c r="C48">
        <v>21</v>
      </c>
    </row>
    <row r="49" spans="1:3" x14ac:dyDescent="0.25">
      <c r="A49" t="s">
        <v>333</v>
      </c>
      <c r="B49" t="s">
        <v>164</v>
      </c>
      <c r="C49">
        <v>21</v>
      </c>
    </row>
    <row r="50" spans="1:3" x14ac:dyDescent="0.25">
      <c r="A50" t="s">
        <v>333</v>
      </c>
      <c r="B50" t="s">
        <v>153</v>
      </c>
      <c r="C50">
        <v>31</v>
      </c>
    </row>
    <row r="51" spans="1:3" x14ac:dyDescent="0.25">
      <c r="A51" t="s">
        <v>333</v>
      </c>
      <c r="B51" t="s">
        <v>96</v>
      </c>
      <c r="C51">
        <v>51</v>
      </c>
    </row>
    <row r="52" spans="1:3" x14ac:dyDescent="0.25">
      <c r="A52" t="s">
        <v>333</v>
      </c>
      <c r="B52" t="s">
        <v>95</v>
      </c>
      <c r="C52">
        <v>31</v>
      </c>
    </row>
    <row r="53" spans="1:3" x14ac:dyDescent="0.25">
      <c r="A53" t="s">
        <v>333</v>
      </c>
      <c r="B53" t="s">
        <v>17</v>
      </c>
      <c r="C53">
        <v>31</v>
      </c>
    </row>
    <row r="54" spans="1:3" x14ac:dyDescent="0.25">
      <c r="A54" t="s">
        <v>333</v>
      </c>
      <c r="B54" t="s">
        <v>18</v>
      </c>
      <c r="C54">
        <v>41</v>
      </c>
    </row>
    <row r="55" spans="1:3" x14ac:dyDescent="0.25">
      <c r="A55" t="s">
        <v>333</v>
      </c>
      <c r="B55" t="s">
        <v>50</v>
      </c>
      <c r="C55">
        <v>31</v>
      </c>
    </row>
    <row r="56" spans="1:3" x14ac:dyDescent="0.25">
      <c r="A56" t="s">
        <v>333</v>
      </c>
      <c r="B56" t="s">
        <v>126</v>
      </c>
      <c r="C56">
        <v>16</v>
      </c>
    </row>
    <row r="57" spans="1:3" x14ac:dyDescent="0.25">
      <c r="A57" t="s">
        <v>333</v>
      </c>
      <c r="B57" t="s">
        <v>54</v>
      </c>
      <c r="C57">
        <v>16</v>
      </c>
    </row>
    <row r="58" spans="1:3" x14ac:dyDescent="0.25">
      <c r="A58" t="s">
        <v>333</v>
      </c>
      <c r="B58" t="s">
        <v>127</v>
      </c>
      <c r="C58">
        <v>16</v>
      </c>
    </row>
    <row r="59" spans="1:3" x14ac:dyDescent="0.25">
      <c r="A59" t="s">
        <v>333</v>
      </c>
      <c r="B59" t="s">
        <v>121</v>
      </c>
      <c r="C59">
        <v>26</v>
      </c>
    </row>
    <row r="60" spans="1:3" x14ac:dyDescent="0.25">
      <c r="A60" t="s">
        <v>333</v>
      </c>
      <c r="B60" t="s">
        <v>122</v>
      </c>
      <c r="C60">
        <v>31</v>
      </c>
    </row>
    <row r="61" spans="1:3" x14ac:dyDescent="0.25">
      <c r="A61" t="s">
        <v>333</v>
      </c>
      <c r="B61" t="s">
        <v>56</v>
      </c>
      <c r="C61">
        <v>16</v>
      </c>
    </row>
    <row r="62" spans="1:3" x14ac:dyDescent="0.25">
      <c r="A62" t="s">
        <v>333</v>
      </c>
      <c r="B62" t="s">
        <v>116</v>
      </c>
      <c r="C62">
        <v>21</v>
      </c>
    </row>
    <row r="63" spans="1:3" x14ac:dyDescent="0.25">
      <c r="A63" t="s">
        <v>333</v>
      </c>
      <c r="B63" t="s">
        <v>55</v>
      </c>
      <c r="C63">
        <v>21</v>
      </c>
    </row>
    <row r="64" spans="1:3" x14ac:dyDescent="0.25">
      <c r="A64" t="s">
        <v>333</v>
      </c>
      <c r="B64" t="s">
        <v>117</v>
      </c>
      <c r="C64">
        <v>21</v>
      </c>
    </row>
    <row r="65" spans="1:3" x14ac:dyDescent="0.25">
      <c r="A65" t="s">
        <v>333</v>
      </c>
      <c r="B65" t="s">
        <v>177</v>
      </c>
      <c r="C65">
        <v>21</v>
      </c>
    </row>
    <row r="66" spans="1:3" x14ac:dyDescent="0.25">
      <c r="A66" t="s">
        <v>333</v>
      </c>
      <c r="B66" t="s">
        <v>175</v>
      </c>
      <c r="C66">
        <v>21</v>
      </c>
    </row>
    <row r="67" spans="1:3" x14ac:dyDescent="0.25">
      <c r="A67" t="s">
        <v>333</v>
      </c>
      <c r="B67" t="s">
        <v>79</v>
      </c>
      <c r="C67">
        <v>31</v>
      </c>
    </row>
    <row r="68" spans="1:3" x14ac:dyDescent="0.25">
      <c r="A68" t="s">
        <v>333</v>
      </c>
      <c r="B68" t="s">
        <v>78</v>
      </c>
      <c r="C68">
        <v>31</v>
      </c>
    </row>
    <row r="69" spans="1:3" x14ac:dyDescent="0.25">
      <c r="A69" t="s">
        <v>333</v>
      </c>
      <c r="B69" t="s">
        <v>77</v>
      </c>
      <c r="C69">
        <v>31</v>
      </c>
    </row>
    <row r="70" spans="1:3" x14ac:dyDescent="0.25">
      <c r="A70" t="s">
        <v>333</v>
      </c>
      <c r="B70" t="s">
        <v>80</v>
      </c>
      <c r="C70">
        <v>31</v>
      </c>
    </row>
    <row r="71" spans="1:3" x14ac:dyDescent="0.25">
      <c r="A71" t="s">
        <v>333</v>
      </c>
      <c r="B71" t="s">
        <v>81</v>
      </c>
      <c r="C71">
        <v>31</v>
      </c>
    </row>
    <row r="72" spans="1:3" x14ac:dyDescent="0.25">
      <c r="A72" t="s">
        <v>333</v>
      </c>
      <c r="B72" t="s">
        <v>148</v>
      </c>
      <c r="C72">
        <v>101</v>
      </c>
    </row>
    <row r="73" spans="1:3" x14ac:dyDescent="0.25">
      <c r="A73" t="s">
        <v>333</v>
      </c>
      <c r="B73" t="s">
        <v>89</v>
      </c>
      <c r="C73">
        <v>31</v>
      </c>
    </row>
    <row r="74" spans="1:3" x14ac:dyDescent="0.25">
      <c r="A74" t="s">
        <v>333</v>
      </c>
      <c r="B74" t="s">
        <v>94</v>
      </c>
      <c r="C74">
        <v>41</v>
      </c>
    </row>
    <row r="75" spans="1:3" x14ac:dyDescent="0.25">
      <c r="A75" t="s">
        <v>333</v>
      </c>
      <c r="B75" t="s">
        <v>91</v>
      </c>
      <c r="C75">
        <v>81</v>
      </c>
    </row>
    <row r="76" spans="1:3" x14ac:dyDescent="0.25">
      <c r="A76" t="s">
        <v>333</v>
      </c>
      <c r="B76" t="s">
        <v>92</v>
      </c>
      <c r="C76">
        <v>81</v>
      </c>
    </row>
    <row r="77" spans="1:3" x14ac:dyDescent="0.25">
      <c r="A77" t="s">
        <v>333</v>
      </c>
      <c r="B77" t="s">
        <v>93</v>
      </c>
      <c r="C77">
        <v>21</v>
      </c>
    </row>
    <row r="78" spans="1:3" x14ac:dyDescent="0.25">
      <c r="A78" t="s">
        <v>333</v>
      </c>
      <c r="B78" t="s">
        <v>161</v>
      </c>
      <c r="C78">
        <v>21</v>
      </c>
    </row>
    <row r="79" spans="1:3" x14ac:dyDescent="0.25">
      <c r="A79" t="s">
        <v>333</v>
      </c>
      <c r="B79" t="s">
        <v>162</v>
      </c>
      <c r="C79">
        <v>21</v>
      </c>
    </row>
    <row r="80" spans="1:3" x14ac:dyDescent="0.25">
      <c r="A80" t="s">
        <v>333</v>
      </c>
      <c r="B80" t="s">
        <v>83</v>
      </c>
      <c r="C80">
        <v>21</v>
      </c>
    </row>
    <row r="81" spans="1:3" x14ac:dyDescent="0.25">
      <c r="A81" t="s">
        <v>333</v>
      </c>
      <c r="B81" t="s">
        <v>82</v>
      </c>
      <c r="C81">
        <v>21</v>
      </c>
    </row>
    <row r="82" spans="1:3" x14ac:dyDescent="0.25">
      <c r="A82" t="s">
        <v>333</v>
      </c>
      <c r="B82" t="s">
        <v>84</v>
      </c>
      <c r="C82">
        <v>21</v>
      </c>
    </row>
    <row r="83" spans="1:3" x14ac:dyDescent="0.25">
      <c r="A83" t="s">
        <v>333</v>
      </c>
      <c r="B83" t="s">
        <v>154</v>
      </c>
      <c r="C83">
        <v>21</v>
      </c>
    </row>
    <row r="84" spans="1:3" x14ac:dyDescent="0.25">
      <c r="A84" t="s">
        <v>333</v>
      </c>
      <c r="B84" t="s">
        <v>155</v>
      </c>
      <c r="C84">
        <v>21</v>
      </c>
    </row>
    <row r="85" spans="1:3" x14ac:dyDescent="0.25">
      <c r="A85" t="s">
        <v>333</v>
      </c>
      <c r="B85" t="s">
        <v>156</v>
      </c>
      <c r="C85">
        <v>21</v>
      </c>
    </row>
    <row r="86" spans="1:3" x14ac:dyDescent="0.25">
      <c r="A86" t="s">
        <v>333</v>
      </c>
      <c r="B86" t="s">
        <v>86</v>
      </c>
      <c r="C86">
        <v>21</v>
      </c>
    </row>
    <row r="87" spans="1:3" x14ac:dyDescent="0.25">
      <c r="A87" t="s">
        <v>333</v>
      </c>
      <c r="B87" t="s">
        <v>85</v>
      </c>
      <c r="C87">
        <v>21</v>
      </c>
    </row>
    <row r="88" spans="1:3" x14ac:dyDescent="0.25">
      <c r="A88" t="s">
        <v>333</v>
      </c>
      <c r="B88" t="s">
        <v>87</v>
      </c>
      <c r="C88">
        <v>21</v>
      </c>
    </row>
    <row r="89" spans="1:3" x14ac:dyDescent="0.25">
      <c r="A89" t="s">
        <v>333</v>
      </c>
      <c r="B89" t="s">
        <v>114</v>
      </c>
      <c r="C89">
        <v>31</v>
      </c>
    </row>
    <row r="90" spans="1:3" x14ac:dyDescent="0.25">
      <c r="A90" t="s">
        <v>333</v>
      </c>
      <c r="B90" t="s">
        <v>115</v>
      </c>
      <c r="C90">
        <v>31</v>
      </c>
    </row>
    <row r="91" spans="1:3" x14ac:dyDescent="0.25">
      <c r="A91" t="s">
        <v>333</v>
      </c>
      <c r="B91" t="s">
        <v>152</v>
      </c>
      <c r="C91">
        <v>31</v>
      </c>
    </row>
    <row r="92" spans="1:3" x14ac:dyDescent="0.25">
      <c r="A92" t="s">
        <v>333</v>
      </c>
      <c r="B92" t="s">
        <v>184</v>
      </c>
      <c r="C92">
        <v>101</v>
      </c>
    </row>
    <row r="93" spans="1:3" x14ac:dyDescent="0.25">
      <c r="A93" t="s">
        <v>333</v>
      </c>
      <c r="B93" t="s">
        <v>182</v>
      </c>
      <c r="C93">
        <v>31</v>
      </c>
    </row>
    <row r="94" spans="1:3" x14ac:dyDescent="0.25">
      <c r="A94" t="s">
        <v>333</v>
      </c>
      <c r="B94" t="s">
        <v>183</v>
      </c>
      <c r="C94">
        <v>31</v>
      </c>
    </row>
    <row r="95" spans="1:3" x14ac:dyDescent="0.25">
      <c r="A95" t="s">
        <v>333</v>
      </c>
      <c r="B95" t="s">
        <v>207</v>
      </c>
      <c r="C95">
        <v>26</v>
      </c>
    </row>
    <row r="96" spans="1:3" x14ac:dyDescent="0.25">
      <c r="A96" t="s">
        <v>333</v>
      </c>
      <c r="B96" t="s">
        <v>194</v>
      </c>
      <c r="C96">
        <v>26</v>
      </c>
    </row>
    <row r="97" spans="1:3" x14ac:dyDescent="0.25">
      <c r="A97" t="s">
        <v>333</v>
      </c>
      <c r="B97" t="s">
        <v>189</v>
      </c>
      <c r="C97">
        <v>26</v>
      </c>
    </row>
    <row r="98" spans="1:3" x14ac:dyDescent="0.25">
      <c r="A98" t="s">
        <v>333</v>
      </c>
      <c r="B98" t="s">
        <v>193</v>
      </c>
      <c r="C98">
        <v>26</v>
      </c>
    </row>
    <row r="99" spans="1:3" x14ac:dyDescent="0.25">
      <c r="A99" t="s">
        <v>333</v>
      </c>
      <c r="B99" s="12" t="s">
        <v>190</v>
      </c>
      <c r="C99">
        <v>26</v>
      </c>
    </row>
    <row r="100" spans="1:3" x14ac:dyDescent="0.25">
      <c r="A100" t="s">
        <v>333</v>
      </c>
      <c r="B100" s="12" t="s">
        <v>191</v>
      </c>
      <c r="C100">
        <v>26</v>
      </c>
    </row>
    <row r="101" spans="1:3" x14ac:dyDescent="0.25">
      <c r="A101" t="s">
        <v>333</v>
      </c>
      <c r="B101" s="12" t="s">
        <v>192</v>
      </c>
      <c r="C101">
        <v>26</v>
      </c>
    </row>
    <row r="102" spans="1:3" x14ac:dyDescent="0.25">
      <c r="A102" t="s">
        <v>333</v>
      </c>
      <c r="B102" s="12" t="s">
        <v>215</v>
      </c>
      <c r="C102">
        <v>26</v>
      </c>
    </row>
    <row r="103" spans="1:3" x14ac:dyDescent="0.25">
      <c r="A103" t="s">
        <v>333</v>
      </c>
      <c r="B103" s="12" t="s">
        <v>216</v>
      </c>
      <c r="C103">
        <v>26</v>
      </c>
    </row>
    <row r="104" spans="1:3" x14ac:dyDescent="0.25">
      <c r="A104" t="s">
        <v>333</v>
      </c>
      <c r="B104" s="12" t="s">
        <v>217</v>
      </c>
      <c r="C104">
        <v>26</v>
      </c>
    </row>
    <row r="105" spans="1:3" x14ac:dyDescent="0.25">
      <c r="A105" t="s">
        <v>333</v>
      </c>
      <c r="B105" t="s">
        <v>218</v>
      </c>
      <c r="C105">
        <v>21</v>
      </c>
    </row>
    <row r="106" spans="1:3" x14ac:dyDescent="0.25">
      <c r="A106" t="s">
        <v>333</v>
      </c>
      <c r="B106" t="s">
        <v>219</v>
      </c>
      <c r="C106">
        <v>21</v>
      </c>
    </row>
    <row r="107" spans="1:3" x14ac:dyDescent="0.25">
      <c r="A107" t="s">
        <v>333</v>
      </c>
      <c r="B107" t="s">
        <v>198</v>
      </c>
      <c r="C107">
        <v>41</v>
      </c>
    </row>
    <row r="108" spans="1:3" x14ac:dyDescent="0.25">
      <c r="A108" t="s">
        <v>333</v>
      </c>
      <c r="B108" t="s">
        <v>208</v>
      </c>
      <c r="C108">
        <v>26</v>
      </c>
    </row>
    <row r="109" spans="1:3" x14ac:dyDescent="0.25">
      <c r="A109" t="s">
        <v>333</v>
      </c>
      <c r="B109" t="s">
        <v>209</v>
      </c>
      <c r="C109">
        <v>26</v>
      </c>
    </row>
    <row r="110" spans="1:3" x14ac:dyDescent="0.25">
      <c r="A110" t="s">
        <v>333</v>
      </c>
      <c r="B110" t="s">
        <v>199</v>
      </c>
      <c r="C110">
        <v>26</v>
      </c>
    </row>
    <row r="111" spans="1:3" x14ac:dyDescent="0.25">
      <c r="A111" t="s">
        <v>333</v>
      </c>
      <c r="B111" t="s">
        <v>200</v>
      </c>
      <c r="C111">
        <v>26</v>
      </c>
    </row>
    <row r="112" spans="1:3" x14ac:dyDescent="0.25">
      <c r="A112" t="s">
        <v>333</v>
      </c>
      <c r="B112" t="s">
        <v>201</v>
      </c>
      <c r="C112">
        <v>26</v>
      </c>
    </row>
    <row r="113" spans="1:3" x14ac:dyDescent="0.25">
      <c r="A113" t="s">
        <v>333</v>
      </c>
      <c r="B113" t="s">
        <v>202</v>
      </c>
      <c r="C113">
        <v>26</v>
      </c>
    </row>
    <row r="114" spans="1:3" x14ac:dyDescent="0.25">
      <c r="A114" t="s">
        <v>333</v>
      </c>
      <c r="B114" t="s">
        <v>203</v>
      </c>
      <c r="C114">
        <v>26</v>
      </c>
    </row>
    <row r="115" spans="1:3" x14ac:dyDescent="0.25">
      <c r="A115" t="s">
        <v>333</v>
      </c>
      <c r="B115" t="s">
        <v>204</v>
      </c>
      <c r="C115">
        <v>26</v>
      </c>
    </row>
    <row r="116" spans="1:3" x14ac:dyDescent="0.25">
      <c r="A116" t="s">
        <v>333</v>
      </c>
      <c r="B116" t="s">
        <v>232</v>
      </c>
      <c r="C116">
        <v>26</v>
      </c>
    </row>
    <row r="117" spans="1:3" x14ac:dyDescent="0.25">
      <c r="A117" t="s">
        <v>333</v>
      </c>
      <c r="B117" t="s">
        <v>221</v>
      </c>
      <c r="C117">
        <v>21</v>
      </c>
    </row>
    <row r="118" spans="1:3" x14ac:dyDescent="0.25">
      <c r="A118" t="s">
        <v>333</v>
      </c>
      <c r="B118" t="s">
        <v>222</v>
      </c>
      <c r="C118">
        <v>31</v>
      </c>
    </row>
    <row r="119" spans="1:3" x14ac:dyDescent="0.25">
      <c r="A119" t="s">
        <v>333</v>
      </c>
      <c r="B119" t="s">
        <v>205</v>
      </c>
      <c r="C119">
        <v>41</v>
      </c>
    </row>
    <row r="120" spans="1:3" x14ac:dyDescent="0.25">
      <c r="A120" t="s">
        <v>333</v>
      </c>
      <c r="B120" t="s">
        <v>210</v>
      </c>
      <c r="C120">
        <v>21</v>
      </c>
    </row>
    <row r="121" spans="1:3" x14ac:dyDescent="0.25">
      <c r="A121" t="s">
        <v>333</v>
      </c>
      <c r="B121" t="s">
        <v>206</v>
      </c>
      <c r="C121">
        <v>31</v>
      </c>
    </row>
    <row r="122" spans="1:3" x14ac:dyDescent="0.25">
      <c r="A122" t="s">
        <v>333</v>
      </c>
      <c r="B122" t="s">
        <v>220</v>
      </c>
      <c r="C122">
        <v>26</v>
      </c>
    </row>
    <row r="123" spans="1:3" x14ac:dyDescent="0.25">
      <c r="A123" t="s">
        <v>333</v>
      </c>
      <c r="B123" t="s">
        <v>213</v>
      </c>
      <c r="C123">
        <v>31</v>
      </c>
    </row>
    <row r="124" spans="1:3" x14ac:dyDescent="0.25">
      <c r="A124" t="s">
        <v>333</v>
      </c>
      <c r="B124" t="s">
        <v>224</v>
      </c>
      <c r="C124">
        <v>31</v>
      </c>
    </row>
    <row r="125" spans="1:3" x14ac:dyDescent="0.25">
      <c r="A125" t="s">
        <v>333</v>
      </c>
      <c r="B125" t="s">
        <v>211</v>
      </c>
      <c r="C125">
        <v>31</v>
      </c>
    </row>
    <row r="126" spans="1:3" x14ac:dyDescent="0.25">
      <c r="A126" t="s">
        <v>333</v>
      </c>
      <c r="B126" t="s">
        <v>212</v>
      </c>
      <c r="C126">
        <v>31</v>
      </c>
    </row>
    <row r="127" spans="1:3" x14ac:dyDescent="0.25">
      <c r="A127" t="s">
        <v>333</v>
      </c>
      <c r="B127" t="s">
        <v>223</v>
      </c>
      <c r="C127">
        <v>31</v>
      </c>
    </row>
    <row r="128" spans="1:3" x14ac:dyDescent="0.25">
      <c r="A128" s="9" t="s">
        <v>333</v>
      </c>
      <c r="B128" t="s">
        <v>214</v>
      </c>
      <c r="C128">
        <v>31</v>
      </c>
    </row>
    <row r="129" spans="1:3" x14ac:dyDescent="0.25">
      <c r="A129" s="9" t="s">
        <v>333</v>
      </c>
      <c r="B129" t="s">
        <v>226</v>
      </c>
      <c r="C129">
        <v>26</v>
      </c>
    </row>
    <row r="130" spans="1:3" x14ac:dyDescent="0.25">
      <c r="A130" s="9" t="s">
        <v>333</v>
      </c>
      <c r="B130" t="s">
        <v>227</v>
      </c>
      <c r="C130">
        <v>21</v>
      </c>
    </row>
    <row r="131" spans="1:3" x14ac:dyDescent="0.25">
      <c r="A131" t="s">
        <v>333</v>
      </c>
      <c r="B131" t="s">
        <v>228</v>
      </c>
      <c r="C131">
        <v>21</v>
      </c>
    </row>
    <row r="132" spans="1:3" x14ac:dyDescent="0.25">
      <c r="A132" t="s">
        <v>333</v>
      </c>
      <c r="B132" t="s">
        <v>229</v>
      </c>
      <c r="C132">
        <v>21</v>
      </c>
    </row>
    <row r="133" spans="1:3" x14ac:dyDescent="0.25">
      <c r="A133" t="s">
        <v>333</v>
      </c>
      <c r="B133" t="s">
        <v>230</v>
      </c>
      <c r="C133">
        <v>21</v>
      </c>
    </row>
    <row r="134" spans="1:3" x14ac:dyDescent="0.25">
      <c r="A134" t="s">
        <v>333</v>
      </c>
      <c r="B134" t="s">
        <v>231</v>
      </c>
      <c r="C134">
        <v>26</v>
      </c>
    </row>
    <row r="135" spans="1:3" x14ac:dyDescent="0.25">
      <c r="A135" t="s">
        <v>333</v>
      </c>
      <c r="B135" t="s">
        <v>238</v>
      </c>
      <c r="C135">
        <v>21</v>
      </c>
    </row>
    <row r="136" spans="1:3" x14ac:dyDescent="0.25">
      <c r="A136" t="s">
        <v>333</v>
      </c>
      <c r="B136" t="s">
        <v>239</v>
      </c>
      <c r="C136">
        <v>21</v>
      </c>
    </row>
    <row r="137" spans="1:3" x14ac:dyDescent="0.25">
      <c r="A137" t="s">
        <v>333</v>
      </c>
      <c r="B137" t="s">
        <v>251</v>
      </c>
      <c r="C137">
        <v>26</v>
      </c>
    </row>
    <row r="138" spans="1:3" x14ac:dyDescent="0.25">
      <c r="A138" s="23" t="s">
        <v>333</v>
      </c>
      <c r="B138" s="1" t="s">
        <v>245</v>
      </c>
      <c r="C138">
        <v>31</v>
      </c>
    </row>
    <row r="139" spans="1:3" x14ac:dyDescent="0.25">
      <c r="A139" s="23" t="s">
        <v>333</v>
      </c>
      <c r="B139" s="1" t="s">
        <v>246</v>
      </c>
      <c r="C139">
        <v>26</v>
      </c>
    </row>
    <row r="140" spans="1:3" x14ac:dyDescent="0.25">
      <c r="A140" s="23" t="s">
        <v>333</v>
      </c>
      <c r="B140" s="1" t="s">
        <v>252</v>
      </c>
      <c r="C140">
        <v>26</v>
      </c>
    </row>
    <row r="141" spans="1:3" x14ac:dyDescent="0.25">
      <c r="A141" s="23" t="s">
        <v>333</v>
      </c>
      <c r="B141" s="1" t="s">
        <v>243</v>
      </c>
      <c r="C141">
        <v>26</v>
      </c>
    </row>
    <row r="142" spans="1:3" x14ac:dyDescent="0.25">
      <c r="A142" s="23" t="s">
        <v>333</v>
      </c>
      <c r="B142" s="1" t="s">
        <v>244</v>
      </c>
      <c r="C142">
        <v>26</v>
      </c>
    </row>
    <row r="143" spans="1:3" x14ac:dyDescent="0.25">
      <c r="A143" s="23" t="s">
        <v>333</v>
      </c>
      <c r="B143" t="s">
        <v>247</v>
      </c>
      <c r="C143">
        <v>26</v>
      </c>
    </row>
    <row r="144" spans="1:3" x14ac:dyDescent="0.25">
      <c r="A144" s="5" t="s">
        <v>333</v>
      </c>
      <c r="B144" s="1" t="s">
        <v>248</v>
      </c>
      <c r="C144">
        <v>31</v>
      </c>
    </row>
    <row r="145" spans="1:3" x14ac:dyDescent="0.25">
      <c r="A145" s="5" t="s">
        <v>333</v>
      </c>
      <c r="B145" s="1" t="s">
        <v>240</v>
      </c>
      <c r="C145">
        <v>51</v>
      </c>
    </row>
    <row r="146" spans="1:3" x14ac:dyDescent="0.25">
      <c r="A146" t="s">
        <v>333</v>
      </c>
      <c r="B146" s="1" t="s">
        <v>241</v>
      </c>
      <c r="C146">
        <v>51</v>
      </c>
    </row>
    <row r="147" spans="1:3" x14ac:dyDescent="0.25">
      <c r="A147" t="s">
        <v>333</v>
      </c>
      <c r="B147" t="s">
        <v>242</v>
      </c>
      <c r="C147">
        <v>41</v>
      </c>
    </row>
    <row r="148" spans="1:3" x14ac:dyDescent="0.25">
      <c r="A148" t="s">
        <v>333</v>
      </c>
      <c r="B148" t="s">
        <v>249</v>
      </c>
      <c r="C148">
        <v>21</v>
      </c>
    </row>
    <row r="149" spans="1:3" x14ac:dyDescent="0.25">
      <c r="A149" t="s">
        <v>333</v>
      </c>
      <c r="B149" t="s">
        <v>250</v>
      </c>
      <c r="C149">
        <v>21</v>
      </c>
    </row>
    <row r="150" spans="1:3" x14ac:dyDescent="0.25">
      <c r="A150" t="s">
        <v>333</v>
      </c>
      <c r="B150" t="s">
        <v>254</v>
      </c>
      <c r="C150">
        <v>100</v>
      </c>
    </row>
    <row r="151" spans="1:3" x14ac:dyDescent="0.25">
      <c r="A151" t="s">
        <v>333</v>
      </c>
      <c r="B151" t="s">
        <v>256</v>
      </c>
      <c r="C151">
        <v>36</v>
      </c>
    </row>
    <row r="152" spans="1:3" x14ac:dyDescent="0.25">
      <c r="A152" t="s">
        <v>333</v>
      </c>
      <c r="B152" t="s">
        <v>257</v>
      </c>
      <c r="C152">
        <v>36</v>
      </c>
    </row>
    <row r="153" spans="1:3" x14ac:dyDescent="0.25">
      <c r="A153" t="s">
        <v>333</v>
      </c>
      <c r="B153" t="s">
        <v>258</v>
      </c>
      <c r="C153">
        <v>31</v>
      </c>
    </row>
    <row r="154" spans="1:3" x14ac:dyDescent="0.25">
      <c r="A154" t="s">
        <v>333</v>
      </c>
      <c r="B154" t="s">
        <v>335</v>
      </c>
      <c r="C154">
        <v>101</v>
      </c>
    </row>
    <row r="155" spans="1:3" x14ac:dyDescent="0.25">
      <c r="A155" t="s">
        <v>333</v>
      </c>
      <c r="B155" t="s">
        <v>372</v>
      </c>
      <c r="C155">
        <v>31</v>
      </c>
    </row>
  </sheetData>
  <dataValidations count="2">
    <dataValidation type="list" allowBlank="1" showInputMessage="1" showErrorMessage="1" sqref="B66 B20 B22:B25 B141" xr:uid="{00000000-0002-0000-1400-000000000000}">
      <formula1>Technologies</formula1>
    </dataValidation>
    <dataValidation type="list" allowBlank="1" showInputMessage="1" showErrorMessage="1" sqref="A128:A130" xr:uid="{00000000-0002-0000-14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41"/>
  <dimension ref="A1:V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U30" sqref="U30"/>
    </sheetView>
  </sheetViews>
  <sheetFormatPr defaultColWidth="11.42578125" defaultRowHeight="15" x14ac:dyDescent="0.25"/>
  <cols>
    <col min="1" max="2" width="23.5703125" customWidth="1"/>
    <col min="3" max="8" width="17.140625" customWidth="1"/>
    <col min="9" max="21" width="17" customWidth="1"/>
  </cols>
  <sheetData>
    <row r="1" spans="1:22" x14ac:dyDescent="0.25">
      <c r="A1" t="s">
        <v>322</v>
      </c>
    </row>
    <row r="2" spans="1:22" x14ac:dyDescent="0.25">
      <c r="A2" t="s">
        <v>288</v>
      </c>
    </row>
    <row r="3" spans="1:22" x14ac:dyDescent="0.25">
      <c r="A3" t="s">
        <v>303</v>
      </c>
    </row>
    <row r="5" spans="1:22" x14ac:dyDescent="0.25">
      <c r="A5" t="s">
        <v>21</v>
      </c>
      <c r="B5" t="s">
        <v>284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373</v>
      </c>
      <c r="V5" t="s">
        <v>374</v>
      </c>
    </row>
    <row r="6" spans="1:22" x14ac:dyDescent="0.25">
      <c r="A6" s="1" t="s">
        <v>123</v>
      </c>
      <c r="B6" s="1">
        <v>1</v>
      </c>
      <c r="G6">
        <v>1</v>
      </c>
      <c r="S6">
        <v>1</v>
      </c>
    </row>
    <row r="7" spans="1:22" x14ac:dyDescent="0.25">
      <c r="A7" s="1" t="s">
        <v>124</v>
      </c>
      <c r="B7" s="1">
        <v>1</v>
      </c>
      <c r="G7">
        <v>1</v>
      </c>
      <c r="M7">
        <v>1</v>
      </c>
    </row>
    <row r="8" spans="1:22" x14ac:dyDescent="0.25">
      <c r="A8" s="1" t="s">
        <v>118</v>
      </c>
      <c r="B8" s="1">
        <v>1</v>
      </c>
      <c r="F8">
        <v>1</v>
      </c>
      <c r="L8">
        <v>1</v>
      </c>
    </row>
    <row r="9" spans="1:22" x14ac:dyDescent="0.25">
      <c r="A9" s="1" t="s">
        <v>53</v>
      </c>
      <c r="B9" s="1">
        <v>1</v>
      </c>
      <c r="F9">
        <v>1</v>
      </c>
      <c r="L9">
        <v>1</v>
      </c>
    </row>
    <row r="10" spans="1:22" x14ac:dyDescent="0.25">
      <c r="A10" s="1" t="s">
        <v>119</v>
      </c>
      <c r="B10" s="1">
        <v>1</v>
      </c>
      <c r="F10">
        <v>1</v>
      </c>
      <c r="R10">
        <v>1</v>
      </c>
    </row>
    <row r="11" spans="1:22" x14ac:dyDescent="0.25">
      <c r="A11" s="1" t="s">
        <v>120</v>
      </c>
      <c r="B11" s="1">
        <v>1</v>
      </c>
      <c r="F11">
        <v>1</v>
      </c>
      <c r="R11">
        <v>1</v>
      </c>
    </row>
    <row r="12" spans="1:22" x14ac:dyDescent="0.25">
      <c r="A12" s="1" t="s">
        <v>165</v>
      </c>
      <c r="B12" s="1">
        <v>1</v>
      </c>
      <c r="F12">
        <v>1</v>
      </c>
      <c r="L12">
        <v>1</v>
      </c>
    </row>
    <row r="13" spans="1:22" x14ac:dyDescent="0.25">
      <c r="A13" s="1" t="s">
        <v>52</v>
      </c>
      <c r="B13" s="1">
        <v>1</v>
      </c>
      <c r="H13">
        <v>1</v>
      </c>
      <c r="N13">
        <v>1</v>
      </c>
    </row>
    <row r="14" spans="1:22" x14ac:dyDescent="0.25">
      <c r="A14" s="1" t="s">
        <v>51</v>
      </c>
      <c r="B14" s="1">
        <v>1</v>
      </c>
      <c r="H14">
        <v>1</v>
      </c>
      <c r="T14">
        <v>1</v>
      </c>
    </row>
    <row r="15" spans="1:22" x14ac:dyDescent="0.25">
      <c r="A15" s="1" t="s">
        <v>126</v>
      </c>
      <c r="B15" s="1">
        <v>1</v>
      </c>
      <c r="E15">
        <v>1</v>
      </c>
      <c r="K15">
        <v>1</v>
      </c>
    </row>
    <row r="16" spans="1:22" x14ac:dyDescent="0.25">
      <c r="A16" s="1" t="s">
        <v>54</v>
      </c>
      <c r="B16" s="1">
        <v>1</v>
      </c>
      <c r="E16">
        <v>1</v>
      </c>
      <c r="P16" s="2">
        <v>0</v>
      </c>
      <c r="Q16">
        <v>1</v>
      </c>
    </row>
    <row r="17" spans="1:22" x14ac:dyDescent="0.25">
      <c r="A17" s="1" t="s">
        <v>127</v>
      </c>
      <c r="B17" s="1">
        <v>1</v>
      </c>
      <c r="E17">
        <v>1</v>
      </c>
      <c r="J17" s="2"/>
      <c r="K17">
        <v>1</v>
      </c>
    </row>
    <row r="18" spans="1:22" x14ac:dyDescent="0.25">
      <c r="A18" s="1" t="s">
        <v>121</v>
      </c>
      <c r="B18" s="1">
        <v>1</v>
      </c>
      <c r="D18">
        <v>1</v>
      </c>
      <c r="P18">
        <v>1</v>
      </c>
    </row>
    <row r="19" spans="1:22" x14ac:dyDescent="0.25">
      <c r="A19" s="1" t="s">
        <v>122</v>
      </c>
      <c r="B19" s="1">
        <v>1</v>
      </c>
      <c r="D19">
        <v>1</v>
      </c>
      <c r="J19">
        <v>1</v>
      </c>
    </row>
    <row r="20" spans="1:22" x14ac:dyDescent="0.25">
      <c r="A20" s="1" t="s">
        <v>56</v>
      </c>
      <c r="B20" s="1">
        <v>1</v>
      </c>
      <c r="C20">
        <v>1</v>
      </c>
      <c r="I20">
        <v>1</v>
      </c>
    </row>
    <row r="21" spans="1:22" x14ac:dyDescent="0.25">
      <c r="A21" s="1" t="s">
        <v>116</v>
      </c>
      <c r="B21" s="1">
        <v>1</v>
      </c>
      <c r="C21">
        <v>1</v>
      </c>
      <c r="I21">
        <v>1</v>
      </c>
    </row>
    <row r="22" spans="1:22" x14ac:dyDescent="0.25">
      <c r="A22" s="1" t="s">
        <v>55</v>
      </c>
      <c r="B22" s="1">
        <v>1</v>
      </c>
      <c r="C22">
        <v>1</v>
      </c>
      <c r="O22">
        <v>1</v>
      </c>
    </row>
    <row r="23" spans="1:22" x14ac:dyDescent="0.25">
      <c r="A23" s="1" t="s">
        <v>117</v>
      </c>
      <c r="B23" s="1">
        <v>1</v>
      </c>
      <c r="C23">
        <v>1</v>
      </c>
      <c r="O23">
        <v>1</v>
      </c>
    </row>
    <row r="24" spans="1:22" x14ac:dyDescent="0.25">
      <c r="A24" t="s">
        <v>166</v>
      </c>
      <c r="B24" s="1">
        <v>1</v>
      </c>
      <c r="C24">
        <v>1</v>
      </c>
      <c r="D24">
        <v>1</v>
      </c>
      <c r="E24">
        <v>1</v>
      </c>
      <c r="I24">
        <v>1</v>
      </c>
      <c r="J24">
        <v>1</v>
      </c>
      <c r="K24">
        <v>1</v>
      </c>
      <c r="O24">
        <v>1</v>
      </c>
      <c r="P24">
        <v>1</v>
      </c>
      <c r="Q24">
        <v>1</v>
      </c>
    </row>
    <row r="25" spans="1:22" x14ac:dyDescent="0.25">
      <c r="A25" t="s">
        <v>167</v>
      </c>
      <c r="B25" s="1">
        <v>1</v>
      </c>
      <c r="F25">
        <v>1</v>
      </c>
      <c r="G25">
        <v>1</v>
      </c>
      <c r="H25">
        <v>1</v>
      </c>
      <c r="L25">
        <v>1</v>
      </c>
      <c r="M25">
        <v>1</v>
      </c>
      <c r="N25">
        <v>1</v>
      </c>
      <c r="R25">
        <v>1</v>
      </c>
      <c r="S25">
        <v>1</v>
      </c>
      <c r="T25">
        <v>1</v>
      </c>
    </row>
    <row r="26" spans="1:22" x14ac:dyDescent="0.25">
      <c r="A26" s="1" t="s">
        <v>119</v>
      </c>
      <c r="B26" s="1">
        <v>2</v>
      </c>
      <c r="F26">
        <v>1</v>
      </c>
      <c r="L26">
        <v>1</v>
      </c>
    </row>
    <row r="27" spans="1:22" x14ac:dyDescent="0.25">
      <c r="A27" s="1" t="s">
        <v>120</v>
      </c>
      <c r="B27" s="1">
        <v>2</v>
      </c>
      <c r="F27">
        <v>1</v>
      </c>
      <c r="L27">
        <v>1</v>
      </c>
    </row>
    <row r="28" spans="1:22" x14ac:dyDescent="0.25">
      <c r="A28" s="1" t="s">
        <v>55</v>
      </c>
      <c r="B28" s="1">
        <v>2</v>
      </c>
      <c r="C28">
        <v>1</v>
      </c>
      <c r="I28">
        <v>1</v>
      </c>
    </row>
    <row r="29" spans="1:22" x14ac:dyDescent="0.25">
      <c r="A29" s="1" t="s">
        <v>117</v>
      </c>
      <c r="B29" s="1">
        <v>2</v>
      </c>
      <c r="C29">
        <v>1</v>
      </c>
      <c r="I29">
        <v>1</v>
      </c>
    </row>
    <row r="30" spans="1:22" x14ac:dyDescent="0.25">
      <c r="A30" s="1" t="s">
        <v>372</v>
      </c>
      <c r="B30" s="1">
        <v>1</v>
      </c>
      <c r="U30">
        <v>1</v>
      </c>
      <c r="V30">
        <v>1</v>
      </c>
    </row>
    <row r="31" spans="1:22" x14ac:dyDescent="0.25">
      <c r="A31" s="1"/>
      <c r="B31" s="1"/>
    </row>
    <row r="32" spans="1:22" x14ac:dyDescent="0.25">
      <c r="A32" s="1"/>
      <c r="B32" s="1"/>
    </row>
    <row r="33" spans="1:16" x14ac:dyDescent="0.25">
      <c r="A33" s="1"/>
      <c r="B33" s="1"/>
    </row>
    <row r="34" spans="1:16" x14ac:dyDescent="0.25">
      <c r="A34" s="1"/>
      <c r="B34" s="1"/>
      <c r="P34" s="2"/>
    </row>
    <row r="35" spans="1:16" x14ac:dyDescent="0.25">
      <c r="A35" s="1"/>
      <c r="B35" s="1"/>
    </row>
    <row r="36" spans="1:16" x14ac:dyDescent="0.25">
      <c r="A36" s="1"/>
      <c r="B36" s="1"/>
    </row>
    <row r="37" spans="1:16" x14ac:dyDescent="0.25">
      <c r="A37" s="1"/>
      <c r="B37" s="1"/>
    </row>
    <row r="38" spans="1:16" x14ac:dyDescent="0.25">
      <c r="A38" s="1"/>
      <c r="B38" s="1"/>
    </row>
    <row r="39" spans="1:16" x14ac:dyDescent="0.25">
      <c r="A39" s="1"/>
      <c r="B39" s="1"/>
    </row>
    <row r="40" spans="1:16" x14ac:dyDescent="0.25">
      <c r="A40" s="1"/>
      <c r="B40" s="1"/>
    </row>
    <row r="41" spans="1:16" x14ac:dyDescent="0.25">
      <c r="A41" s="1"/>
      <c r="B41" s="1"/>
    </row>
    <row r="42" spans="1:16" x14ac:dyDescent="0.25">
      <c r="A42" s="1"/>
      <c r="B42" s="1"/>
    </row>
  </sheetData>
  <dataValidations count="1">
    <dataValidation type="list" allowBlank="1" showInputMessage="1" showErrorMessage="1" sqref="A27 A11:A14 A38:A39 A41" xr:uid="{00000000-0002-0000-15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43"/>
  <dimension ref="A1:L77"/>
  <sheetViews>
    <sheetView zoomScaleNormal="100" workbookViewId="0">
      <selection activeCell="A6" sqref="A6"/>
    </sheetView>
  </sheetViews>
  <sheetFormatPr defaultColWidth="9.140625" defaultRowHeight="15" x14ac:dyDescent="0.25"/>
  <cols>
    <col min="1" max="1" width="9.140625" style="3"/>
    <col min="2" max="2" width="15.5703125" style="3" bestFit="1" customWidth="1"/>
    <col min="3" max="3" width="13.42578125" style="3" bestFit="1" customWidth="1"/>
    <col min="4" max="5" width="9.140625" style="3"/>
    <col min="6" max="6" width="13.42578125" style="3" bestFit="1" customWidth="1"/>
    <col min="7" max="7" width="13.5703125" style="3" bestFit="1" customWidth="1"/>
    <col min="8" max="8" width="14.140625" style="3" bestFit="1" customWidth="1"/>
    <col min="9" max="16384" width="9.140625" style="3"/>
  </cols>
  <sheetData>
    <row r="1" spans="1:12" x14ac:dyDescent="0.25">
      <c r="A1" s="3" t="s">
        <v>323</v>
      </c>
    </row>
    <row r="2" spans="1:12" x14ac:dyDescent="0.25">
      <c r="A2" s="3" t="s">
        <v>290</v>
      </c>
    </row>
    <row r="3" spans="1:12" x14ac:dyDescent="0.25">
      <c r="A3" s="3" t="s">
        <v>304</v>
      </c>
    </row>
    <row r="5" spans="1:12" x14ac:dyDescent="0.25">
      <c r="A5" s="3" t="s">
        <v>22</v>
      </c>
      <c r="B5" s="3" t="s">
        <v>284</v>
      </c>
      <c r="C5" s="3" t="s">
        <v>21</v>
      </c>
      <c r="D5" t="s">
        <v>137</v>
      </c>
      <c r="E5" t="s">
        <v>144</v>
      </c>
      <c r="F5" t="s">
        <v>145</v>
      </c>
      <c r="G5" t="s">
        <v>138</v>
      </c>
      <c r="H5" t="s">
        <v>139</v>
      </c>
      <c r="I5" t="s">
        <v>235</v>
      </c>
      <c r="J5" t="s">
        <v>237</v>
      </c>
      <c r="K5" t="s">
        <v>181</v>
      </c>
      <c r="L5"/>
    </row>
    <row r="6" spans="1:12" x14ac:dyDescent="0.25">
      <c r="A6">
        <v>2018</v>
      </c>
      <c r="B6">
        <v>1</v>
      </c>
      <c r="C6" t="s">
        <v>129</v>
      </c>
      <c r="D6"/>
      <c r="E6"/>
      <c r="F6"/>
      <c r="G6" s="3">
        <v>0.95</v>
      </c>
      <c r="H6"/>
      <c r="I6"/>
      <c r="J6"/>
      <c r="K6"/>
      <c r="L6"/>
    </row>
    <row r="7" spans="1:12" x14ac:dyDescent="0.25">
      <c r="A7">
        <v>2020</v>
      </c>
      <c r="B7">
        <v>1</v>
      </c>
      <c r="C7" t="s">
        <v>129</v>
      </c>
      <c r="D7"/>
      <c r="E7"/>
      <c r="F7"/>
      <c r="G7" s="3">
        <v>0.95</v>
      </c>
      <c r="H7"/>
      <c r="I7"/>
      <c r="J7"/>
      <c r="K7"/>
      <c r="L7"/>
    </row>
    <row r="8" spans="1:12" x14ac:dyDescent="0.25">
      <c r="A8">
        <v>2025</v>
      </c>
      <c r="B8">
        <v>1</v>
      </c>
      <c r="C8" t="s">
        <v>129</v>
      </c>
      <c r="D8"/>
      <c r="E8"/>
      <c r="F8"/>
      <c r="G8" s="3">
        <v>0.95</v>
      </c>
      <c r="H8"/>
      <c r="I8"/>
      <c r="J8"/>
      <c r="K8"/>
      <c r="L8"/>
    </row>
    <row r="9" spans="1:12" x14ac:dyDescent="0.25">
      <c r="A9">
        <v>2030</v>
      </c>
      <c r="B9">
        <v>1</v>
      </c>
      <c r="C9" t="s">
        <v>129</v>
      </c>
      <c r="D9"/>
      <c r="E9"/>
      <c r="F9"/>
      <c r="G9" s="3">
        <v>0.95</v>
      </c>
      <c r="H9"/>
      <c r="I9"/>
      <c r="J9"/>
      <c r="K9"/>
      <c r="L9"/>
    </row>
    <row r="10" spans="1:12" x14ac:dyDescent="0.25">
      <c r="A10">
        <v>2035</v>
      </c>
      <c r="B10">
        <v>1</v>
      </c>
      <c r="C10" t="s">
        <v>129</v>
      </c>
      <c r="D10"/>
      <c r="E10"/>
      <c r="F10"/>
      <c r="G10" s="3">
        <v>0.95</v>
      </c>
      <c r="H10"/>
      <c r="I10"/>
      <c r="J10"/>
      <c r="K10"/>
      <c r="L10"/>
    </row>
    <row r="11" spans="1:12" x14ac:dyDescent="0.25">
      <c r="A11">
        <v>2040</v>
      </c>
      <c r="B11">
        <v>1</v>
      </c>
      <c r="C11" t="s">
        <v>129</v>
      </c>
      <c r="D11"/>
      <c r="E11"/>
      <c r="F11"/>
      <c r="G11" s="3">
        <v>0.95</v>
      </c>
      <c r="H11"/>
      <c r="I11"/>
      <c r="J11"/>
      <c r="K11"/>
      <c r="L11"/>
    </row>
    <row r="12" spans="1:12" x14ac:dyDescent="0.25">
      <c r="A12">
        <v>2045</v>
      </c>
      <c r="B12">
        <v>1</v>
      </c>
      <c r="C12" t="s">
        <v>129</v>
      </c>
      <c r="D12"/>
      <c r="E12"/>
      <c r="F12"/>
      <c r="G12" s="3">
        <v>0.95</v>
      </c>
      <c r="H12"/>
      <c r="I12"/>
      <c r="J12"/>
    </row>
    <row r="13" spans="1:12" x14ac:dyDescent="0.25">
      <c r="A13">
        <v>2050</v>
      </c>
      <c r="B13">
        <v>1</v>
      </c>
      <c r="C13" t="s">
        <v>129</v>
      </c>
      <c r="D13"/>
      <c r="E13"/>
      <c r="F13"/>
      <c r="G13" s="3">
        <v>0.95</v>
      </c>
      <c r="H13"/>
      <c r="I13"/>
      <c r="J13"/>
    </row>
    <row r="14" spans="1:12" x14ac:dyDescent="0.25">
      <c r="A14">
        <v>2018</v>
      </c>
      <c r="B14">
        <v>1</v>
      </c>
      <c r="C14" t="s">
        <v>130</v>
      </c>
      <c r="D14"/>
      <c r="E14"/>
      <c r="F14"/>
      <c r="G14"/>
      <c r="H14" s="3">
        <v>0.86599999999999999</v>
      </c>
      <c r="I14"/>
      <c r="J14"/>
    </row>
    <row r="15" spans="1:12" x14ac:dyDescent="0.25">
      <c r="A15">
        <v>2020</v>
      </c>
      <c r="B15">
        <v>1</v>
      </c>
      <c r="C15" t="s">
        <v>130</v>
      </c>
      <c r="D15"/>
      <c r="E15"/>
      <c r="F15"/>
      <c r="G15"/>
      <c r="H15" s="3">
        <v>0.86599999999999999</v>
      </c>
      <c r="I15"/>
      <c r="J15"/>
    </row>
    <row r="16" spans="1:12" x14ac:dyDescent="0.25">
      <c r="A16">
        <v>2025</v>
      </c>
      <c r="B16">
        <v>1</v>
      </c>
      <c r="C16" t="s">
        <v>130</v>
      </c>
      <c r="D16"/>
      <c r="E16"/>
      <c r="F16"/>
      <c r="G16"/>
      <c r="H16" s="3">
        <v>0.89400000000000002</v>
      </c>
      <c r="I16"/>
      <c r="J16"/>
    </row>
    <row r="17" spans="1:10" x14ac:dyDescent="0.25">
      <c r="A17">
        <v>2030</v>
      </c>
      <c r="B17">
        <v>1</v>
      </c>
      <c r="C17" t="s">
        <v>130</v>
      </c>
      <c r="D17"/>
      <c r="E17"/>
      <c r="F17"/>
      <c r="G17"/>
      <c r="H17" s="3">
        <v>0.89400000000000002</v>
      </c>
      <c r="I17"/>
      <c r="J17"/>
    </row>
    <row r="18" spans="1:10" x14ac:dyDescent="0.25">
      <c r="A18">
        <v>2035</v>
      </c>
      <c r="B18">
        <v>1</v>
      </c>
      <c r="C18" t="s">
        <v>130</v>
      </c>
      <c r="D18"/>
      <c r="E18"/>
      <c r="F18"/>
      <c r="G18"/>
      <c r="H18" s="3">
        <v>0.89400000000000002</v>
      </c>
      <c r="I18"/>
      <c r="J18"/>
    </row>
    <row r="19" spans="1:10" x14ac:dyDescent="0.25">
      <c r="A19">
        <v>2040</v>
      </c>
      <c r="B19">
        <v>1</v>
      </c>
      <c r="C19" t="s">
        <v>130</v>
      </c>
      <c r="D19"/>
      <c r="E19"/>
      <c r="F19"/>
      <c r="G19"/>
      <c r="H19" s="3">
        <v>0.89400000000000002</v>
      </c>
      <c r="I19"/>
      <c r="J19"/>
    </row>
    <row r="20" spans="1:10" x14ac:dyDescent="0.25">
      <c r="A20">
        <v>2045</v>
      </c>
      <c r="B20">
        <v>1</v>
      </c>
      <c r="C20" t="s">
        <v>130</v>
      </c>
      <c r="D20"/>
      <c r="E20"/>
      <c r="F20"/>
      <c r="G20"/>
      <c r="H20" s="3">
        <v>0.92200000000000004</v>
      </c>
      <c r="I20"/>
      <c r="J20"/>
    </row>
    <row r="21" spans="1:10" x14ac:dyDescent="0.25">
      <c r="A21">
        <v>2050</v>
      </c>
      <c r="B21">
        <v>1</v>
      </c>
      <c r="C21" t="s">
        <v>130</v>
      </c>
      <c r="D21"/>
      <c r="E21"/>
      <c r="F21"/>
      <c r="G21"/>
      <c r="H21" s="3">
        <v>0.92200000000000004</v>
      </c>
      <c r="I21"/>
      <c r="J21"/>
    </row>
    <row r="22" spans="1:10" x14ac:dyDescent="0.25">
      <c r="A22">
        <v>2018</v>
      </c>
      <c r="B22">
        <v>1</v>
      </c>
      <c r="C22" t="s">
        <v>142</v>
      </c>
      <c r="D22"/>
      <c r="E22" s="3">
        <v>0.99</v>
      </c>
      <c r="F22"/>
      <c r="G22"/>
      <c r="H22"/>
      <c r="I22"/>
      <c r="J22"/>
    </row>
    <row r="23" spans="1:10" x14ac:dyDescent="0.25">
      <c r="A23">
        <v>2020</v>
      </c>
      <c r="B23">
        <v>1</v>
      </c>
      <c r="C23" t="s">
        <v>142</v>
      </c>
      <c r="D23"/>
      <c r="E23" s="3">
        <v>0.99</v>
      </c>
      <c r="F23"/>
      <c r="G23"/>
      <c r="H23"/>
      <c r="I23"/>
      <c r="J23"/>
    </row>
    <row r="24" spans="1:10" x14ac:dyDescent="0.25">
      <c r="A24">
        <v>2025</v>
      </c>
      <c r="B24">
        <v>1</v>
      </c>
      <c r="C24" t="s">
        <v>142</v>
      </c>
      <c r="D24"/>
      <c r="E24" s="3">
        <v>0.99</v>
      </c>
      <c r="F24"/>
      <c r="G24"/>
      <c r="H24"/>
      <c r="I24"/>
      <c r="J24"/>
    </row>
    <row r="25" spans="1:10" x14ac:dyDescent="0.25">
      <c r="A25">
        <v>2030</v>
      </c>
      <c r="B25">
        <v>1</v>
      </c>
      <c r="C25" t="s">
        <v>142</v>
      </c>
      <c r="D25"/>
      <c r="E25" s="3">
        <v>0.99</v>
      </c>
      <c r="F25"/>
      <c r="G25"/>
      <c r="H25"/>
      <c r="I25"/>
      <c r="J25"/>
    </row>
    <row r="26" spans="1:10" x14ac:dyDescent="0.25">
      <c r="A26">
        <v>2035</v>
      </c>
      <c r="B26">
        <v>1</v>
      </c>
      <c r="C26" t="s">
        <v>142</v>
      </c>
      <c r="D26"/>
      <c r="E26" s="3">
        <v>0.99</v>
      </c>
      <c r="F26"/>
      <c r="G26"/>
      <c r="H26"/>
      <c r="I26"/>
      <c r="J26"/>
    </row>
    <row r="27" spans="1:10" x14ac:dyDescent="0.25">
      <c r="A27">
        <v>2040</v>
      </c>
      <c r="B27">
        <v>1</v>
      </c>
      <c r="C27" t="s">
        <v>142</v>
      </c>
      <c r="D27"/>
      <c r="E27" s="3">
        <v>0.99</v>
      </c>
      <c r="F27"/>
      <c r="G27"/>
      <c r="H27"/>
      <c r="I27"/>
      <c r="J27"/>
    </row>
    <row r="28" spans="1:10" x14ac:dyDescent="0.25">
      <c r="A28">
        <v>2045</v>
      </c>
      <c r="B28">
        <v>1</v>
      </c>
      <c r="C28" t="s">
        <v>142</v>
      </c>
      <c r="D28"/>
      <c r="E28" s="3">
        <v>0.99</v>
      </c>
      <c r="F28"/>
      <c r="G28"/>
      <c r="H28"/>
      <c r="I28"/>
      <c r="J28"/>
    </row>
    <row r="29" spans="1:10" x14ac:dyDescent="0.25">
      <c r="A29">
        <v>2050</v>
      </c>
      <c r="B29">
        <v>1</v>
      </c>
      <c r="C29" t="s">
        <v>142</v>
      </c>
      <c r="D29"/>
      <c r="E29" s="3">
        <v>0.99</v>
      </c>
      <c r="F29"/>
      <c r="G29"/>
      <c r="H29"/>
      <c r="I29"/>
      <c r="J29"/>
    </row>
    <row r="30" spans="1:10" x14ac:dyDescent="0.25">
      <c r="A30">
        <v>2018</v>
      </c>
      <c r="B30">
        <v>1</v>
      </c>
      <c r="C30" t="s">
        <v>143</v>
      </c>
      <c r="D30"/>
      <c r="E30"/>
      <c r="F30" s="3">
        <v>0.99</v>
      </c>
      <c r="G30"/>
      <c r="H30"/>
      <c r="I30"/>
      <c r="J30"/>
    </row>
    <row r="31" spans="1:10" x14ac:dyDescent="0.25">
      <c r="A31">
        <v>2020</v>
      </c>
      <c r="B31">
        <v>1</v>
      </c>
      <c r="C31" t="s">
        <v>143</v>
      </c>
      <c r="D31"/>
      <c r="E31"/>
      <c r="F31" s="3">
        <v>0.99</v>
      </c>
      <c r="G31"/>
      <c r="H31"/>
      <c r="I31"/>
      <c r="J31"/>
    </row>
    <row r="32" spans="1:10" x14ac:dyDescent="0.25">
      <c r="A32">
        <v>2025</v>
      </c>
      <c r="B32">
        <v>1</v>
      </c>
      <c r="C32" t="s">
        <v>143</v>
      </c>
      <c r="D32"/>
      <c r="E32"/>
      <c r="F32" s="3">
        <v>0.99</v>
      </c>
      <c r="G32"/>
      <c r="H32"/>
      <c r="I32"/>
      <c r="J32"/>
    </row>
    <row r="33" spans="1:10" x14ac:dyDescent="0.25">
      <c r="A33">
        <v>2030</v>
      </c>
      <c r="B33">
        <v>1</v>
      </c>
      <c r="C33" t="s">
        <v>143</v>
      </c>
      <c r="D33"/>
      <c r="E33"/>
      <c r="F33" s="3">
        <v>0.99</v>
      </c>
      <c r="G33"/>
      <c r="H33"/>
      <c r="I33"/>
      <c r="J33"/>
    </row>
    <row r="34" spans="1:10" x14ac:dyDescent="0.25">
      <c r="A34">
        <v>2035</v>
      </c>
      <c r="B34">
        <v>1</v>
      </c>
      <c r="C34" t="s">
        <v>143</v>
      </c>
      <c r="D34"/>
      <c r="E34"/>
      <c r="F34" s="3">
        <v>0.99</v>
      </c>
      <c r="G34"/>
      <c r="H34"/>
      <c r="I34"/>
      <c r="J34"/>
    </row>
    <row r="35" spans="1:10" x14ac:dyDescent="0.25">
      <c r="A35">
        <v>2040</v>
      </c>
      <c r="B35">
        <v>1</v>
      </c>
      <c r="C35" t="s">
        <v>143</v>
      </c>
      <c r="D35"/>
      <c r="E35"/>
      <c r="F35" s="3">
        <v>0.99</v>
      </c>
      <c r="G35"/>
      <c r="H35"/>
      <c r="I35"/>
      <c r="J35"/>
    </row>
    <row r="36" spans="1:10" x14ac:dyDescent="0.25">
      <c r="A36">
        <v>2045</v>
      </c>
      <c r="B36">
        <v>1</v>
      </c>
      <c r="C36" t="s">
        <v>143</v>
      </c>
      <c r="D36"/>
      <c r="E36"/>
      <c r="F36" s="3">
        <v>0.99</v>
      </c>
      <c r="G36"/>
      <c r="H36"/>
      <c r="I36"/>
      <c r="J36"/>
    </row>
    <row r="37" spans="1:10" x14ac:dyDescent="0.25">
      <c r="A37">
        <v>2050</v>
      </c>
      <c r="B37">
        <v>1</v>
      </c>
      <c r="C37" t="s">
        <v>143</v>
      </c>
      <c r="D37"/>
      <c r="E37"/>
      <c r="F37" s="3">
        <v>0.99</v>
      </c>
      <c r="G37"/>
      <c r="H37"/>
      <c r="I37"/>
      <c r="J37"/>
    </row>
    <row r="38" spans="1:10" x14ac:dyDescent="0.25">
      <c r="A38">
        <v>2018</v>
      </c>
      <c r="B38">
        <v>1</v>
      </c>
      <c r="C38" t="s">
        <v>234</v>
      </c>
      <c r="D38"/>
      <c r="E38"/>
      <c r="F38"/>
      <c r="G38"/>
      <c r="H38"/>
      <c r="I38">
        <v>1</v>
      </c>
      <c r="J38"/>
    </row>
    <row r="39" spans="1:10" x14ac:dyDescent="0.25">
      <c r="A39">
        <v>2020</v>
      </c>
      <c r="B39">
        <v>1</v>
      </c>
      <c r="C39" t="s">
        <v>234</v>
      </c>
      <c r="D39"/>
      <c r="E39"/>
      <c r="F39"/>
      <c r="G39"/>
      <c r="H39"/>
      <c r="I39">
        <v>1</v>
      </c>
      <c r="J39"/>
    </row>
    <row r="40" spans="1:10" x14ac:dyDescent="0.25">
      <c r="A40">
        <v>2025</v>
      </c>
      <c r="B40">
        <v>1</v>
      </c>
      <c r="C40" t="s">
        <v>234</v>
      </c>
      <c r="D40"/>
      <c r="E40"/>
      <c r="F40"/>
      <c r="G40"/>
      <c r="H40"/>
      <c r="I40">
        <v>1</v>
      </c>
      <c r="J40"/>
    </row>
    <row r="41" spans="1:10" x14ac:dyDescent="0.25">
      <c r="A41">
        <v>2030</v>
      </c>
      <c r="B41">
        <v>1</v>
      </c>
      <c r="C41" t="s">
        <v>234</v>
      </c>
      <c r="D41"/>
      <c r="E41"/>
      <c r="F41"/>
      <c r="G41"/>
      <c r="H41"/>
      <c r="I41">
        <v>1</v>
      </c>
      <c r="J41"/>
    </row>
    <row r="42" spans="1:10" x14ac:dyDescent="0.25">
      <c r="A42">
        <v>2035</v>
      </c>
      <c r="B42">
        <v>1</v>
      </c>
      <c r="C42" t="s">
        <v>234</v>
      </c>
      <c r="D42"/>
      <c r="E42"/>
      <c r="F42"/>
      <c r="G42"/>
      <c r="H42"/>
      <c r="I42">
        <v>1</v>
      </c>
      <c r="J42"/>
    </row>
    <row r="43" spans="1:10" x14ac:dyDescent="0.25">
      <c r="A43">
        <v>2040</v>
      </c>
      <c r="B43">
        <v>1</v>
      </c>
      <c r="C43" t="s">
        <v>234</v>
      </c>
      <c r="D43"/>
      <c r="E43"/>
      <c r="F43"/>
      <c r="G43"/>
      <c r="H43"/>
      <c r="I43">
        <v>1</v>
      </c>
      <c r="J43"/>
    </row>
    <row r="44" spans="1:10" x14ac:dyDescent="0.25">
      <c r="A44">
        <v>2045</v>
      </c>
      <c r="B44">
        <v>1</v>
      </c>
      <c r="C44" t="s">
        <v>234</v>
      </c>
      <c r="D44"/>
      <c r="E44"/>
      <c r="F44"/>
      <c r="G44"/>
      <c r="H44"/>
      <c r="I44">
        <v>1</v>
      </c>
      <c r="J44"/>
    </row>
    <row r="45" spans="1:10" x14ac:dyDescent="0.25">
      <c r="A45">
        <v>2050</v>
      </c>
      <c r="B45">
        <v>1</v>
      </c>
      <c r="C45" t="s">
        <v>234</v>
      </c>
      <c r="D45"/>
      <c r="E45"/>
      <c r="F45"/>
      <c r="G45"/>
      <c r="H45"/>
      <c r="I45">
        <v>1</v>
      </c>
      <c r="J45"/>
    </row>
    <row r="46" spans="1:10" x14ac:dyDescent="0.25">
      <c r="A46">
        <v>2018</v>
      </c>
      <c r="B46">
        <v>1</v>
      </c>
      <c r="C46" t="s">
        <v>236</v>
      </c>
      <c r="D46"/>
      <c r="E46"/>
      <c r="F46"/>
      <c r="G46"/>
      <c r="H46"/>
      <c r="I46"/>
      <c r="J46">
        <v>1</v>
      </c>
    </row>
    <row r="47" spans="1:10" x14ac:dyDescent="0.25">
      <c r="A47">
        <v>2020</v>
      </c>
      <c r="B47">
        <v>1</v>
      </c>
      <c r="C47" t="s">
        <v>236</v>
      </c>
      <c r="D47"/>
      <c r="E47"/>
      <c r="F47"/>
      <c r="G47"/>
      <c r="H47"/>
      <c r="I47"/>
      <c r="J47">
        <v>1</v>
      </c>
    </row>
    <row r="48" spans="1:10" x14ac:dyDescent="0.25">
      <c r="A48">
        <v>2025</v>
      </c>
      <c r="B48">
        <v>1</v>
      </c>
      <c r="C48" t="s">
        <v>236</v>
      </c>
      <c r="D48"/>
      <c r="E48"/>
      <c r="F48"/>
      <c r="G48"/>
      <c r="H48"/>
      <c r="I48"/>
      <c r="J48">
        <v>1</v>
      </c>
    </row>
    <row r="49" spans="1:10" x14ac:dyDescent="0.25">
      <c r="A49">
        <v>2030</v>
      </c>
      <c r="B49">
        <v>1</v>
      </c>
      <c r="C49" t="s">
        <v>236</v>
      </c>
      <c r="D49"/>
      <c r="E49"/>
      <c r="F49"/>
      <c r="G49"/>
      <c r="H49"/>
      <c r="I49"/>
      <c r="J49">
        <v>1</v>
      </c>
    </row>
    <row r="50" spans="1:10" x14ac:dyDescent="0.25">
      <c r="A50">
        <v>2035</v>
      </c>
      <c r="B50">
        <v>1</v>
      </c>
      <c r="C50" t="s">
        <v>236</v>
      </c>
      <c r="D50"/>
      <c r="E50"/>
      <c r="F50"/>
      <c r="G50"/>
      <c r="H50"/>
      <c r="I50"/>
      <c r="J50">
        <v>1</v>
      </c>
    </row>
    <row r="51" spans="1:10" x14ac:dyDescent="0.25">
      <c r="A51">
        <v>2040</v>
      </c>
      <c r="B51">
        <v>1</v>
      </c>
      <c r="C51" t="s">
        <v>236</v>
      </c>
      <c r="D51"/>
      <c r="E51"/>
      <c r="F51"/>
      <c r="G51"/>
      <c r="H51"/>
      <c r="I51"/>
      <c r="J51">
        <v>1</v>
      </c>
    </row>
    <row r="52" spans="1:10" x14ac:dyDescent="0.25">
      <c r="A52">
        <v>2045</v>
      </c>
      <c r="B52">
        <v>1</v>
      </c>
      <c r="C52" t="s">
        <v>236</v>
      </c>
      <c r="D52"/>
      <c r="E52"/>
      <c r="F52"/>
      <c r="G52"/>
      <c r="H52"/>
      <c r="I52"/>
      <c r="J52">
        <v>1</v>
      </c>
    </row>
    <row r="53" spans="1:10" x14ac:dyDescent="0.25">
      <c r="A53">
        <v>2050</v>
      </c>
      <c r="B53">
        <v>1</v>
      </c>
      <c r="C53" t="s">
        <v>236</v>
      </c>
      <c r="D53"/>
      <c r="E53"/>
      <c r="F53"/>
      <c r="G53"/>
      <c r="H53"/>
      <c r="I53"/>
      <c r="J53">
        <v>1</v>
      </c>
    </row>
    <row r="54" spans="1:10" x14ac:dyDescent="0.25">
      <c r="A54">
        <v>2018</v>
      </c>
      <c r="B54">
        <v>1</v>
      </c>
      <c r="C54" t="s">
        <v>128</v>
      </c>
      <c r="D54" s="3">
        <v>0.86599999999999999</v>
      </c>
      <c r="E54"/>
      <c r="F54"/>
      <c r="G54"/>
      <c r="H54"/>
      <c r="I54"/>
      <c r="J54"/>
    </row>
    <row r="55" spans="1:10" x14ac:dyDescent="0.25">
      <c r="A55">
        <v>2020</v>
      </c>
      <c r="B55">
        <v>1</v>
      </c>
      <c r="C55" t="s">
        <v>128</v>
      </c>
      <c r="D55" s="3">
        <v>0.86599999999999999</v>
      </c>
      <c r="E55"/>
      <c r="F55"/>
      <c r="G55"/>
      <c r="H55"/>
      <c r="I55"/>
      <c r="J55"/>
    </row>
    <row r="56" spans="1:10" x14ac:dyDescent="0.25">
      <c r="A56">
        <v>2025</v>
      </c>
      <c r="B56">
        <v>1</v>
      </c>
      <c r="C56" t="s">
        <v>128</v>
      </c>
      <c r="D56" s="3">
        <v>0.86599999999999999</v>
      </c>
      <c r="E56"/>
      <c r="F56"/>
      <c r="G56"/>
      <c r="H56"/>
      <c r="I56"/>
      <c r="J56"/>
    </row>
    <row r="57" spans="1:10" x14ac:dyDescent="0.25">
      <c r="A57">
        <v>2030</v>
      </c>
      <c r="B57">
        <v>1</v>
      </c>
      <c r="C57" t="s">
        <v>128</v>
      </c>
      <c r="D57" s="3">
        <v>0.86599999999999999</v>
      </c>
      <c r="E57"/>
      <c r="F57"/>
      <c r="G57"/>
      <c r="H57"/>
      <c r="I57"/>
      <c r="J57"/>
    </row>
    <row r="58" spans="1:10" x14ac:dyDescent="0.25">
      <c r="A58">
        <v>2035</v>
      </c>
      <c r="B58">
        <v>1</v>
      </c>
      <c r="C58" t="s">
        <v>128</v>
      </c>
      <c r="D58" s="3">
        <v>0.86599999999999999</v>
      </c>
      <c r="E58"/>
      <c r="F58"/>
      <c r="G58"/>
      <c r="H58"/>
      <c r="I58"/>
      <c r="J58"/>
    </row>
    <row r="59" spans="1:10" x14ac:dyDescent="0.25">
      <c r="A59">
        <v>2040</v>
      </c>
      <c r="B59">
        <v>1</v>
      </c>
      <c r="C59" t="s">
        <v>128</v>
      </c>
      <c r="D59" s="3">
        <v>0.86599999999999999</v>
      </c>
      <c r="E59"/>
      <c r="F59"/>
      <c r="G59"/>
      <c r="H59"/>
      <c r="I59"/>
      <c r="J59"/>
    </row>
    <row r="60" spans="1:10" x14ac:dyDescent="0.25">
      <c r="A60">
        <v>2045</v>
      </c>
      <c r="B60">
        <v>1</v>
      </c>
      <c r="C60" t="s">
        <v>128</v>
      </c>
      <c r="D60" s="3">
        <v>0.86599999999999999</v>
      </c>
      <c r="E60"/>
      <c r="F60"/>
      <c r="G60"/>
      <c r="H60"/>
      <c r="I60"/>
      <c r="J60"/>
    </row>
    <row r="61" spans="1:10" x14ac:dyDescent="0.25">
      <c r="A61">
        <v>2050</v>
      </c>
      <c r="B61">
        <v>1</v>
      </c>
      <c r="C61" t="s">
        <v>128</v>
      </c>
      <c r="D61" s="3">
        <v>0.86599999999999999</v>
      </c>
      <c r="E61"/>
      <c r="F61"/>
      <c r="G61"/>
      <c r="H61"/>
      <c r="I61"/>
      <c r="J61"/>
    </row>
    <row r="62" spans="1:10" x14ac:dyDescent="0.25">
      <c r="A62">
        <v>2018</v>
      </c>
      <c r="B62">
        <v>1</v>
      </c>
      <c r="C62" t="s">
        <v>132</v>
      </c>
      <c r="D62" s="3">
        <v>0.86599999999999999</v>
      </c>
    </row>
    <row r="63" spans="1:10" x14ac:dyDescent="0.25">
      <c r="A63">
        <v>2020</v>
      </c>
      <c r="B63">
        <v>1</v>
      </c>
      <c r="C63" t="s">
        <v>132</v>
      </c>
      <c r="D63" s="3">
        <v>0.86599999999999999</v>
      </c>
    </row>
    <row r="64" spans="1:10" x14ac:dyDescent="0.25">
      <c r="A64">
        <v>2025</v>
      </c>
      <c r="B64">
        <v>1</v>
      </c>
      <c r="C64" t="s">
        <v>132</v>
      </c>
      <c r="D64" s="3">
        <v>0.86599999999999999</v>
      </c>
    </row>
    <row r="65" spans="1:11" x14ac:dyDescent="0.25">
      <c r="A65">
        <v>2030</v>
      </c>
      <c r="B65">
        <v>1</v>
      </c>
      <c r="C65" t="s">
        <v>132</v>
      </c>
      <c r="D65" s="3">
        <v>0.86599999999999999</v>
      </c>
    </row>
    <row r="66" spans="1:11" x14ac:dyDescent="0.25">
      <c r="A66">
        <v>2035</v>
      </c>
      <c r="B66">
        <v>1</v>
      </c>
      <c r="C66" t="s">
        <v>132</v>
      </c>
      <c r="D66" s="3">
        <v>0.86599999999999999</v>
      </c>
    </row>
    <row r="67" spans="1:11" x14ac:dyDescent="0.25">
      <c r="A67">
        <v>2040</v>
      </c>
      <c r="B67">
        <v>1</v>
      </c>
      <c r="C67" t="s">
        <v>132</v>
      </c>
      <c r="D67" s="3">
        <v>0.86599999999999999</v>
      </c>
    </row>
    <row r="68" spans="1:11" x14ac:dyDescent="0.25">
      <c r="A68">
        <v>2045</v>
      </c>
      <c r="B68">
        <v>1</v>
      </c>
      <c r="C68" t="s">
        <v>132</v>
      </c>
      <c r="D68" s="3">
        <v>0.86599999999999999</v>
      </c>
    </row>
    <row r="69" spans="1:11" x14ac:dyDescent="0.25">
      <c r="A69">
        <v>2050</v>
      </c>
      <c r="B69">
        <v>1</v>
      </c>
      <c r="C69" t="s">
        <v>132</v>
      </c>
      <c r="D69" s="3">
        <v>0.86599999999999999</v>
      </c>
    </row>
    <row r="70" spans="1:11" x14ac:dyDescent="0.25">
      <c r="A70">
        <v>2018</v>
      </c>
      <c r="B70">
        <v>1</v>
      </c>
      <c r="C70" t="s">
        <v>180</v>
      </c>
      <c r="K70" s="3">
        <v>0.73499999999999999</v>
      </c>
    </row>
    <row r="71" spans="1:11" x14ac:dyDescent="0.25">
      <c r="A71">
        <v>2020</v>
      </c>
      <c r="B71">
        <v>1</v>
      </c>
      <c r="C71" t="s">
        <v>180</v>
      </c>
      <c r="K71" s="3">
        <v>0.73499999999999999</v>
      </c>
    </row>
    <row r="72" spans="1:11" x14ac:dyDescent="0.25">
      <c r="A72">
        <v>2025</v>
      </c>
      <c r="B72">
        <v>1</v>
      </c>
      <c r="C72" t="s">
        <v>180</v>
      </c>
      <c r="K72" s="3">
        <v>0.83699999999999997</v>
      </c>
    </row>
    <row r="73" spans="1:11" x14ac:dyDescent="0.25">
      <c r="A73">
        <v>2030</v>
      </c>
      <c r="B73">
        <v>1</v>
      </c>
      <c r="C73" t="s">
        <v>180</v>
      </c>
      <c r="K73" s="3">
        <v>0.83699999999999997</v>
      </c>
    </row>
    <row r="74" spans="1:11" x14ac:dyDescent="0.25">
      <c r="A74">
        <v>2035</v>
      </c>
      <c r="B74">
        <v>1</v>
      </c>
      <c r="C74" t="s">
        <v>180</v>
      </c>
      <c r="K74" s="3">
        <v>0.83699999999999997</v>
      </c>
    </row>
    <row r="75" spans="1:11" x14ac:dyDescent="0.25">
      <c r="A75">
        <v>2040</v>
      </c>
      <c r="B75">
        <v>1</v>
      </c>
      <c r="C75" t="s">
        <v>180</v>
      </c>
      <c r="K75" s="3">
        <v>0.83699999999999997</v>
      </c>
    </row>
    <row r="76" spans="1:11" x14ac:dyDescent="0.25">
      <c r="A76">
        <v>2045</v>
      </c>
      <c r="B76">
        <v>1</v>
      </c>
      <c r="C76" t="s">
        <v>180</v>
      </c>
      <c r="K76" s="3">
        <v>0.83699999999999997</v>
      </c>
    </row>
    <row r="77" spans="1:11" x14ac:dyDescent="0.25">
      <c r="A77">
        <v>2050</v>
      </c>
      <c r="B77">
        <v>1</v>
      </c>
      <c r="C77" t="s">
        <v>180</v>
      </c>
      <c r="K77" s="3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44"/>
  <dimension ref="A1:K77"/>
  <sheetViews>
    <sheetView zoomScaleNormal="100" workbookViewId="0">
      <selection activeCell="A6" sqref="A6"/>
    </sheetView>
  </sheetViews>
  <sheetFormatPr defaultColWidth="9.140625" defaultRowHeight="15" x14ac:dyDescent="0.25"/>
  <cols>
    <col min="1" max="16384" width="9.140625" style="3"/>
  </cols>
  <sheetData>
    <row r="1" spans="1:11" x14ac:dyDescent="0.25">
      <c r="A1" s="3" t="s">
        <v>324</v>
      </c>
    </row>
    <row r="2" spans="1:11" x14ac:dyDescent="0.25">
      <c r="A2" s="3" t="s">
        <v>289</v>
      </c>
    </row>
    <row r="3" spans="1:11" x14ac:dyDescent="0.25">
      <c r="A3" s="3" t="s">
        <v>304</v>
      </c>
    </row>
    <row r="5" spans="1:11" x14ac:dyDescent="0.25">
      <c r="A5" s="3" t="s">
        <v>22</v>
      </c>
      <c r="B5" s="3" t="s">
        <v>284</v>
      </c>
      <c r="C5" s="3" t="s">
        <v>21</v>
      </c>
      <c r="D5" t="s">
        <v>137</v>
      </c>
      <c r="E5" t="s">
        <v>144</v>
      </c>
      <c r="F5" t="s">
        <v>145</v>
      </c>
      <c r="G5" t="s">
        <v>138</v>
      </c>
      <c r="H5" t="s">
        <v>139</v>
      </c>
      <c r="I5" t="s">
        <v>235</v>
      </c>
      <c r="J5" t="s">
        <v>237</v>
      </c>
      <c r="K5" s="3" t="s">
        <v>181</v>
      </c>
    </row>
    <row r="6" spans="1:11" x14ac:dyDescent="0.25">
      <c r="A6">
        <v>2018</v>
      </c>
      <c r="B6">
        <v>2</v>
      </c>
      <c r="C6" t="s">
        <v>129</v>
      </c>
      <c r="D6"/>
      <c r="E6"/>
      <c r="F6"/>
      <c r="G6" s="3">
        <v>0.95</v>
      </c>
      <c r="H6"/>
      <c r="I6"/>
      <c r="J6"/>
    </row>
    <row r="7" spans="1:11" x14ac:dyDescent="0.25">
      <c r="A7">
        <v>2020</v>
      </c>
      <c r="B7">
        <v>2</v>
      </c>
      <c r="C7" t="s">
        <v>129</v>
      </c>
      <c r="D7"/>
      <c r="E7"/>
      <c r="F7"/>
      <c r="G7" s="3">
        <v>0.95</v>
      </c>
      <c r="H7"/>
      <c r="I7"/>
      <c r="J7"/>
    </row>
    <row r="8" spans="1:11" x14ac:dyDescent="0.25">
      <c r="A8">
        <v>2025</v>
      </c>
      <c r="B8">
        <v>2</v>
      </c>
      <c r="C8" t="s">
        <v>129</v>
      </c>
      <c r="D8"/>
      <c r="E8"/>
      <c r="F8"/>
      <c r="G8" s="3">
        <v>0.95</v>
      </c>
      <c r="H8"/>
      <c r="I8"/>
      <c r="J8"/>
    </row>
    <row r="9" spans="1:11" x14ac:dyDescent="0.25">
      <c r="A9">
        <v>2030</v>
      </c>
      <c r="B9">
        <v>2</v>
      </c>
      <c r="C9" t="s">
        <v>129</v>
      </c>
      <c r="D9"/>
      <c r="E9"/>
      <c r="F9"/>
      <c r="G9" s="3">
        <v>0.95</v>
      </c>
      <c r="H9"/>
      <c r="I9"/>
      <c r="J9"/>
    </row>
    <row r="10" spans="1:11" x14ac:dyDescent="0.25">
      <c r="A10">
        <v>2035</v>
      </c>
      <c r="B10">
        <v>2</v>
      </c>
      <c r="C10" t="s">
        <v>129</v>
      </c>
      <c r="D10"/>
      <c r="E10"/>
      <c r="F10"/>
      <c r="G10" s="3">
        <v>0.95</v>
      </c>
      <c r="H10"/>
      <c r="I10"/>
      <c r="J10"/>
    </row>
    <row r="11" spans="1:11" x14ac:dyDescent="0.25">
      <c r="A11">
        <v>2040</v>
      </c>
      <c r="B11">
        <v>2</v>
      </c>
      <c r="C11" t="s">
        <v>129</v>
      </c>
      <c r="D11"/>
      <c r="E11"/>
      <c r="F11"/>
      <c r="G11" s="3">
        <v>0.95</v>
      </c>
      <c r="H11"/>
      <c r="I11"/>
      <c r="J11"/>
    </row>
    <row r="12" spans="1:11" x14ac:dyDescent="0.25">
      <c r="A12">
        <v>2045</v>
      </c>
      <c r="B12">
        <v>2</v>
      </c>
      <c r="C12" t="s">
        <v>129</v>
      </c>
      <c r="D12"/>
      <c r="E12"/>
      <c r="F12"/>
      <c r="G12" s="3">
        <v>0.95</v>
      </c>
      <c r="H12"/>
      <c r="I12"/>
      <c r="J12"/>
    </row>
    <row r="13" spans="1:11" x14ac:dyDescent="0.25">
      <c r="A13">
        <v>2050</v>
      </c>
      <c r="B13">
        <v>2</v>
      </c>
      <c r="C13" t="s">
        <v>129</v>
      </c>
      <c r="D13"/>
      <c r="E13"/>
      <c r="F13"/>
      <c r="G13" s="3">
        <v>0.95</v>
      </c>
      <c r="H13"/>
      <c r="I13"/>
      <c r="J13"/>
    </row>
    <row r="14" spans="1:11" x14ac:dyDescent="0.25">
      <c r="A14">
        <v>2018</v>
      </c>
      <c r="B14">
        <v>2</v>
      </c>
      <c r="C14" t="s">
        <v>130</v>
      </c>
      <c r="D14"/>
      <c r="E14"/>
      <c r="F14"/>
      <c r="G14"/>
      <c r="H14" s="3">
        <v>0.86599999999999999</v>
      </c>
      <c r="I14"/>
      <c r="J14"/>
    </row>
    <row r="15" spans="1:11" x14ac:dyDescent="0.25">
      <c r="A15">
        <v>2020</v>
      </c>
      <c r="B15">
        <v>2</v>
      </c>
      <c r="C15" t="s">
        <v>130</v>
      </c>
      <c r="D15"/>
      <c r="E15"/>
      <c r="F15"/>
      <c r="G15"/>
      <c r="H15" s="3">
        <v>0.86599999999999999</v>
      </c>
      <c r="I15"/>
      <c r="J15"/>
    </row>
    <row r="16" spans="1:11" x14ac:dyDescent="0.25">
      <c r="A16">
        <v>2025</v>
      </c>
      <c r="B16">
        <v>2</v>
      </c>
      <c r="C16" t="s">
        <v>130</v>
      </c>
      <c r="D16"/>
      <c r="E16"/>
      <c r="F16"/>
      <c r="G16"/>
      <c r="H16" s="3">
        <v>0.89400000000000002</v>
      </c>
      <c r="I16"/>
      <c r="J16"/>
    </row>
    <row r="17" spans="1:10" x14ac:dyDescent="0.25">
      <c r="A17">
        <v>2030</v>
      </c>
      <c r="B17">
        <v>2</v>
      </c>
      <c r="C17" t="s">
        <v>130</v>
      </c>
      <c r="D17"/>
      <c r="E17"/>
      <c r="F17"/>
      <c r="G17"/>
      <c r="H17" s="3">
        <v>0.89400000000000002</v>
      </c>
      <c r="I17"/>
      <c r="J17"/>
    </row>
    <row r="18" spans="1:10" x14ac:dyDescent="0.25">
      <c r="A18">
        <v>2035</v>
      </c>
      <c r="B18">
        <v>2</v>
      </c>
      <c r="C18" t="s">
        <v>130</v>
      </c>
      <c r="D18"/>
      <c r="E18"/>
      <c r="F18"/>
      <c r="G18"/>
      <c r="H18" s="3">
        <v>0.89400000000000002</v>
      </c>
      <c r="I18"/>
      <c r="J18"/>
    </row>
    <row r="19" spans="1:10" x14ac:dyDescent="0.25">
      <c r="A19">
        <v>2040</v>
      </c>
      <c r="B19">
        <v>2</v>
      </c>
      <c r="C19" t="s">
        <v>130</v>
      </c>
      <c r="D19"/>
      <c r="E19"/>
      <c r="F19"/>
      <c r="G19"/>
      <c r="H19" s="3">
        <v>0.89400000000000002</v>
      </c>
      <c r="I19"/>
      <c r="J19"/>
    </row>
    <row r="20" spans="1:10" x14ac:dyDescent="0.25">
      <c r="A20">
        <v>2045</v>
      </c>
      <c r="B20">
        <v>2</v>
      </c>
      <c r="C20" t="s">
        <v>130</v>
      </c>
      <c r="D20"/>
      <c r="E20"/>
      <c r="F20"/>
      <c r="G20"/>
      <c r="H20" s="3">
        <v>0.92200000000000004</v>
      </c>
      <c r="I20"/>
      <c r="J20"/>
    </row>
    <row r="21" spans="1:10" x14ac:dyDescent="0.25">
      <c r="A21">
        <v>2050</v>
      </c>
      <c r="B21">
        <v>2</v>
      </c>
      <c r="C21" t="s">
        <v>130</v>
      </c>
      <c r="D21"/>
      <c r="E21"/>
      <c r="F21"/>
      <c r="G21"/>
      <c r="H21" s="3">
        <v>0.92200000000000004</v>
      </c>
      <c r="I21"/>
      <c r="J21"/>
    </row>
    <row r="22" spans="1:10" x14ac:dyDescent="0.25">
      <c r="A22">
        <v>2018</v>
      </c>
      <c r="B22">
        <v>2</v>
      </c>
      <c r="C22" t="s">
        <v>142</v>
      </c>
      <c r="D22"/>
      <c r="E22" s="3">
        <v>0.99</v>
      </c>
      <c r="F22"/>
      <c r="G22"/>
      <c r="H22"/>
      <c r="I22"/>
      <c r="J22"/>
    </row>
    <row r="23" spans="1:10" x14ac:dyDescent="0.25">
      <c r="A23">
        <v>2020</v>
      </c>
      <c r="B23">
        <v>2</v>
      </c>
      <c r="C23" t="s">
        <v>142</v>
      </c>
      <c r="D23"/>
      <c r="E23" s="3">
        <v>0.99</v>
      </c>
      <c r="F23"/>
      <c r="G23"/>
      <c r="H23"/>
      <c r="I23"/>
      <c r="J23"/>
    </row>
    <row r="24" spans="1:10" x14ac:dyDescent="0.25">
      <c r="A24">
        <v>2025</v>
      </c>
      <c r="B24">
        <v>2</v>
      </c>
      <c r="C24" t="s">
        <v>142</v>
      </c>
      <c r="D24"/>
      <c r="E24" s="3">
        <v>0.99</v>
      </c>
      <c r="F24"/>
      <c r="G24"/>
      <c r="H24"/>
      <c r="I24"/>
      <c r="J24"/>
    </row>
    <row r="25" spans="1:10" x14ac:dyDescent="0.25">
      <c r="A25">
        <v>2030</v>
      </c>
      <c r="B25">
        <v>2</v>
      </c>
      <c r="C25" t="s">
        <v>142</v>
      </c>
      <c r="D25"/>
      <c r="E25" s="3">
        <v>0.99</v>
      </c>
      <c r="F25"/>
      <c r="G25"/>
      <c r="H25"/>
      <c r="I25"/>
      <c r="J25"/>
    </row>
    <row r="26" spans="1:10" x14ac:dyDescent="0.25">
      <c r="A26">
        <v>2035</v>
      </c>
      <c r="B26">
        <v>2</v>
      </c>
      <c r="C26" t="s">
        <v>142</v>
      </c>
      <c r="D26"/>
      <c r="E26" s="3">
        <v>0.99</v>
      </c>
      <c r="F26"/>
      <c r="G26"/>
      <c r="H26"/>
      <c r="I26"/>
      <c r="J26"/>
    </row>
    <row r="27" spans="1:10" x14ac:dyDescent="0.25">
      <c r="A27">
        <v>2040</v>
      </c>
      <c r="B27">
        <v>2</v>
      </c>
      <c r="C27" t="s">
        <v>142</v>
      </c>
      <c r="D27"/>
      <c r="E27" s="3">
        <v>0.99</v>
      </c>
      <c r="F27"/>
      <c r="G27"/>
      <c r="H27"/>
      <c r="I27"/>
      <c r="J27"/>
    </row>
    <row r="28" spans="1:10" x14ac:dyDescent="0.25">
      <c r="A28">
        <v>2045</v>
      </c>
      <c r="B28">
        <v>2</v>
      </c>
      <c r="C28" t="s">
        <v>142</v>
      </c>
      <c r="D28"/>
      <c r="E28" s="3">
        <v>0.99</v>
      </c>
      <c r="F28"/>
      <c r="G28"/>
      <c r="H28"/>
      <c r="I28"/>
      <c r="J28"/>
    </row>
    <row r="29" spans="1:10" x14ac:dyDescent="0.25">
      <c r="A29">
        <v>2050</v>
      </c>
      <c r="B29">
        <v>2</v>
      </c>
      <c r="C29" t="s">
        <v>142</v>
      </c>
      <c r="D29"/>
      <c r="E29" s="3">
        <v>0.99</v>
      </c>
      <c r="F29"/>
      <c r="G29"/>
      <c r="H29"/>
      <c r="I29"/>
      <c r="J29"/>
    </row>
    <row r="30" spans="1:10" x14ac:dyDescent="0.25">
      <c r="A30">
        <v>2018</v>
      </c>
      <c r="B30">
        <v>2</v>
      </c>
      <c r="C30" t="s">
        <v>143</v>
      </c>
      <c r="D30"/>
      <c r="E30"/>
      <c r="F30" s="3">
        <v>0.99</v>
      </c>
      <c r="G30"/>
      <c r="H30"/>
      <c r="I30"/>
      <c r="J30"/>
    </row>
    <row r="31" spans="1:10" x14ac:dyDescent="0.25">
      <c r="A31">
        <v>2020</v>
      </c>
      <c r="B31">
        <v>2</v>
      </c>
      <c r="C31" t="s">
        <v>143</v>
      </c>
      <c r="D31"/>
      <c r="E31"/>
      <c r="F31" s="3">
        <v>0.99</v>
      </c>
      <c r="G31"/>
      <c r="H31"/>
      <c r="I31"/>
      <c r="J31"/>
    </row>
    <row r="32" spans="1:10" x14ac:dyDescent="0.25">
      <c r="A32">
        <v>2025</v>
      </c>
      <c r="B32">
        <v>2</v>
      </c>
      <c r="C32" t="s">
        <v>143</v>
      </c>
      <c r="D32"/>
      <c r="E32"/>
      <c r="F32" s="3">
        <v>0.99</v>
      </c>
      <c r="G32"/>
      <c r="H32"/>
      <c r="I32"/>
      <c r="J32"/>
    </row>
    <row r="33" spans="1:10" x14ac:dyDescent="0.25">
      <c r="A33">
        <v>2030</v>
      </c>
      <c r="B33">
        <v>2</v>
      </c>
      <c r="C33" t="s">
        <v>143</v>
      </c>
      <c r="D33"/>
      <c r="E33"/>
      <c r="F33" s="3">
        <v>0.99</v>
      </c>
      <c r="G33"/>
      <c r="H33"/>
      <c r="I33"/>
      <c r="J33"/>
    </row>
    <row r="34" spans="1:10" x14ac:dyDescent="0.25">
      <c r="A34">
        <v>2035</v>
      </c>
      <c r="B34">
        <v>2</v>
      </c>
      <c r="C34" t="s">
        <v>143</v>
      </c>
      <c r="D34"/>
      <c r="E34"/>
      <c r="F34" s="3">
        <v>0.99</v>
      </c>
      <c r="G34"/>
      <c r="H34"/>
      <c r="I34"/>
      <c r="J34"/>
    </row>
    <row r="35" spans="1:10" x14ac:dyDescent="0.25">
      <c r="A35">
        <v>2040</v>
      </c>
      <c r="B35">
        <v>2</v>
      </c>
      <c r="C35" t="s">
        <v>143</v>
      </c>
      <c r="D35"/>
      <c r="E35"/>
      <c r="F35" s="3">
        <v>0.99</v>
      </c>
      <c r="G35"/>
      <c r="H35"/>
      <c r="I35"/>
      <c r="J35"/>
    </row>
    <row r="36" spans="1:10" x14ac:dyDescent="0.25">
      <c r="A36">
        <v>2045</v>
      </c>
      <c r="B36">
        <v>2</v>
      </c>
      <c r="C36" t="s">
        <v>143</v>
      </c>
      <c r="D36"/>
      <c r="E36"/>
      <c r="F36" s="3">
        <v>0.99</v>
      </c>
      <c r="G36"/>
      <c r="H36"/>
      <c r="I36"/>
      <c r="J36"/>
    </row>
    <row r="37" spans="1:10" x14ac:dyDescent="0.25">
      <c r="A37">
        <v>2050</v>
      </c>
      <c r="B37">
        <v>2</v>
      </c>
      <c r="C37" t="s">
        <v>143</v>
      </c>
      <c r="D37"/>
      <c r="E37"/>
      <c r="F37" s="3">
        <v>0.99</v>
      </c>
      <c r="G37"/>
      <c r="H37"/>
      <c r="I37"/>
      <c r="J37"/>
    </row>
    <row r="38" spans="1:10" x14ac:dyDescent="0.25">
      <c r="A38">
        <v>2018</v>
      </c>
      <c r="B38">
        <v>2</v>
      </c>
      <c r="C38" t="s">
        <v>234</v>
      </c>
      <c r="D38"/>
      <c r="E38"/>
      <c r="F38"/>
      <c r="G38"/>
      <c r="H38"/>
      <c r="I38">
        <v>1</v>
      </c>
      <c r="J38"/>
    </row>
    <row r="39" spans="1:10" x14ac:dyDescent="0.25">
      <c r="A39">
        <v>2020</v>
      </c>
      <c r="B39">
        <v>2</v>
      </c>
      <c r="C39" t="s">
        <v>234</v>
      </c>
      <c r="D39"/>
      <c r="E39"/>
      <c r="F39"/>
      <c r="G39"/>
      <c r="H39"/>
      <c r="I39">
        <v>1</v>
      </c>
      <c r="J39"/>
    </row>
    <row r="40" spans="1:10" x14ac:dyDescent="0.25">
      <c r="A40">
        <v>2025</v>
      </c>
      <c r="B40">
        <v>2</v>
      </c>
      <c r="C40" t="s">
        <v>234</v>
      </c>
      <c r="D40"/>
      <c r="E40"/>
      <c r="F40"/>
      <c r="G40"/>
      <c r="H40"/>
      <c r="I40">
        <v>1</v>
      </c>
      <c r="J40"/>
    </row>
    <row r="41" spans="1:10" x14ac:dyDescent="0.25">
      <c r="A41">
        <v>2030</v>
      </c>
      <c r="B41">
        <v>2</v>
      </c>
      <c r="C41" t="s">
        <v>234</v>
      </c>
      <c r="D41"/>
      <c r="E41"/>
      <c r="F41"/>
      <c r="G41"/>
      <c r="H41"/>
      <c r="I41">
        <v>1</v>
      </c>
      <c r="J41"/>
    </row>
    <row r="42" spans="1:10" x14ac:dyDescent="0.25">
      <c r="A42">
        <v>2035</v>
      </c>
      <c r="B42">
        <v>2</v>
      </c>
      <c r="C42" t="s">
        <v>234</v>
      </c>
      <c r="D42"/>
      <c r="E42"/>
      <c r="F42"/>
      <c r="G42"/>
      <c r="H42"/>
      <c r="I42">
        <v>1</v>
      </c>
      <c r="J42"/>
    </row>
    <row r="43" spans="1:10" x14ac:dyDescent="0.25">
      <c r="A43">
        <v>2040</v>
      </c>
      <c r="B43">
        <v>2</v>
      </c>
      <c r="C43" t="s">
        <v>234</v>
      </c>
      <c r="D43"/>
      <c r="E43"/>
      <c r="F43"/>
      <c r="G43"/>
      <c r="H43"/>
      <c r="I43">
        <v>1</v>
      </c>
      <c r="J43"/>
    </row>
    <row r="44" spans="1:10" x14ac:dyDescent="0.25">
      <c r="A44">
        <v>2045</v>
      </c>
      <c r="B44">
        <v>2</v>
      </c>
      <c r="C44" t="s">
        <v>234</v>
      </c>
      <c r="D44"/>
      <c r="E44"/>
      <c r="F44"/>
      <c r="G44"/>
      <c r="H44"/>
      <c r="I44">
        <v>1</v>
      </c>
      <c r="J44"/>
    </row>
    <row r="45" spans="1:10" x14ac:dyDescent="0.25">
      <c r="A45">
        <v>2050</v>
      </c>
      <c r="B45">
        <v>2</v>
      </c>
      <c r="C45" t="s">
        <v>234</v>
      </c>
      <c r="D45"/>
      <c r="E45"/>
      <c r="F45"/>
      <c r="G45"/>
      <c r="H45"/>
      <c r="I45">
        <v>1</v>
      </c>
      <c r="J45"/>
    </row>
    <row r="46" spans="1:10" x14ac:dyDescent="0.25">
      <c r="A46">
        <v>2018</v>
      </c>
      <c r="B46">
        <v>2</v>
      </c>
      <c r="C46" t="s">
        <v>236</v>
      </c>
      <c r="D46"/>
      <c r="E46"/>
      <c r="F46"/>
      <c r="G46"/>
      <c r="H46"/>
      <c r="I46"/>
      <c r="J46">
        <v>1</v>
      </c>
    </row>
    <row r="47" spans="1:10" x14ac:dyDescent="0.25">
      <c r="A47">
        <v>2020</v>
      </c>
      <c r="B47">
        <v>2</v>
      </c>
      <c r="C47" t="s">
        <v>236</v>
      </c>
      <c r="D47"/>
      <c r="E47"/>
      <c r="F47"/>
      <c r="G47"/>
      <c r="H47"/>
      <c r="I47"/>
      <c r="J47">
        <v>1</v>
      </c>
    </row>
    <row r="48" spans="1:10" x14ac:dyDescent="0.25">
      <c r="A48">
        <v>2025</v>
      </c>
      <c r="B48">
        <v>2</v>
      </c>
      <c r="C48" t="s">
        <v>236</v>
      </c>
      <c r="D48"/>
      <c r="E48"/>
      <c r="F48"/>
      <c r="G48"/>
      <c r="H48"/>
      <c r="I48"/>
      <c r="J48">
        <v>1</v>
      </c>
    </row>
    <row r="49" spans="1:10" x14ac:dyDescent="0.25">
      <c r="A49">
        <v>2030</v>
      </c>
      <c r="B49">
        <v>2</v>
      </c>
      <c r="C49" t="s">
        <v>236</v>
      </c>
      <c r="D49"/>
      <c r="E49"/>
      <c r="F49"/>
      <c r="G49"/>
      <c r="H49"/>
      <c r="I49"/>
      <c r="J49">
        <v>1</v>
      </c>
    </row>
    <row r="50" spans="1:10" x14ac:dyDescent="0.25">
      <c r="A50">
        <v>2035</v>
      </c>
      <c r="B50">
        <v>2</v>
      </c>
      <c r="C50" t="s">
        <v>236</v>
      </c>
      <c r="D50"/>
      <c r="E50"/>
      <c r="F50"/>
      <c r="G50"/>
      <c r="H50"/>
      <c r="I50"/>
      <c r="J50">
        <v>1</v>
      </c>
    </row>
    <row r="51" spans="1:10" x14ac:dyDescent="0.25">
      <c r="A51">
        <v>2040</v>
      </c>
      <c r="B51">
        <v>2</v>
      </c>
      <c r="C51" t="s">
        <v>236</v>
      </c>
      <c r="D51"/>
      <c r="E51"/>
      <c r="F51"/>
      <c r="G51"/>
      <c r="H51"/>
      <c r="I51"/>
      <c r="J51">
        <v>1</v>
      </c>
    </row>
    <row r="52" spans="1:10" x14ac:dyDescent="0.25">
      <c r="A52">
        <v>2045</v>
      </c>
      <c r="B52">
        <v>2</v>
      </c>
      <c r="C52" t="s">
        <v>236</v>
      </c>
      <c r="D52"/>
      <c r="E52"/>
      <c r="F52"/>
      <c r="G52"/>
      <c r="H52"/>
      <c r="I52"/>
      <c r="J52">
        <v>1</v>
      </c>
    </row>
    <row r="53" spans="1:10" x14ac:dyDescent="0.25">
      <c r="A53">
        <v>2050</v>
      </c>
      <c r="B53">
        <v>2</v>
      </c>
      <c r="C53" t="s">
        <v>236</v>
      </c>
      <c r="D53"/>
      <c r="E53"/>
      <c r="F53"/>
      <c r="G53"/>
      <c r="H53"/>
      <c r="I53"/>
      <c r="J53">
        <v>1</v>
      </c>
    </row>
    <row r="54" spans="1:10" x14ac:dyDescent="0.25">
      <c r="A54">
        <v>2018</v>
      </c>
      <c r="B54">
        <v>2</v>
      </c>
      <c r="C54" t="s">
        <v>128</v>
      </c>
      <c r="D54" s="3">
        <v>0.86599999999999999</v>
      </c>
      <c r="E54"/>
      <c r="F54"/>
      <c r="G54"/>
      <c r="H54"/>
      <c r="I54"/>
      <c r="J54"/>
    </row>
    <row r="55" spans="1:10" x14ac:dyDescent="0.25">
      <c r="A55">
        <v>2020</v>
      </c>
      <c r="B55">
        <v>2</v>
      </c>
      <c r="C55" t="s">
        <v>128</v>
      </c>
      <c r="D55" s="3">
        <v>0.86599999999999999</v>
      </c>
      <c r="E55"/>
      <c r="F55"/>
      <c r="G55"/>
      <c r="H55"/>
      <c r="I55"/>
      <c r="J55"/>
    </row>
    <row r="56" spans="1:10" x14ac:dyDescent="0.25">
      <c r="A56">
        <v>2025</v>
      </c>
      <c r="B56">
        <v>2</v>
      </c>
      <c r="C56" t="s">
        <v>128</v>
      </c>
      <c r="D56" s="3">
        <v>0.86599999999999999</v>
      </c>
      <c r="E56"/>
      <c r="F56"/>
      <c r="G56"/>
      <c r="H56"/>
      <c r="I56"/>
      <c r="J56"/>
    </row>
    <row r="57" spans="1:10" x14ac:dyDescent="0.25">
      <c r="A57">
        <v>2030</v>
      </c>
      <c r="B57">
        <v>2</v>
      </c>
      <c r="C57" t="s">
        <v>128</v>
      </c>
      <c r="D57" s="3">
        <v>0.86599999999999999</v>
      </c>
      <c r="E57"/>
      <c r="F57"/>
      <c r="G57"/>
      <c r="H57"/>
      <c r="I57"/>
      <c r="J57"/>
    </row>
    <row r="58" spans="1:10" x14ac:dyDescent="0.25">
      <c r="A58">
        <v>2035</v>
      </c>
      <c r="B58">
        <v>2</v>
      </c>
      <c r="C58" t="s">
        <v>128</v>
      </c>
      <c r="D58" s="3">
        <v>0.86599999999999999</v>
      </c>
      <c r="E58"/>
      <c r="F58"/>
      <c r="G58"/>
      <c r="H58"/>
      <c r="I58"/>
      <c r="J58"/>
    </row>
    <row r="59" spans="1:10" x14ac:dyDescent="0.25">
      <c r="A59">
        <v>2040</v>
      </c>
      <c r="B59">
        <v>2</v>
      </c>
      <c r="C59" t="s">
        <v>128</v>
      </c>
      <c r="D59" s="3">
        <v>0.86599999999999999</v>
      </c>
      <c r="E59"/>
      <c r="F59"/>
      <c r="G59"/>
      <c r="H59"/>
      <c r="I59"/>
      <c r="J59"/>
    </row>
    <row r="60" spans="1:10" x14ac:dyDescent="0.25">
      <c r="A60">
        <v>2045</v>
      </c>
      <c r="B60">
        <v>2</v>
      </c>
      <c r="C60" t="s">
        <v>128</v>
      </c>
      <c r="D60" s="3">
        <v>0.86599999999999999</v>
      </c>
      <c r="E60"/>
      <c r="F60"/>
      <c r="G60"/>
      <c r="H60"/>
      <c r="I60"/>
      <c r="J60"/>
    </row>
    <row r="61" spans="1:10" x14ac:dyDescent="0.25">
      <c r="A61">
        <v>2050</v>
      </c>
      <c r="B61">
        <v>2</v>
      </c>
      <c r="C61" t="s">
        <v>128</v>
      </c>
      <c r="D61" s="3">
        <v>0.86599999999999999</v>
      </c>
      <c r="E61"/>
      <c r="F61"/>
      <c r="G61"/>
      <c r="H61"/>
      <c r="I61"/>
      <c r="J61"/>
    </row>
    <row r="62" spans="1:10" x14ac:dyDescent="0.25">
      <c r="A62">
        <v>2018</v>
      </c>
      <c r="B62">
        <v>2</v>
      </c>
      <c r="C62" t="s">
        <v>132</v>
      </c>
      <c r="D62" s="3">
        <v>0.86599999999999999</v>
      </c>
    </row>
    <row r="63" spans="1:10" x14ac:dyDescent="0.25">
      <c r="A63">
        <v>2020</v>
      </c>
      <c r="B63">
        <v>2</v>
      </c>
      <c r="C63" t="s">
        <v>132</v>
      </c>
      <c r="D63" s="3">
        <v>0.86599999999999999</v>
      </c>
    </row>
    <row r="64" spans="1:10" x14ac:dyDescent="0.25">
      <c r="A64">
        <v>2025</v>
      </c>
      <c r="B64">
        <v>2</v>
      </c>
      <c r="C64" t="s">
        <v>132</v>
      </c>
      <c r="D64" s="3">
        <v>0.86599999999999999</v>
      </c>
    </row>
    <row r="65" spans="1:11" x14ac:dyDescent="0.25">
      <c r="A65">
        <v>2030</v>
      </c>
      <c r="B65">
        <v>2</v>
      </c>
      <c r="C65" t="s">
        <v>132</v>
      </c>
      <c r="D65" s="3">
        <v>0.86599999999999999</v>
      </c>
    </row>
    <row r="66" spans="1:11" x14ac:dyDescent="0.25">
      <c r="A66">
        <v>2035</v>
      </c>
      <c r="B66">
        <v>2</v>
      </c>
      <c r="C66" t="s">
        <v>132</v>
      </c>
      <c r="D66" s="3">
        <v>0.86599999999999999</v>
      </c>
    </row>
    <row r="67" spans="1:11" x14ac:dyDescent="0.25">
      <c r="A67">
        <v>2040</v>
      </c>
      <c r="B67">
        <v>2</v>
      </c>
      <c r="C67" t="s">
        <v>132</v>
      </c>
      <c r="D67" s="3">
        <v>0.86599999999999999</v>
      </c>
    </row>
    <row r="68" spans="1:11" x14ac:dyDescent="0.25">
      <c r="A68">
        <v>2045</v>
      </c>
      <c r="B68">
        <v>2</v>
      </c>
      <c r="C68" t="s">
        <v>132</v>
      </c>
      <c r="D68" s="3">
        <v>0.86599999999999999</v>
      </c>
    </row>
    <row r="69" spans="1:11" x14ac:dyDescent="0.25">
      <c r="A69">
        <v>2050</v>
      </c>
      <c r="B69">
        <v>2</v>
      </c>
      <c r="C69" t="s">
        <v>132</v>
      </c>
      <c r="D69" s="3">
        <v>0.86599999999999999</v>
      </c>
    </row>
    <row r="70" spans="1:11" x14ac:dyDescent="0.25">
      <c r="A70">
        <v>2018</v>
      </c>
      <c r="B70">
        <v>2</v>
      </c>
      <c r="C70" t="s">
        <v>180</v>
      </c>
      <c r="K70" s="3">
        <v>0.73499999999999999</v>
      </c>
    </row>
    <row r="71" spans="1:11" x14ac:dyDescent="0.25">
      <c r="A71">
        <v>2020</v>
      </c>
      <c r="B71">
        <v>2</v>
      </c>
      <c r="C71" t="s">
        <v>180</v>
      </c>
      <c r="K71" s="3">
        <v>0.73499999999999999</v>
      </c>
    </row>
    <row r="72" spans="1:11" x14ac:dyDescent="0.25">
      <c r="A72">
        <v>2025</v>
      </c>
      <c r="B72">
        <v>2</v>
      </c>
      <c r="C72" t="s">
        <v>180</v>
      </c>
      <c r="K72" s="3">
        <v>0.83699999999999997</v>
      </c>
    </row>
    <row r="73" spans="1:11" x14ac:dyDescent="0.25">
      <c r="A73">
        <v>2030</v>
      </c>
      <c r="B73">
        <v>2</v>
      </c>
      <c r="C73" t="s">
        <v>180</v>
      </c>
      <c r="K73" s="3">
        <v>0.83699999999999997</v>
      </c>
    </row>
    <row r="74" spans="1:11" x14ac:dyDescent="0.25">
      <c r="A74">
        <v>2035</v>
      </c>
      <c r="B74">
        <v>2</v>
      </c>
      <c r="C74" t="s">
        <v>180</v>
      </c>
      <c r="K74" s="3">
        <v>0.83699999999999997</v>
      </c>
    </row>
    <row r="75" spans="1:11" x14ac:dyDescent="0.25">
      <c r="A75">
        <v>2040</v>
      </c>
      <c r="B75">
        <v>2</v>
      </c>
      <c r="C75" t="s">
        <v>180</v>
      </c>
      <c r="K75" s="3">
        <v>0.83699999999999997</v>
      </c>
    </row>
    <row r="76" spans="1:11" x14ac:dyDescent="0.25">
      <c r="A76">
        <v>2045</v>
      </c>
      <c r="B76">
        <v>2</v>
      </c>
      <c r="C76" t="s">
        <v>180</v>
      </c>
      <c r="K76" s="3">
        <v>0.83699999999999997</v>
      </c>
    </row>
    <row r="77" spans="1:11" x14ac:dyDescent="0.25">
      <c r="A77">
        <v>2050</v>
      </c>
      <c r="B77">
        <v>2</v>
      </c>
      <c r="C77" t="s">
        <v>180</v>
      </c>
      <c r="K77" s="3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46"/>
  <dimension ref="A1:K6"/>
  <sheetViews>
    <sheetView zoomScaleNormal="100" workbookViewId="0">
      <selection activeCell="A7" sqref="A7"/>
    </sheetView>
  </sheetViews>
  <sheetFormatPr defaultColWidth="9.140625" defaultRowHeight="15" x14ac:dyDescent="0.25"/>
  <cols>
    <col min="1" max="16384" width="9.140625" style="3"/>
  </cols>
  <sheetData>
    <row r="1" spans="1:11" x14ac:dyDescent="0.25">
      <c r="A1" s="3" t="s">
        <v>325</v>
      </c>
    </row>
    <row r="2" spans="1:11" x14ac:dyDescent="0.25">
      <c r="A2" s="3" t="s">
        <v>291</v>
      </c>
    </row>
    <row r="3" spans="1:11" x14ac:dyDescent="0.25">
      <c r="A3" s="3" t="s">
        <v>300</v>
      </c>
    </row>
    <row r="5" spans="1:11" x14ac:dyDescent="0.25">
      <c r="A5" s="3" t="s">
        <v>15</v>
      </c>
      <c r="B5" t="s">
        <v>137</v>
      </c>
      <c r="C5" t="s">
        <v>144</v>
      </c>
      <c r="D5" t="s">
        <v>145</v>
      </c>
      <c r="E5" t="s">
        <v>138</v>
      </c>
      <c r="F5" t="s">
        <v>139</v>
      </c>
      <c r="G5" t="s">
        <v>235</v>
      </c>
      <c r="H5" t="s">
        <v>181</v>
      </c>
      <c r="I5" t="s">
        <v>237</v>
      </c>
    </row>
    <row r="6" spans="1:11" x14ac:dyDescent="0.25">
      <c r="A6" t="s">
        <v>333</v>
      </c>
      <c r="B6" s="3">
        <v>50</v>
      </c>
      <c r="C6" s="3">
        <v>1</v>
      </c>
      <c r="D6" s="3">
        <v>1</v>
      </c>
      <c r="E6" s="3">
        <v>3</v>
      </c>
      <c r="F6" s="3">
        <v>42.7</v>
      </c>
      <c r="G6" s="3">
        <v>1</v>
      </c>
      <c r="H6" s="3">
        <v>100</v>
      </c>
      <c r="I6" s="3">
        <v>1</v>
      </c>
      <c r="K6" s="25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47"/>
  <dimension ref="A1:I6"/>
  <sheetViews>
    <sheetView zoomScaleNormal="100" workbookViewId="0">
      <selection activeCell="A6" sqref="A6"/>
    </sheetView>
  </sheetViews>
  <sheetFormatPr defaultColWidth="9.140625" defaultRowHeight="15" x14ac:dyDescent="0.25"/>
  <cols>
    <col min="1" max="16384" width="9.140625" style="28"/>
  </cols>
  <sheetData>
    <row r="1" spans="1:9" x14ac:dyDescent="0.25">
      <c r="A1" s="28" t="s">
        <v>326</v>
      </c>
    </row>
    <row r="2" spans="1:9" x14ac:dyDescent="0.25">
      <c r="A2" s="28" t="s">
        <v>292</v>
      </c>
    </row>
    <row r="3" spans="1:9" x14ac:dyDescent="0.25">
      <c r="A3" s="28" t="s">
        <v>300</v>
      </c>
    </row>
    <row r="5" spans="1:9" x14ac:dyDescent="0.25">
      <c r="A5" s="28" t="s">
        <v>15</v>
      </c>
      <c r="B5" t="s">
        <v>137</v>
      </c>
      <c r="C5" t="s">
        <v>144</v>
      </c>
      <c r="D5" t="s">
        <v>145</v>
      </c>
      <c r="E5" t="s">
        <v>138</v>
      </c>
      <c r="F5" t="s">
        <v>139</v>
      </c>
      <c r="G5" t="s">
        <v>235</v>
      </c>
      <c r="H5" t="s">
        <v>181</v>
      </c>
      <c r="I5" t="s">
        <v>237</v>
      </c>
    </row>
    <row r="6" spans="1:9" x14ac:dyDescent="0.25">
      <c r="A6" t="s">
        <v>333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48"/>
  <dimension ref="A1:J5"/>
  <sheetViews>
    <sheetView zoomScaleNormal="100" workbookViewId="0">
      <selection activeCell="U41" sqref="U41"/>
    </sheetView>
  </sheetViews>
  <sheetFormatPr defaultColWidth="9.140625" defaultRowHeight="15" x14ac:dyDescent="0.25"/>
  <cols>
    <col min="1" max="16384" width="9.140625" style="3"/>
  </cols>
  <sheetData>
    <row r="1" spans="1:10" x14ac:dyDescent="0.25">
      <c r="A1" s="3" t="s">
        <v>328</v>
      </c>
    </row>
    <row r="2" spans="1:10" x14ac:dyDescent="0.25">
      <c r="A2" s="3" t="s">
        <v>327</v>
      </c>
    </row>
    <row r="3" spans="1:10" x14ac:dyDescent="0.25">
      <c r="A3" s="3" t="s">
        <v>304</v>
      </c>
    </row>
    <row r="5" spans="1:10" x14ac:dyDescent="0.25">
      <c r="A5" s="3" t="s">
        <v>15</v>
      </c>
      <c r="B5" s="3" t="s">
        <v>28</v>
      </c>
      <c r="C5" s="3">
        <v>2018</v>
      </c>
      <c r="D5" s="3">
        <v>2020</v>
      </c>
      <c r="E5" s="3">
        <v>2025</v>
      </c>
      <c r="F5" s="3">
        <v>2030</v>
      </c>
      <c r="G5" s="3">
        <v>2035</v>
      </c>
      <c r="H5" s="3">
        <v>2040</v>
      </c>
      <c r="I5" s="3">
        <v>2045</v>
      </c>
      <c r="J5" s="3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49"/>
  <dimension ref="A1:J13"/>
  <sheetViews>
    <sheetView zoomScaleNormal="100" workbookViewId="0">
      <selection activeCell="A6" sqref="A6"/>
    </sheetView>
  </sheetViews>
  <sheetFormatPr defaultColWidth="9.140625" defaultRowHeight="15" x14ac:dyDescent="0.25"/>
  <cols>
    <col min="1" max="16384" width="9.140625" style="3"/>
  </cols>
  <sheetData>
    <row r="1" spans="1:10" x14ac:dyDescent="0.25">
      <c r="A1" s="3" t="s">
        <v>330</v>
      </c>
    </row>
    <row r="2" spans="1:10" x14ac:dyDescent="0.25">
      <c r="A2" s="3" t="s">
        <v>329</v>
      </c>
    </row>
    <row r="3" spans="1:10" x14ac:dyDescent="0.25">
      <c r="A3" s="3" t="s">
        <v>320</v>
      </c>
    </row>
    <row r="5" spans="1:10" x14ac:dyDescent="0.25">
      <c r="A5" s="3" t="s">
        <v>15</v>
      </c>
      <c r="B5" s="3" t="s">
        <v>28</v>
      </c>
      <c r="C5" s="3">
        <v>2018</v>
      </c>
      <c r="D5" s="3">
        <v>2020</v>
      </c>
      <c r="E5" s="3">
        <v>2025</v>
      </c>
      <c r="F5" s="3">
        <v>2030</v>
      </c>
      <c r="G5" s="3">
        <v>2035</v>
      </c>
      <c r="H5" s="3">
        <v>2040</v>
      </c>
      <c r="I5" s="3">
        <v>2045</v>
      </c>
      <c r="J5" s="3">
        <v>2050</v>
      </c>
    </row>
    <row r="6" spans="1:10" x14ac:dyDescent="0.25">
      <c r="A6" t="s">
        <v>333</v>
      </c>
      <c r="B6" t="s">
        <v>137</v>
      </c>
      <c r="C6" s="3">
        <v>100</v>
      </c>
      <c r="D6" s="3">
        <v>100</v>
      </c>
      <c r="E6" s="3">
        <v>100</v>
      </c>
      <c r="F6" s="3">
        <v>100</v>
      </c>
      <c r="G6" s="3">
        <v>100</v>
      </c>
      <c r="H6" s="3">
        <v>100</v>
      </c>
      <c r="I6" s="3">
        <v>100</v>
      </c>
      <c r="J6" s="3">
        <v>100</v>
      </c>
    </row>
    <row r="7" spans="1:10" x14ac:dyDescent="0.25">
      <c r="A7" t="s">
        <v>333</v>
      </c>
      <c r="B7" t="s">
        <v>144</v>
      </c>
      <c r="C7" s="3">
        <v>100</v>
      </c>
      <c r="D7" s="3">
        <v>100</v>
      </c>
      <c r="E7" s="3">
        <v>100</v>
      </c>
      <c r="F7" s="3">
        <v>100</v>
      </c>
      <c r="G7" s="3">
        <v>100</v>
      </c>
      <c r="H7" s="3">
        <v>100</v>
      </c>
      <c r="I7" s="3">
        <v>100</v>
      </c>
      <c r="J7" s="3">
        <v>100</v>
      </c>
    </row>
    <row r="8" spans="1:10" x14ac:dyDescent="0.25">
      <c r="A8" t="s">
        <v>333</v>
      </c>
      <c r="B8" t="s">
        <v>145</v>
      </c>
      <c r="C8" s="3">
        <v>100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</row>
    <row r="9" spans="1:10" x14ac:dyDescent="0.25">
      <c r="A9" t="s">
        <v>333</v>
      </c>
      <c r="B9" t="s">
        <v>138</v>
      </c>
      <c r="C9" s="3">
        <v>100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100</v>
      </c>
    </row>
    <row r="10" spans="1:10" x14ac:dyDescent="0.25">
      <c r="A10" t="s">
        <v>333</v>
      </c>
      <c r="B10" t="s">
        <v>139</v>
      </c>
      <c r="C10" s="3">
        <v>100</v>
      </c>
      <c r="D10" s="3">
        <v>100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</row>
    <row r="11" spans="1:10" x14ac:dyDescent="0.25">
      <c r="A11" t="s">
        <v>333</v>
      </c>
      <c r="B11" t="s">
        <v>235</v>
      </c>
      <c r="C11" s="3">
        <v>100</v>
      </c>
      <c r="D11" s="3">
        <v>100</v>
      </c>
      <c r="E11" s="3">
        <v>100</v>
      </c>
      <c r="F11" s="3">
        <v>100</v>
      </c>
      <c r="G11" s="3">
        <v>100</v>
      </c>
      <c r="H11" s="3">
        <v>100</v>
      </c>
      <c r="I11" s="3">
        <v>100</v>
      </c>
      <c r="J11" s="3">
        <v>100</v>
      </c>
    </row>
    <row r="12" spans="1:10" x14ac:dyDescent="0.25">
      <c r="A12" t="s">
        <v>333</v>
      </c>
      <c r="B12" t="s">
        <v>181</v>
      </c>
      <c r="C12" s="3">
        <v>100</v>
      </c>
      <c r="D12" s="3">
        <v>100</v>
      </c>
      <c r="E12" s="3">
        <v>100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</row>
    <row r="13" spans="1:10" x14ac:dyDescent="0.25">
      <c r="A13" t="s">
        <v>333</v>
      </c>
      <c r="B13" t="s">
        <v>237</v>
      </c>
      <c r="C13" s="3">
        <v>100</v>
      </c>
      <c r="D13" s="3">
        <v>100</v>
      </c>
      <c r="E13" s="3">
        <v>100</v>
      </c>
      <c r="F13" s="3">
        <v>100</v>
      </c>
      <c r="G13" s="3">
        <v>100</v>
      </c>
      <c r="H13" s="3">
        <v>100</v>
      </c>
      <c r="I13" s="3">
        <v>100</v>
      </c>
      <c r="J13" s="3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50"/>
  <dimension ref="A1:J5"/>
  <sheetViews>
    <sheetView zoomScaleNormal="100" workbookViewId="0">
      <selection activeCell="I29" sqref="I29"/>
    </sheetView>
  </sheetViews>
  <sheetFormatPr defaultColWidth="9.140625" defaultRowHeight="15" x14ac:dyDescent="0.25"/>
  <cols>
    <col min="1" max="2" width="9.140625" style="3"/>
    <col min="3" max="10" width="16.85546875" style="3" customWidth="1"/>
    <col min="11" max="16384" width="9.140625" style="3"/>
  </cols>
  <sheetData>
    <row r="1" spans="1:10" x14ac:dyDescent="0.25">
      <c r="A1" s="3" t="s">
        <v>332</v>
      </c>
    </row>
    <row r="2" spans="1:10" x14ac:dyDescent="0.25">
      <c r="A2" s="3" t="s">
        <v>331</v>
      </c>
    </row>
    <row r="3" spans="1:10" x14ac:dyDescent="0.25">
      <c r="A3" s="3" t="s">
        <v>299</v>
      </c>
    </row>
    <row r="5" spans="1:10" x14ac:dyDescent="0.25">
      <c r="A5" s="3" t="s">
        <v>15</v>
      </c>
      <c r="B5" s="3" t="s">
        <v>28</v>
      </c>
      <c r="C5" s="3">
        <v>2018</v>
      </c>
      <c r="D5" s="3">
        <v>2020</v>
      </c>
      <c r="E5" s="3">
        <v>2025</v>
      </c>
      <c r="F5" s="3">
        <v>2030</v>
      </c>
      <c r="G5" s="3">
        <v>2035</v>
      </c>
      <c r="H5" s="3">
        <v>2040</v>
      </c>
      <c r="I5" s="3">
        <v>2045</v>
      </c>
      <c r="J5" s="3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291A-E956-49F1-A17F-C76A437C5C91}">
  <dimension ref="A1:B52"/>
  <sheetViews>
    <sheetView workbookViewId="0">
      <selection activeCell="C22" sqref="C22"/>
    </sheetView>
  </sheetViews>
  <sheetFormatPr defaultColWidth="11.42578125" defaultRowHeight="15" x14ac:dyDescent="0.25"/>
  <cols>
    <col min="1" max="1" width="28.5703125" customWidth="1"/>
  </cols>
  <sheetData>
    <row r="1" spans="1:2" x14ac:dyDescent="0.25">
      <c r="A1" t="s">
        <v>370</v>
      </c>
    </row>
    <row r="3" spans="1:2" x14ac:dyDescent="0.25">
      <c r="A3" t="s">
        <v>21</v>
      </c>
      <c r="B3" s="31" t="s">
        <v>371</v>
      </c>
    </row>
    <row r="4" spans="1:2" x14ac:dyDescent="0.25">
      <c r="A4" s="1" t="s">
        <v>124</v>
      </c>
      <c r="B4">
        <v>0</v>
      </c>
    </row>
    <row r="5" spans="1:2" x14ac:dyDescent="0.25">
      <c r="A5" s="1" t="s">
        <v>118</v>
      </c>
      <c r="B5">
        <v>1</v>
      </c>
    </row>
    <row r="6" spans="1:2" x14ac:dyDescent="0.25">
      <c r="A6" s="1" t="s">
        <v>165</v>
      </c>
      <c r="B6">
        <v>1</v>
      </c>
    </row>
    <row r="7" spans="1:2" x14ac:dyDescent="0.25">
      <c r="A7" s="1" t="s">
        <v>120</v>
      </c>
      <c r="B7">
        <v>0</v>
      </c>
    </row>
    <row r="8" spans="1:2" x14ac:dyDescent="0.25">
      <c r="A8" t="s">
        <v>227</v>
      </c>
      <c r="B8">
        <v>0.4</v>
      </c>
    </row>
    <row r="9" spans="1:2" x14ac:dyDescent="0.25">
      <c r="A9" t="s">
        <v>239</v>
      </c>
      <c r="B9">
        <v>0.4</v>
      </c>
    </row>
    <row r="10" spans="1:2" x14ac:dyDescent="0.25">
      <c r="A10" s="1" t="s">
        <v>230</v>
      </c>
      <c r="B10">
        <v>1</v>
      </c>
    </row>
    <row r="11" spans="1:2" x14ac:dyDescent="0.25">
      <c r="A11" t="s">
        <v>228</v>
      </c>
      <c r="B11">
        <v>1</v>
      </c>
    </row>
    <row r="12" spans="1:2" x14ac:dyDescent="0.25">
      <c r="A12" t="s">
        <v>220</v>
      </c>
      <c r="B12">
        <v>1</v>
      </c>
    </row>
    <row r="13" spans="1:2" x14ac:dyDescent="0.25">
      <c r="A13" t="s">
        <v>216</v>
      </c>
      <c r="B13">
        <v>1</v>
      </c>
    </row>
    <row r="14" spans="1:2" x14ac:dyDescent="0.25">
      <c r="A14" t="s">
        <v>218</v>
      </c>
      <c r="B14">
        <v>1</v>
      </c>
    </row>
    <row r="15" spans="1:2" x14ac:dyDescent="0.25">
      <c r="A15" t="s">
        <v>219</v>
      </c>
      <c r="B15">
        <v>1</v>
      </c>
    </row>
    <row r="16" spans="1:2" x14ac:dyDescent="0.25">
      <c r="A16" t="s">
        <v>223</v>
      </c>
      <c r="B16">
        <v>1</v>
      </c>
    </row>
    <row r="17" spans="1:2" x14ac:dyDescent="0.25">
      <c r="A17" s="1" t="s">
        <v>122</v>
      </c>
      <c r="B17">
        <v>0</v>
      </c>
    </row>
    <row r="18" spans="1:2" x14ac:dyDescent="0.25">
      <c r="A18" s="1" t="s">
        <v>56</v>
      </c>
      <c r="B18">
        <v>1</v>
      </c>
    </row>
    <row r="19" spans="1:2" x14ac:dyDescent="0.25">
      <c r="A19" s="1" t="s">
        <v>117</v>
      </c>
      <c r="B19">
        <v>0</v>
      </c>
    </row>
    <row r="20" spans="1:2" x14ac:dyDescent="0.25">
      <c r="A20" s="1" t="s">
        <v>372</v>
      </c>
      <c r="B20">
        <v>1</v>
      </c>
    </row>
    <row r="21" spans="1:2" x14ac:dyDescent="0.25">
      <c r="A21" s="1"/>
    </row>
    <row r="22" spans="1:2" x14ac:dyDescent="0.25">
      <c r="A22" s="1"/>
    </row>
    <row r="23" spans="1:2" x14ac:dyDescent="0.25">
      <c r="A23" s="1"/>
    </row>
    <row r="24" spans="1:2" x14ac:dyDescent="0.25">
      <c r="A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  <row r="29" spans="1:2" x14ac:dyDescent="0.25">
      <c r="A29" s="1"/>
    </row>
    <row r="30" spans="1:2" x14ac:dyDescent="0.25">
      <c r="A30" s="1"/>
    </row>
    <row r="31" spans="1:2" x14ac:dyDescent="0.25">
      <c r="A31" s="1"/>
    </row>
    <row r="52" spans="1:1" x14ac:dyDescent="0.25">
      <c r="A52" s="1"/>
    </row>
  </sheetData>
  <dataValidations count="1">
    <dataValidation type="list" allowBlank="1" showInputMessage="1" showErrorMessage="1" sqref="A13:A16 A52" xr:uid="{006E2AC7-2868-41A5-9D99-34BD1045ABC0}">
      <formula1>Technologies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Sets</vt:lpstr>
      <vt:lpstr>Par_DaySplit</vt:lpstr>
      <vt:lpstr>Par_YearSplit</vt:lpstr>
      <vt:lpstr>Par_TagTechnologyToSector</vt:lpstr>
      <vt:lpstr>Par_TagDemandFuelToSector</vt:lpstr>
      <vt:lpstr>Par_CapacityToActivityUnit</vt:lpstr>
      <vt:lpstr>Par_Conversionls</vt:lpstr>
      <vt:lpstr>Par_Conversionld</vt:lpstr>
      <vt:lpstr>Par_Conversionlh</vt:lpstr>
      <vt:lpstr>Par_EmissionActivityRatio</vt:lpstr>
      <vt:lpstr>Par_EmissionPenaltyTagTech</vt:lpstr>
      <vt:lpstr>Par_EmissionContentPerFuel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Par_AvailabilityFactor</vt:lpstr>
      <vt:lpstr>Par_OperationalLife</vt:lpstr>
      <vt:lpstr>Par_TagTechnologyToModalType</vt:lpstr>
      <vt:lpstr>Par_TechnologyToStorage</vt:lpstr>
      <vt:lpstr>Par_TechnologyFromStorage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Par_TagElectricTechnology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2023-12-15T14:05:28Z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