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 codeName="DieseArbeitsmappe" autoCompressPictures="0"/>
  <xr:revisionPtr revIDLastSave="1095" documentId="13_ncr:1_{3A2AA824-9975-4245-A910-C1567DD8D210}" xr6:coauthVersionLast="47" xr6:coauthVersionMax="47" xr10:uidLastSave="{0EDAE984-C4C2-40E5-A046-D8C8A0345648}"/>
  <bookViews>
    <workbookView xWindow="-23148" yWindow="1764" windowWidth="23256" windowHeight="14016" tabRatio="804" firstSheet="35" activeTab="37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OverallBaseYearMinActivity" sheetId="91" r:id="rId36"/>
    <sheet name="Par_OverallBaseYearMaxActivity" sheetId="92" r:id="rId37"/>
    <sheet name="Par_TotalAnnualMaxActivity" sheetId="39" r:id="rId38"/>
    <sheet name="Par_TotalAnnualMaxCapacity" sheetId="8" r:id="rId39"/>
    <sheet name="Par_ModelPeriodActivityMaxLimit" sheetId="63" r:id="rId40"/>
    <sheet name="Par_TotalAnnualMinCapacity" sheetId="27" r:id="rId41"/>
    <sheet name="Par_RegionalCCSLimit" sheetId="89" r:id="rId42"/>
    <sheet name="Par_RegionalBaseYearProduction" sheetId="75" r:id="rId43"/>
    <sheet name="Par_BaseYearProduction" sheetId="74" r:id="rId44"/>
    <sheet name="Par_TagTechnologyToModalType" sheetId="65" r:id="rId45"/>
    <sheet name="Par_ModalSplitByFuel" sheetId="66" r:id="rId46"/>
    <sheet name="Par_TechnologyToStorage" sheetId="49" r:id="rId47"/>
    <sheet name="Par_TechnologyFromStorage" sheetId="50" r:id="rId48"/>
    <sheet name="Par_StorageLevelStart" sheetId="51" r:id="rId49"/>
    <sheet name="Par_StorageMaxChargeRate" sheetId="52" r:id="rId50"/>
    <sheet name="Par_StorageMaxDischargeRate" sheetId="53" r:id="rId51"/>
    <sheet name="Par_MinStorageCharge" sheetId="54" r:id="rId52"/>
    <sheet name="Par_OperationalLifeStorage" sheetId="55" r:id="rId53"/>
    <sheet name="Par_CapitalCostStorage" sheetId="56" r:id="rId54"/>
    <sheet name="Par_ResidualStorageCapacity" sheetId="57" r:id="rId55"/>
  </sheets>
  <definedNames>
    <definedName name="_xlnm._FilterDatabase" localSheetId="31" hidden="1">Par_AvailabilityFactor!$A$5:$P$175</definedName>
    <definedName name="_xlnm._FilterDatabase" localSheetId="32" hidden="1">Par_CapacityFactor!$A$5:$O$24485</definedName>
    <definedName name="_xlnm._FilterDatabase" localSheetId="27" hidden="1">Par_CapitalCost!$A$5:$Y$41</definedName>
    <definedName name="_xlnm._FilterDatabase" localSheetId="53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Par_InputActivityRatio!$A$5:$R$230</definedName>
    <definedName name="_xlnm._FilterDatabase" localSheetId="45" hidden="1">Par_ModalSplitByFuel!$A$4:$L$69</definedName>
    <definedName name="_xlnm._FilterDatabase" localSheetId="52" hidden="1">Par_OperationalLifeStorage!$A$5:$M$5</definedName>
    <definedName name="_xlnm._FilterDatabase" localSheetId="26" hidden="1">Par_OutputActivityRatio!$A$5:$S$288</definedName>
    <definedName name="_xlnm._FilterDatabase" localSheetId="42" hidden="1">Par_RegionalBaseYearProduction!$A$5:$D$991</definedName>
    <definedName name="_xlnm._FilterDatabase" localSheetId="41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Par_ResidualCapacity!$A$5:$J$1377</definedName>
    <definedName name="_xlnm._FilterDatabase" localSheetId="21" hidden="1">Par_SpecifiedAnnualDemand!$A$4:$J$61</definedName>
    <definedName name="_xlnm._FilterDatabase" localSheetId="44" hidden="1">Par_TagTechnologyToModalType!$A$5:$T$5</definedName>
    <definedName name="_xlnm._FilterDatabase" localSheetId="38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Par_VariableCost!$A$5:$P$105</definedName>
    <definedName name="_xlnm._FilterDatabase" localSheetId="0" hidden="1">Sets!$A$1:$N$145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2">#REF!</definedName>
    <definedName name="Emissions" localSheetId="41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2">#REF!</definedName>
    <definedName name="Fuels" localSheetId="41">#REF!</definedName>
    <definedName name="Fuels" localSheetId="22">#REF!</definedName>
    <definedName name="Fuels" localSheetId="3">#REF!</definedName>
    <definedName name="Fuels" localSheetId="37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2">#REF!</definedName>
    <definedName name="Regions" localSheetId="41">#REF!</definedName>
    <definedName name="Regions" localSheetId="22">#REF!</definedName>
    <definedName name="Regions" localSheetId="3">#REF!</definedName>
    <definedName name="Regions" localSheetId="37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2">#REF!</definedName>
    <definedName name="Storages" localSheetId="41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5">#REF!</definedName>
    <definedName name="Technologies" localSheetId="42">#REF!:B</definedName>
    <definedName name="Technologies" localSheetId="41">#REF!:B</definedName>
    <definedName name="Technologies" localSheetId="3">#REF!:B</definedName>
    <definedName name="Technologies" localSheetId="37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2">#REF!</definedName>
    <definedName name="Timeslices" localSheetId="41">#REF!</definedName>
    <definedName name="Timeslices" localSheetId="44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2">#REF!</definedName>
    <definedName name="Years" localSheetId="41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1" l="1"/>
  <c r="C6" i="21"/>
  <c r="C24" i="47" l="1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7" authorId="0" shapeId="0" xr:uid="{E2F12CA3-4881-48EB-8F44-59140E9E4E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2" authorId="0" shapeId="0" xr:uid="{3F016CE0-A873-49D6-8CD0-5B09BD62E17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6" authorId="0" shapeId="0" xr:uid="{0201B00D-01FF-4213-94DF-2A7FDE52F5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31" authorId="0" shapeId="0" xr:uid="{42B6BA52-C6C1-4BEF-B147-5E5746F2D30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tc={2BBBB701-73D2-46D0-92FD-291584AE1EDC}</author>
    <author>tc={616A4222-382C-43AC-882B-77B50DF9B8FA}</author>
  </authors>
  <commentList>
    <comment ref="L16" authorId="0" shapeId="0" xr:uid="{2BBBB701-73D2-46D0-92FD-291584AE1E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Revised for numerical issues
</t>
      </text>
    </comment>
    <comment ref="L21" authorId="1" shapeId="0" xr:uid="{616A4222-382C-43AC-882B-77B50DF9B8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Revised for numerical issues
</t>
      </text>
    </comment>
  </commentList>
</comments>
</file>

<file path=xl/sharedStrings.xml><?xml version="1.0" encoding="utf-8"?>
<sst xmlns="http://schemas.openxmlformats.org/spreadsheetml/2006/main" count="5763" uniqueCount="502">
  <si>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</si>
  <si>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</si>
  <si>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</si>
  <si>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</si>
  <si>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</si>
  <si>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</si>
  <si>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</si>
  <si>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</si>
  <si>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</si>
  <si>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</si>
  <si>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</si>
  <si>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</si>
  <si>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</si>
  <si>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</si>
  <si>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</si>
  <si>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</si>
  <si>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</si>
  <si>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</si>
  <si>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</si>
  <si>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</si>
  <si>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</si>
  <si>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</si>
  <si>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</si>
  <si>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</si>
  <si>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</si>
  <si>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</si>
  <si>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</si>
  <si>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</si>
  <si>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</si>
  <si>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</si>
  <si>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</si>
  <si>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</si>
  <si>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</si>
  <si>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</si>
  <si>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</si>
  <si>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</si>
  <si>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</si>
  <si>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</si>
  <si>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</si>
  <si>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</si>
  <si>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</si>
  <si>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</si>
  <si>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</si>
  <si>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</si>
  <si>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</si>
  <si>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</si>
  <si>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</si>
  <si>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</si>
  <si>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</si>
  <si>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</si>
  <si>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</si>
  <si>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</si>
  <si>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</si>
  <si>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</si>
  <si>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</si>
  <si>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</si>
  <si>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</si>
  <si>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</si>
  <si>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</si>
  <si>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</si>
  <si>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</si>
  <si>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</si>
  <si>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</si>
  <si>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</si>
  <si>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</si>
  <si>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</si>
  <si>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</si>
  <si>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</si>
  <si>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</si>
  <si>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</si>
  <si>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</si>
  <si>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</si>
  <si>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</si>
  <si>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</si>
  <si>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</si>
  <si>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</si>
  <si>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</si>
  <si>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</si>
  <si>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</si>
  <si>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</si>
  <si>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</si>
  <si>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</si>
  <si>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</si>
  <si>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</si>
  <si>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</si>
  <si>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</si>
  <si>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</si>
  <si>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</si>
  <si>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</si>
  <si>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</si>
  <si>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</si>
  <si>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</si>
  <si>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</si>
  <si>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</si>
  <si>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</si>
  <si>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</si>
  <si>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</si>
  <si>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</si>
  <si>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</si>
  <si>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</si>
  <si>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</si>
  <si>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</si>
  <si>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</si>
  <si>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</si>
  <si>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</si>
  <si>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</si>
  <si>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</si>
  <si>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</si>
  <si>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</si>
  <si>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</si>
  <si>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</si>
  <si>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</si>
  <si>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</si>
  <si>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</si>
  <si>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</si>
  <si>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</si>
  <si>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</si>
  <si>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</si>
  <si>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</si>
  <si>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</si>
  <si>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</si>
  <si>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</si>
  <si>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</si>
  <si>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</si>
  <si>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</si>
  <si>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</si>
  <si>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</si>
  <si>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</si>
  <si>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</si>
  <si>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</si>
  <si>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</si>
  <si>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</si>
  <si>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</si>
  <si>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</si>
  <si>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</si>
  <si>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</si>
  <si>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</si>
  <si>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</si>
  <si>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</si>
  <si>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</si>
  <si>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</si>
  <si>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</si>
  <si>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</si>
  <si>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</si>
  <si>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</si>
  <si>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</si>
  <si>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</si>
  <si>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</si>
  <si>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</si>
  <si>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</si>
  <si>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</si>
  <si>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</si>
  <si>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</si>
  <si>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</si>
  <si>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</si>
  <si>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</si>
  <si>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</si>
  <si>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</si>
  <si>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</si>
  <si>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</si>
  <si>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</si>
  <si>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</si>
  <si>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</si>
  <si>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</si>
  <si>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</si>
  <si>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</si>
  <si>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</si>
  <si>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</si>
  <si>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</si>
  <si>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</si>
  <si>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</si>
  <si>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</si>
  <si>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</si>
  <si>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</si>
  <si>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</si>
  <si>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</si>
  <si>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</si>
  <si>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</si>
  <si>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</si>
  <si>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</si>
  <si>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</si>
  <si>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</si>
  <si>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</si>
  <si>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</si>
  <si>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</si>
  <si>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</si>
  <si>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</si>
  <si>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</si>
  <si>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</si>
  <si>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</si>
  <si>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</si>
  <si>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</si>
  <si>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</si>
  <si>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</si>
  <si>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</si>
  <si>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</si>
  <si>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</si>
  <si>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</si>
  <si>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</si>
  <si>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</si>
  <si>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</si>
  <si>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</si>
  <si>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</si>
  <si>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</si>
  <si>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</si>
  <si>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</si>
  <si>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</si>
  <si>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</si>
  <si>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</si>
  <si>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</si>
  <si>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</si>
  <si>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</si>
  <si>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</si>
  <si>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</si>
  <si>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</si>
  <si>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</si>
  <si>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</si>
  <si>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</si>
  <si>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</si>
  <si>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</si>
  <si>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</si>
  <si>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</si>
  <si>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</si>
  <si>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</si>
  <si>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</si>
  <si>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</si>
  <si>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</si>
  <si>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</si>
  <si>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</si>
  <si>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</si>
  <si>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</si>
  <si>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</si>
  <si>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</si>
  <si>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</si>
  <si>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</si>
  <si>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</si>
  <si>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</si>
  <si>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</si>
  <si>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</si>
  <si>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</si>
  <si>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</si>
  <si>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</si>
  <si>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</si>
  <si>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</si>
  <si>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</si>
  <si>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</si>
  <si>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</si>
  <si>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</si>
  <si>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</si>
  <si>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</si>
  <si>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</si>
  <si>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</si>
  <si>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</si>
  <si>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</si>
  <si>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</si>
  <si>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</si>
  <si>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</si>
  <si>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</si>
  <si>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</si>
  <si>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</si>
  <si>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</si>
  <si>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</si>
  <si>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</si>
  <si>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</si>
  <si>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</si>
  <si>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</si>
  <si>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</si>
  <si>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</si>
  <si>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</si>
  <si>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</si>
  <si>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</si>
  <si>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</si>
  <si>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</si>
  <si>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</si>
  <si>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</si>
  <si>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</si>
  <si>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</si>
  <si>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GR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</si>
  <si>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</si>
  <si>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</si>
  <si>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</si>
  <si>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</si>
  <si>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</si>
  <si>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</si>
  <si>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</si>
  <si>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</si>
  <si>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</si>
  <si>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</si>
  <si>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</si>
  <si>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</si>
  <si>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</si>
  <si>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</si>
  <si>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</si>
  <si>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</si>
  <si>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</si>
  <si>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</si>
  <si>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</si>
  <si>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</si>
  <si>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</si>
  <si>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</si>
  <si>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</si>
  <si>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</si>
  <si>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</si>
  <si>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</si>
  <si>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</si>
  <si>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</si>
  <si>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</si>
  <si>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</si>
  <si>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</si>
  <si>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</si>
  <si>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</si>
  <si>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</si>
  <si>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</si>
  <si>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</si>
  <si>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</si>
  <si>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</si>
  <si>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</si>
  <si>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</si>
  <si>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</si>
  <si>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</si>
  <si>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</si>
  <si>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</si>
  <si>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</si>
  <si>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</si>
  <si>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</si>
  <si>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</si>
  <si>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</si>
  <si>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</si>
  <si>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</si>
  <si>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</si>
  <si>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</si>
  <si>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</si>
  <si>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</si>
  <si>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</si>
  <si>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</si>
  <si>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</si>
  <si>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</si>
  <si>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</si>
  <si>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</si>
  <si>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</si>
  <si>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</si>
  <si>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</si>
  <si>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</si>
  <si>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</si>
  <si>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</si>
  <si>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</si>
  <si>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</si>
  <si>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</si>
  <si>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</si>
  <si>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</si>
  <si>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</si>
  <si>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</si>
  <si>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</si>
  <si>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</si>
  <si>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</si>
  <si>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</si>
  <si>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</si>
  <si>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</si>
  <si>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</si>
  <si>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</si>
  <si>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</si>
  <si>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</si>
  <si>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</si>
  <si>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</si>
  <si>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</si>
  <si>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</si>
  <si>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</si>
  <si>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</si>
  <si>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</si>
  <si>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</si>
  <si>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</si>
  <si>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</si>
  <si>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</si>
  <si>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</si>
  <si>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</si>
  <si>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</si>
  <si>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</si>
  <si>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</si>
  <si>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</si>
  <si>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</si>
  <si>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</si>
  <si>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</si>
  <si>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</si>
  <si>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</si>
  <si>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</si>
  <si>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</si>
  <si>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</si>
  <si>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</si>
  <si>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</si>
  <si>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</si>
  <si>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</si>
  <si>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</si>
  <si>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</si>
  <si>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</si>
  <si>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</si>
  <si>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</si>
  <si>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</si>
  <si>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</si>
  <si>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</si>
  <si>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</si>
  <si>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</si>
  <si>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</si>
  <si>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</si>
  <si>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</si>
  <si>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</si>
  <si>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</si>
  <si>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</si>
  <si>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</si>
  <si>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</si>
  <si>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</si>
  <si>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</si>
  <si>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</si>
  <si>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</si>
  <si>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</si>
  <si>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</si>
  <si>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</si>
  <si>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</si>
  <si>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</si>
  <si>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</si>
  <si>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</si>
  <si>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</si>
  <si>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</si>
  <si>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</si>
  <si>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</si>
  <si>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</si>
  <si>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</si>
  <si>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</si>
  <si>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</si>
  <si>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</si>
  <si>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</si>
  <si>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</si>
  <si>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</si>
  <si>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</si>
  <si>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</si>
  <si>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</si>
  <si>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</si>
  <si>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</si>
  <si>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</si>
  <si>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</si>
  <si>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</si>
  <si>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</si>
  <si>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</si>
  <si>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</si>
  <si>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</si>
  <si>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</si>
  <si>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</si>
  <si>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</si>
  <si>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</si>
  <si>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</si>
  <si>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</si>
  <si>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</si>
  <si>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</si>
  <si>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</si>
  <si>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</si>
  <si>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</si>
  <si>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</si>
  <si>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</si>
  <si>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</si>
  <si>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</si>
  <si>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</si>
  <si>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</si>
  <si>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</si>
  <si>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</si>
  <si>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</si>
  <si>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</si>
  <si>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</si>
  <si>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</si>
  <si>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</si>
  <si>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</si>
  <si>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</si>
  <si>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</si>
  <si>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</si>
  <si>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</si>
  <si>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</si>
  <si>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</si>
  <si>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</si>
  <si>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</si>
  <si>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Unit: GW for Power; PJ for Gas</t>
  </si>
  <si>
    <t>MarieGalante</t>
  </si>
  <si>
    <t>LaDesirade</t>
  </si>
  <si>
    <t>MinorIslands</t>
  </si>
  <si>
    <t>most likely just 0 for guadeloupe</t>
  </si>
  <si>
    <t>CapExcellence</t>
  </si>
  <si>
    <t>GrandeTerreNorth</t>
  </si>
  <si>
    <t>RivieraDuLevant</t>
  </si>
  <si>
    <t>GrandSud</t>
  </si>
  <si>
    <t>BasseTerreNorth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</si>
  <si>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</si>
  <si>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</si>
  <si>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</si>
  <si>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</si>
  <si>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</si>
  <si>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</si>
  <si>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</si>
  <si>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</si>
  <si>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</si>
  <si>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</si>
  <si>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</si>
  <si>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</si>
  <si>
    <t>Azure</t>
  </si>
  <si>
    <t>TotalAnnualMinActivity{t in TECHNOLOGY, y in YEAR}</t>
  </si>
  <si>
    <t>AggregatedMinimum total activity each year for all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</si>
</sst>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3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00B050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9" fillId="0" borderId="0" xfId="1282" applyAlignment="1">
      <alignment horizontal="center" vertical="center"/>
    </xf>
    <xf numFmtId="164" fontId="0" fillId="0" borderId="0" xfId="0" applyNumberFormat="1" applyAlignment="1">
      <alignment horizontal="center"/>
    </xf>
    <xf numFmtId="0" fontId="5" fillId="38" borderId="0" xfId="0" applyFont="1" applyFill="1"/>
    <xf numFmtId="0" fontId="0" fillId="39" borderId="0" xfId="0" applyFill="1"/>
    <xf numFmtId="0" fontId="0" fillId="39" borderId="0" xfId="0" applyFill="1" applyAlignment="1">
      <alignment horizontal="right"/>
    </xf>
    <xf numFmtId="0" fontId="0" fillId="38" borderId="0" xfId="0" applyFill="1"/>
    <xf numFmtId="165" fontId="0" fillId="0" borderId="0" xfId="0" applyNumberFormat="1" applyAlignment="1">
      <alignment horizontal="center"/>
    </xf>
    <xf numFmtId="0" fontId="33" fillId="38" borderId="0" xfId="0" applyFont="1" applyFill="1"/>
    <xf numFmtId="0" fontId="9" fillId="38" borderId="0" xfId="1282" applyFill="1"/>
    <xf numFmtId="0" fontId="33" fillId="37" borderId="0" xfId="0" applyFont="1" applyFill="1"/>
    <xf numFmtId="0" fontId="9" fillId="37" borderId="0" xfId="1282" applyFill="1"/>
    <xf numFmtId="0" fontId="33" fillId="40" borderId="0" xfId="0" applyFont="1" applyFill="1"/>
    <xf numFmtId="0" fontId="9" fillId="40" borderId="0" xfId="1282" applyFill="1"/>
    <xf numFmtId="0" fontId="33" fillId="41" borderId="0" xfId="0" applyFont="1" applyFill="1"/>
    <xf numFmtId="0" fontId="9" fillId="41" borderId="0" xfId="1282" applyFill="1"/>
    <xf numFmtId="0" fontId="0" fillId="40" borderId="0" xfId="0" applyFill="1"/>
    <xf numFmtId="0" fontId="0" fillId="41" borderId="0" xfId="0" applyFill="1"/>
    <xf numFmtId="165" fontId="9" fillId="0" borderId="0" xfId="1282" applyNumberFormat="1"/>
    <xf numFmtId="165" fontId="0" fillId="0" borderId="0" xfId="0" applyNumberFormat="1" applyAlignment="1">
      <alignment horizontal="right"/>
    </xf>
    <xf numFmtId="165" fontId="0" fillId="37" borderId="0" xfId="0" applyNumberFormat="1" applyFill="1" applyAlignment="1">
      <alignment horizontal="right"/>
    </xf>
    <xf numFmtId="165" fontId="0" fillId="37" borderId="0" xfId="0" applyNumberFormat="1" applyFill="1" applyAlignment="1">
      <alignment horizontal="right" vertical="center"/>
    </xf>
    <xf numFmtId="165" fontId="0" fillId="34" borderId="0" xfId="0" applyNumberFormat="1" applyFill="1" applyAlignment="1">
      <alignment horizontal="right" vertical="center"/>
    </xf>
    <xf numFmtId="165" fontId="0" fillId="34" borderId="0" xfId="0" applyNumberFormat="1" applyFill="1" applyAlignment="1">
      <alignment horizontal="right"/>
    </xf>
    <xf numFmtId="165" fontId="11" fillId="37" borderId="0" xfId="0" applyNumberFormat="1" applyFont="1" applyFill="1" applyAlignment="1">
      <alignment horizontal="right"/>
    </xf>
    <xf numFmtId="165" fontId="11" fillId="34" borderId="0" xfId="0" applyNumberFormat="1" applyFont="1" applyFill="1" applyAlignment="1">
      <alignment horizontal="right"/>
    </xf>
    <xf numFmtId="165" fontId="0" fillId="36" borderId="0" xfId="0" applyNumberFormat="1" applyFill="1" applyAlignment="1">
      <alignment horizontal="right"/>
    </xf>
    <xf numFmtId="165" fontId="0" fillId="38" borderId="0" xfId="0" applyNumberFormat="1" applyFill="1" applyAlignment="1">
      <alignment horizontal="right"/>
    </xf>
    <xf numFmtId="165" fontId="9" fillId="37" borderId="0" xfId="1282" applyNumberFormat="1" applyFill="1" applyAlignment="1">
      <alignment horizontal="right"/>
    </xf>
    <xf numFmtId="166" fontId="0" fillId="40" borderId="0" xfId="0" applyNumberFormat="1" applyFill="1" applyAlignment="1">
      <alignment horizontal="center"/>
    </xf>
    <xf numFmtId="166" fontId="0" fillId="41" borderId="0" xfId="0" applyNumberFormat="1" applyFill="1" applyAlignment="1">
      <alignment horizontal="center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0" fontId="33" fillId="0" borderId="0" xfId="0" applyFont="1"/>
    <xf numFmtId="0" fontId="34" fillId="0" borderId="0" xfId="0" applyFont="1"/>
    <xf numFmtId="0" fontId="33" fillId="0" borderId="0" xfId="0" applyFont="1" applyAlignment="1">
      <alignment wrapText="1"/>
    </xf>
    <xf numFmtId="0" fontId="33" fillId="42" borderId="0" xfId="0" applyFont="1" applyFill="1"/>
    <xf numFmtId="0" fontId="33" fillId="43" borderId="0" xfId="0" applyFont="1" applyFill="1"/>
    <xf numFmtId="0" fontId="33" fillId="44" borderId="0" xfId="0" applyFont="1" applyFill="1"/>
    <xf numFmtId="0" fontId="33" fillId="45" borderId="0" xfId="0" applyFont="1" applyFill="1"/>
    <xf numFmtId="0" fontId="33" fillId="0" borderId="11" xfId="0" applyFont="1" applyBorder="1"/>
    <xf numFmtId="164" fontId="33" fillId="42" borderId="0" xfId="0" applyNumberFormat="1" applyFont="1" applyFill="1"/>
    <xf numFmtId="164" fontId="33" fillId="43" borderId="0" xfId="0" applyNumberFormat="1" applyFont="1" applyFill="1"/>
    <xf numFmtId="164" fontId="33" fillId="44" borderId="0" xfId="0" applyNumberFormat="1" applyFont="1" applyFill="1"/>
    <xf numFmtId="0" fontId="0" fillId="0" borderId="0" xfId="0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6" dT="2023-12-27T20:25:00.80" personId="{00000000-0000-0000-0000-000000000000}" id="{2BBBB701-73D2-46D0-92FD-291584AE1EDC}">
    <text xml:space="preserve">Revised for numerical issues
</text>
  </threadedComment>
  <threadedComment ref="L21" dT="2023-12-27T20:25:16.88" personId="{00000000-0000-0000-0000-000000000000}" id="{616A4222-382C-43AC-882B-77B50DF9B8FA}">
    <text xml:space="preserve">Revised for numerical issues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9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N145"/>
  <sheetViews>
    <sheetView topLeftCell="A109" workbookViewId="0">
      <selection activeCell="B99" sqref="B97:B99"/>
    </sheetView>
  </sheetViews>
  <sheetFormatPr defaultColWidth="9.109375" defaultRowHeight="14.4"/>
  <cols>
    <col min="1" max="1" width="18.5546875" customWidth="1"/>
    <col min="2" max="2" width="28.44140625" bestFit="1" customWidth="1"/>
    <col min="3" max="3" width="25.109375" bestFit="1" customWidth="1"/>
    <col min="6" max="6" width="19.5546875" bestFit="1" customWidth="1"/>
    <col min="7" max="7" width="18.88671875" bestFit="1" customWidth="1"/>
    <col min="10" max="10" width="15" customWidth="1"/>
    <col min="11" max="11" width="16.109375" bestFit="1" customWidth="1"/>
    <col min="12" max="13" width="22.4414062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323</v>
      </c>
    </row>
    <row r="2" spans="1:14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478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479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284</v>
      </c>
    </row>
    <row r="4" spans="1:14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480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318</v>
      </c>
    </row>
    <row r="5" spans="1:14">
      <c r="B5" t="s">
        <v>436</v>
      </c>
      <c r="C5" t="s">
        <v>151</v>
      </c>
      <c r="D5">
        <v>2030</v>
      </c>
      <c r="E5" t="s">
        <v>65</v>
      </c>
      <c r="F5">
        <v>4</v>
      </c>
      <c r="G5" t="s">
        <v>486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319</v>
      </c>
    </row>
    <row r="6" spans="1:14">
      <c r="B6" t="s">
        <v>437</v>
      </c>
      <c r="C6" t="s">
        <v>140</v>
      </c>
      <c r="D6">
        <v>2035</v>
      </c>
      <c r="E6" t="s">
        <v>69</v>
      </c>
      <c r="G6" t="s">
        <v>485</v>
      </c>
      <c r="K6" t="s">
        <v>248</v>
      </c>
      <c r="L6" t="s">
        <v>44</v>
      </c>
      <c r="M6" t="s">
        <v>112</v>
      </c>
      <c r="N6" t="s">
        <v>320</v>
      </c>
    </row>
    <row r="7" spans="1:14">
      <c r="B7" t="s">
        <v>104</v>
      </c>
      <c r="C7" t="s">
        <v>197</v>
      </c>
      <c r="D7">
        <v>2040</v>
      </c>
      <c r="E7" t="s">
        <v>70</v>
      </c>
      <c r="G7" t="s">
        <v>482</v>
      </c>
      <c r="K7" t="s">
        <v>246</v>
      </c>
      <c r="L7" t="s">
        <v>45</v>
      </c>
      <c r="M7" t="s">
        <v>113</v>
      </c>
      <c r="N7" t="s">
        <v>321</v>
      </c>
    </row>
    <row r="8" spans="1:14">
      <c r="B8" t="s">
        <v>438</v>
      </c>
      <c r="C8" t="s">
        <v>139</v>
      </c>
      <c r="D8">
        <v>2045</v>
      </c>
      <c r="E8" t="s">
        <v>71</v>
      </c>
      <c r="G8" t="s">
        <v>483</v>
      </c>
      <c r="K8" t="s">
        <v>192</v>
      </c>
      <c r="L8" t="s">
        <v>48</v>
      </c>
      <c r="M8" t="s">
        <v>156</v>
      </c>
      <c r="N8" t="s">
        <v>322</v>
      </c>
    </row>
    <row r="9" spans="1:14">
      <c r="B9" t="s">
        <v>105</v>
      </c>
      <c r="C9" t="s">
        <v>138</v>
      </c>
      <c r="D9">
        <v>2050</v>
      </c>
      <c r="E9" t="s">
        <v>68</v>
      </c>
      <c r="G9" t="s">
        <v>484</v>
      </c>
      <c r="K9" t="s">
        <v>150</v>
      </c>
      <c r="L9" t="s">
        <v>49</v>
      </c>
      <c r="M9" t="s">
        <v>190</v>
      </c>
      <c r="N9" t="s">
        <v>435</v>
      </c>
    </row>
    <row r="10" spans="1:14">
      <c r="B10" t="s">
        <v>439</v>
      </c>
      <c r="C10" t="s">
        <v>24</v>
      </c>
      <c r="E10" t="s">
        <v>73</v>
      </c>
      <c r="L10" t="s">
        <v>50</v>
      </c>
      <c r="M10" t="s">
        <v>114</v>
      </c>
    </row>
    <row r="11" spans="1:14">
      <c r="B11" t="s">
        <v>440</v>
      </c>
      <c r="C11" t="s">
        <v>145</v>
      </c>
      <c r="E11" t="s">
        <v>74</v>
      </c>
      <c r="L11" t="s">
        <v>40</v>
      </c>
      <c r="M11" t="s">
        <v>115</v>
      </c>
    </row>
    <row r="12" spans="1:14">
      <c r="B12" t="s">
        <v>441</v>
      </c>
      <c r="C12" t="s">
        <v>146</v>
      </c>
      <c r="E12" t="s">
        <v>75</v>
      </c>
      <c r="L12" t="s">
        <v>41</v>
      </c>
      <c r="M12" t="s">
        <v>116</v>
      </c>
    </row>
    <row r="13" spans="1:14">
      <c r="B13" t="s">
        <v>442</v>
      </c>
      <c r="C13" t="s">
        <v>152</v>
      </c>
      <c r="E13" t="s">
        <v>72</v>
      </c>
      <c r="L13" t="s">
        <v>46</v>
      </c>
      <c r="M13" t="s">
        <v>117</v>
      </c>
    </row>
    <row r="14" spans="1:14">
      <c r="B14" t="s">
        <v>443</v>
      </c>
      <c r="C14" t="s">
        <v>198</v>
      </c>
      <c r="E14" t="s">
        <v>77</v>
      </c>
      <c r="L14" t="s">
        <v>51</v>
      </c>
      <c r="M14" t="s">
        <v>118</v>
      </c>
    </row>
    <row r="15" spans="1:14">
      <c r="B15" t="s">
        <v>444</v>
      </c>
      <c r="C15" t="s">
        <v>199</v>
      </c>
      <c r="E15" t="s">
        <v>78</v>
      </c>
      <c r="L15" t="s">
        <v>47</v>
      </c>
      <c r="M15" t="s">
        <v>119</v>
      </c>
    </row>
    <row r="16" spans="1:14">
      <c r="B16" t="s">
        <v>445</v>
      </c>
      <c r="C16" t="s">
        <v>271</v>
      </c>
      <c r="E16" t="s">
        <v>79</v>
      </c>
      <c r="L16" t="s">
        <v>52</v>
      </c>
      <c r="M16" t="s">
        <v>120</v>
      </c>
    </row>
    <row r="17" spans="2:13">
      <c r="B17" t="s">
        <v>446</v>
      </c>
      <c r="C17" t="s">
        <v>207</v>
      </c>
      <c r="E17" t="s">
        <v>76</v>
      </c>
      <c r="L17" t="s">
        <v>42</v>
      </c>
      <c r="M17" t="s">
        <v>155</v>
      </c>
    </row>
    <row r="18" spans="2:13">
      <c r="B18" t="s">
        <v>135</v>
      </c>
      <c r="C18" t="s">
        <v>208</v>
      </c>
      <c r="L18" t="s">
        <v>496</v>
      </c>
      <c r="M18" t="s">
        <v>174</v>
      </c>
    </row>
    <row r="19" spans="2:13">
      <c r="B19" t="s">
        <v>136</v>
      </c>
      <c r="C19" t="s">
        <v>209</v>
      </c>
      <c r="L19" t="s">
        <v>497</v>
      </c>
      <c r="M19" t="s">
        <v>175</v>
      </c>
    </row>
    <row r="20" spans="2:13">
      <c r="B20" t="s">
        <v>191</v>
      </c>
      <c r="C20" t="s">
        <v>270</v>
      </c>
      <c r="L20" t="s">
        <v>490</v>
      </c>
      <c r="M20" t="s">
        <v>107</v>
      </c>
    </row>
    <row r="21" spans="2:13">
      <c r="B21" t="s">
        <v>147</v>
      </c>
      <c r="C21" t="s">
        <v>299</v>
      </c>
      <c r="L21" t="s">
        <v>491</v>
      </c>
      <c r="M21" t="s">
        <v>154</v>
      </c>
    </row>
    <row r="22" spans="2:13">
      <c r="B22" t="s">
        <v>148</v>
      </c>
      <c r="C22" t="s">
        <v>312</v>
      </c>
      <c r="L22" t="s">
        <v>492</v>
      </c>
      <c r="M22" t="s">
        <v>104</v>
      </c>
    </row>
    <row r="23" spans="2:13">
      <c r="B23" t="s">
        <v>245</v>
      </c>
      <c r="C23" t="s">
        <v>313</v>
      </c>
      <c r="M23" t="s">
        <v>105</v>
      </c>
    </row>
    <row r="24" spans="2:13">
      <c r="B24" t="s">
        <v>247</v>
      </c>
      <c r="C24" t="s">
        <v>315</v>
      </c>
      <c r="M24" t="s">
        <v>106</v>
      </c>
    </row>
    <row r="25" spans="2:13">
      <c r="B25" t="s">
        <v>134</v>
      </c>
      <c r="C25" t="s">
        <v>314</v>
      </c>
    </row>
    <row r="26" spans="2:13">
      <c r="B26" t="s">
        <v>137</v>
      </c>
      <c r="C26" t="s">
        <v>266</v>
      </c>
    </row>
    <row r="27" spans="2:13">
      <c r="B27" s="2" t="s">
        <v>130</v>
      </c>
      <c r="C27" t="s">
        <v>299</v>
      </c>
    </row>
    <row r="28" spans="2:13">
      <c r="B28" s="2" t="s">
        <v>131</v>
      </c>
      <c r="C28" t="s">
        <v>328</v>
      </c>
    </row>
    <row r="29" spans="2:13">
      <c r="B29" s="2" t="s">
        <v>125</v>
      </c>
      <c r="C29" t="s">
        <v>334</v>
      </c>
    </row>
    <row r="30" spans="2:13">
      <c r="B30" s="2" t="s">
        <v>57</v>
      </c>
      <c r="C30" t="s">
        <v>335</v>
      </c>
    </row>
    <row r="31" spans="2:13">
      <c r="B31" s="2" t="s">
        <v>126</v>
      </c>
      <c r="C31" t="s">
        <v>434</v>
      </c>
    </row>
    <row r="32" spans="2:13">
      <c r="B32" s="2" t="s">
        <v>316</v>
      </c>
    </row>
    <row r="33" spans="2:2">
      <c r="B33" s="2" t="s">
        <v>176</v>
      </c>
    </row>
    <row r="34" spans="2:2">
      <c r="B34" s="2" t="s">
        <v>127</v>
      </c>
    </row>
    <row r="35" spans="2:2">
      <c r="B35" t="s">
        <v>238</v>
      </c>
    </row>
    <row r="36" spans="2:2">
      <c r="B36" t="s">
        <v>249</v>
      </c>
    </row>
    <row r="37" spans="2:2">
      <c r="B37" t="s">
        <v>243</v>
      </c>
    </row>
    <row r="38" spans="2:2">
      <c r="B38" t="s">
        <v>239</v>
      </c>
    </row>
    <row r="39" spans="2:2">
      <c r="B39" t="s">
        <v>250</v>
      </c>
    </row>
    <row r="40" spans="2:2">
      <c r="B40" t="s">
        <v>241</v>
      </c>
    </row>
    <row r="41" spans="2:2">
      <c r="B41" t="s">
        <v>242</v>
      </c>
    </row>
    <row r="42" spans="2:2">
      <c r="B42" t="s">
        <v>240</v>
      </c>
    </row>
    <row r="43" spans="2:2">
      <c r="B43" t="s">
        <v>212</v>
      </c>
    </row>
    <row r="44" spans="2:2">
      <c r="B44" t="s">
        <v>447</v>
      </c>
    </row>
    <row r="45" spans="2:2">
      <c r="B45" t="s">
        <v>232</v>
      </c>
    </row>
    <row r="46" spans="2:2">
      <c r="B46" t="s">
        <v>234</v>
      </c>
    </row>
    <row r="47" spans="2:2">
      <c r="B47" t="s">
        <v>221</v>
      </c>
    </row>
    <row r="48" spans="2:2">
      <c r="B48" t="s">
        <v>217</v>
      </c>
    </row>
    <row r="49" spans="2:2">
      <c r="B49" t="s">
        <v>268</v>
      </c>
    </row>
    <row r="50" spans="2:2">
      <c r="B50" t="s">
        <v>214</v>
      </c>
    </row>
    <row r="51" spans="2:2">
      <c r="B51" t="s">
        <v>215</v>
      </c>
    </row>
    <row r="52" spans="2:2">
      <c r="B52" t="s">
        <v>222</v>
      </c>
    </row>
    <row r="53" spans="2:2">
      <c r="B53" t="s">
        <v>233</v>
      </c>
    </row>
    <row r="54" spans="2:2">
      <c r="B54" t="s">
        <v>201</v>
      </c>
    </row>
    <row r="55" spans="2:2">
      <c r="B55" t="s">
        <v>448</v>
      </c>
    </row>
    <row r="56" spans="2:2">
      <c r="B56" t="s">
        <v>228</v>
      </c>
    </row>
    <row r="57" spans="2:2">
      <c r="B57" t="s">
        <v>219</v>
      </c>
    </row>
    <row r="58" spans="2:2">
      <c r="B58" t="s">
        <v>210</v>
      </c>
    </row>
    <row r="59" spans="2:2">
      <c r="B59" t="s">
        <v>267</v>
      </c>
    </row>
    <row r="60" spans="2:2">
      <c r="B60" t="s">
        <v>202</v>
      </c>
    </row>
    <row r="61" spans="2:2">
      <c r="B61" t="s">
        <v>230</v>
      </c>
    </row>
    <row r="62" spans="2:2">
      <c r="B62" t="s">
        <v>231</v>
      </c>
    </row>
    <row r="63" spans="2:2">
      <c r="B63" t="s">
        <v>203</v>
      </c>
    </row>
    <row r="64" spans="2:2">
      <c r="B64" t="s">
        <v>220</v>
      </c>
    </row>
    <row r="65" spans="2:2">
      <c r="B65" t="s">
        <v>229</v>
      </c>
    </row>
    <row r="66" spans="2:2">
      <c r="B66" t="s">
        <v>223</v>
      </c>
    </row>
    <row r="67" spans="2:2">
      <c r="B67" t="s">
        <v>225</v>
      </c>
    </row>
    <row r="68" spans="2:2">
      <c r="B68" t="s">
        <v>258</v>
      </c>
    </row>
    <row r="69" spans="2:2">
      <c r="B69" t="s">
        <v>236</v>
      </c>
    </row>
    <row r="70" spans="2:2">
      <c r="B70" t="s">
        <v>224</v>
      </c>
    </row>
    <row r="71" spans="2:2">
      <c r="B71" t="s">
        <v>259</v>
      </c>
    </row>
    <row r="72" spans="2:2">
      <c r="B72" t="s">
        <v>226</v>
      </c>
    </row>
    <row r="73" spans="2:2">
      <c r="B73" t="s">
        <v>235</v>
      </c>
    </row>
    <row r="74" spans="2:2">
      <c r="B74" t="s">
        <v>158</v>
      </c>
    </row>
    <row r="75" spans="2:2">
      <c r="B75" t="s">
        <v>194</v>
      </c>
    </row>
    <row r="76" spans="2:2">
      <c r="B76" t="s">
        <v>103</v>
      </c>
    </row>
    <row r="77" spans="2:2">
      <c r="B77" t="s">
        <v>251</v>
      </c>
    </row>
    <row r="78" spans="2:2">
      <c r="B78" t="s">
        <v>102</v>
      </c>
    </row>
    <row r="79" spans="2:2">
      <c r="B79" t="s">
        <v>252</v>
      </c>
    </row>
    <row r="80" spans="2:2">
      <c r="B80" t="s">
        <v>449</v>
      </c>
    </row>
    <row r="81" spans="2:2">
      <c r="B81" t="s">
        <v>253</v>
      </c>
    </row>
    <row r="82" spans="2:2">
      <c r="B82" t="s">
        <v>450</v>
      </c>
    </row>
    <row r="83" spans="2:2">
      <c r="B83" t="s">
        <v>451</v>
      </c>
    </row>
    <row r="84" spans="2:2">
      <c r="B84" t="s">
        <v>327</v>
      </c>
    </row>
    <row r="85" spans="2:2">
      <c r="B85" t="s">
        <v>23</v>
      </c>
    </row>
    <row r="86" spans="2:2">
      <c r="B86" t="s">
        <v>56</v>
      </c>
    </row>
    <row r="87" spans="2:2">
      <c r="B87" s="2" t="s">
        <v>132</v>
      </c>
    </row>
    <row r="88" spans="2:2">
      <c r="B88" s="2" t="s">
        <v>58</v>
      </c>
    </row>
    <row r="89" spans="2:2">
      <c r="B89" s="2" t="s">
        <v>133</v>
      </c>
    </row>
    <row r="90" spans="2:2">
      <c r="B90" s="2" t="s">
        <v>128</v>
      </c>
    </row>
    <row r="91" spans="2:2">
      <c r="B91" s="2" t="s">
        <v>129</v>
      </c>
    </row>
    <row r="92" spans="2:2">
      <c r="B92" s="2" t="s">
        <v>60</v>
      </c>
    </row>
    <row r="93" spans="2:2">
      <c r="B93" s="2" t="s">
        <v>123</v>
      </c>
    </row>
    <row r="94" spans="2:2">
      <c r="B94" s="2" t="s">
        <v>59</v>
      </c>
    </row>
    <row r="95" spans="2:2">
      <c r="B95" s="2" t="s">
        <v>317</v>
      </c>
    </row>
    <row r="96" spans="2:2">
      <c r="B96" s="2" t="s">
        <v>124</v>
      </c>
    </row>
    <row r="97" spans="2:2">
      <c r="B97" s="2" t="s">
        <v>493</v>
      </c>
    </row>
    <row r="98" spans="2:2">
      <c r="B98" s="2" t="s">
        <v>494</v>
      </c>
    </row>
    <row r="99" spans="2:2">
      <c r="B99" s="2" t="s">
        <v>495</v>
      </c>
    </row>
    <row r="100" spans="2:2">
      <c r="B100" t="s">
        <v>86</v>
      </c>
    </row>
    <row r="101" spans="2:2">
      <c r="B101" t="s">
        <v>85</v>
      </c>
    </row>
    <row r="102" spans="2:2">
      <c r="B102" t="s">
        <v>84</v>
      </c>
    </row>
    <row r="103" spans="2:2">
      <c r="B103" t="s">
        <v>87</v>
      </c>
    </row>
    <row r="104" spans="2:2">
      <c r="B104" t="s">
        <v>88</v>
      </c>
    </row>
    <row r="105" spans="2:2">
      <c r="B105" t="s">
        <v>306</v>
      </c>
    </row>
    <row r="106" spans="2:2">
      <c r="B106" t="s">
        <v>96</v>
      </c>
    </row>
    <row r="107" spans="2:2">
      <c r="B107" t="s">
        <v>101</v>
      </c>
    </row>
    <row r="108" spans="2:2">
      <c r="B108" t="s">
        <v>301</v>
      </c>
    </row>
    <row r="109" spans="2:2">
      <c r="B109" t="s">
        <v>98</v>
      </c>
    </row>
    <row r="110" spans="2:2">
      <c r="B110" t="s">
        <v>99</v>
      </c>
    </row>
    <row r="111" spans="2:2">
      <c r="B111" t="s">
        <v>100</v>
      </c>
    </row>
    <row r="112" spans="2:2">
      <c r="B112" t="s">
        <v>304</v>
      </c>
    </row>
    <row r="113" spans="2:2">
      <c r="B113" t="s">
        <v>172</v>
      </c>
    </row>
    <row r="114" spans="2:2">
      <c r="B114" t="s">
        <v>173</v>
      </c>
    </row>
    <row r="115" spans="2:2">
      <c r="B115" t="s">
        <v>90</v>
      </c>
    </row>
    <row r="116" spans="2:2">
      <c r="B116" t="s">
        <v>89</v>
      </c>
    </row>
    <row r="117" spans="2:2">
      <c r="B117" t="s">
        <v>91</v>
      </c>
    </row>
    <row r="118" spans="2:2">
      <c r="B118" t="s">
        <v>460</v>
      </c>
    </row>
    <row r="119" spans="2:2">
      <c r="B119" t="s">
        <v>303</v>
      </c>
    </row>
    <row r="120" spans="2:2">
      <c r="B120" t="s">
        <v>305</v>
      </c>
    </row>
    <row r="121" spans="2:2">
      <c r="B121" t="s">
        <v>167</v>
      </c>
    </row>
    <row r="122" spans="2:2">
      <c r="B122" t="s">
        <v>166</v>
      </c>
    </row>
    <row r="123" spans="2:2">
      <c r="B123" t="s">
        <v>165</v>
      </c>
    </row>
    <row r="124" spans="2:2">
      <c r="B124" t="s">
        <v>93</v>
      </c>
    </row>
    <row r="125" spans="2:2">
      <c r="B125" t="s">
        <v>92</v>
      </c>
    </row>
    <row r="126" spans="2:2">
      <c r="B126" t="s">
        <v>94</v>
      </c>
    </row>
    <row r="127" spans="2:2">
      <c r="B127" t="s">
        <v>302</v>
      </c>
    </row>
    <row r="128" spans="2:2">
      <c r="B128" t="s">
        <v>269</v>
      </c>
    </row>
    <row r="129" spans="2:2">
      <c r="B129" s="2" t="s">
        <v>330</v>
      </c>
    </row>
    <row r="130" spans="2:2">
      <c r="B130" s="2" t="s">
        <v>329</v>
      </c>
    </row>
    <row r="131" spans="2:2">
      <c r="B131" t="s">
        <v>121</v>
      </c>
    </row>
    <row r="132" spans="2:2">
      <c r="B132" t="s">
        <v>122</v>
      </c>
    </row>
    <row r="133" spans="2:2">
      <c r="B133" s="2" t="s">
        <v>310</v>
      </c>
    </row>
    <row r="134" spans="2:2">
      <c r="B134" s="2" t="s">
        <v>311</v>
      </c>
    </row>
    <row r="135" spans="2:2">
      <c r="B135" t="s">
        <v>157</v>
      </c>
    </row>
    <row r="136" spans="2:2">
      <c r="B136" t="s">
        <v>300</v>
      </c>
    </row>
    <row r="137" spans="2:2">
      <c r="B137" t="s">
        <v>260</v>
      </c>
    </row>
    <row r="138" spans="2:2">
      <c r="B138" t="s">
        <v>261</v>
      </c>
    </row>
    <row r="139" spans="2:2">
      <c r="B139" t="s">
        <v>332</v>
      </c>
    </row>
    <row r="140" spans="2:2">
      <c r="B140" t="s">
        <v>333</v>
      </c>
    </row>
    <row r="141" spans="2:2">
      <c r="B141" t="s">
        <v>180</v>
      </c>
    </row>
    <row r="142" spans="2:2">
      <c r="B142" s="2" t="s">
        <v>331</v>
      </c>
    </row>
    <row r="143" spans="2:2">
      <c r="B143" t="s">
        <v>181</v>
      </c>
    </row>
    <row r="144" spans="2:2">
      <c r="B144" t="s">
        <v>309</v>
      </c>
    </row>
    <row r="145" spans="2:2">
      <c r="B145" t="s">
        <v>182</v>
      </c>
    </row>
  </sheetData>
  <autoFilter ref="A1:N145" xr:uid="{00000000-0001-0000-0000-000000000000}">
    <sortState xmlns:xlrd2="http://schemas.microsoft.com/office/spreadsheetml/2017/richdata2" ref="A2:N145">
      <sortCondition ref="B1:B145"/>
    </sortState>
  </autoFilter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4140625" defaultRowHeight="14.4"/>
  <cols>
    <col min="7" max="7" width="13.4414062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361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4140625" defaultRowHeight="14.4"/>
  <cols>
    <col min="8" max="8" width="13.44140625" customWidth="1"/>
  </cols>
  <sheetData>
    <row r="1" spans="1:9">
      <c r="A1" t="s">
        <v>356</v>
      </c>
    </row>
    <row r="2" spans="1:9">
      <c r="A2" t="s">
        <v>2</v>
      </c>
    </row>
    <row r="3" spans="1:9">
      <c r="A3" t="s">
        <v>361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124" activePane="bottomRight" state="frozen"/>
      <selection pane="topRight" activeCell="B1" sqref="B1"/>
      <selection pane="bottomLeft" activeCell="A6" sqref="A6"/>
      <selection pane="bottomRight" activeCell="D139" sqref="D139"/>
    </sheetView>
  </sheetViews>
  <sheetFormatPr defaultColWidth="11.44140625" defaultRowHeight="14.4"/>
  <cols>
    <col min="1" max="1" width="40.44140625" bestFit="1" customWidth="1"/>
    <col min="5" max="5" width="14" bestFit="1" customWidth="1"/>
    <col min="8" max="8" width="14.5546875" bestFit="1" customWidth="1"/>
  </cols>
  <sheetData>
    <row r="1" spans="1:9">
      <c r="A1" t="s">
        <v>385</v>
      </c>
    </row>
    <row r="2" spans="1:9">
      <c r="A2" t="s">
        <v>357</v>
      </c>
    </row>
    <row r="3" spans="1:9">
      <c r="A3" t="s">
        <v>382</v>
      </c>
    </row>
    <row r="5" spans="1:9">
      <c r="A5" t="s">
        <v>26</v>
      </c>
      <c r="B5" t="s">
        <v>24</v>
      </c>
      <c r="C5" t="s">
        <v>284</v>
      </c>
      <c r="D5" t="s">
        <v>318</v>
      </c>
      <c r="E5" t="s">
        <v>319</v>
      </c>
      <c r="F5" t="s">
        <v>320</v>
      </c>
      <c r="G5" t="s">
        <v>321</v>
      </c>
      <c r="H5" t="s">
        <v>322</v>
      </c>
      <c r="I5" t="s">
        <v>435</v>
      </c>
    </row>
    <row r="6" spans="1:9">
      <c r="A6" t="s">
        <v>170</v>
      </c>
      <c r="F6">
        <v>1</v>
      </c>
    </row>
    <row r="7" spans="1:9">
      <c r="A7" t="s">
        <v>171</v>
      </c>
      <c r="F7">
        <v>1</v>
      </c>
    </row>
    <row r="8" spans="1:9">
      <c r="A8" t="s">
        <v>135</v>
      </c>
      <c r="G8">
        <v>1</v>
      </c>
    </row>
    <row r="9" spans="1:9">
      <c r="A9" t="s">
        <v>136</v>
      </c>
      <c r="G9">
        <v>1</v>
      </c>
    </row>
    <row r="10" spans="1:9">
      <c r="A10" t="s">
        <v>147</v>
      </c>
      <c r="G10">
        <v>1</v>
      </c>
    </row>
    <row r="11" spans="1:9">
      <c r="A11" t="s">
        <v>247</v>
      </c>
      <c r="G11">
        <v>1</v>
      </c>
    </row>
    <row r="12" spans="1:9">
      <c r="A12" t="s">
        <v>245</v>
      </c>
      <c r="G12">
        <v>1</v>
      </c>
    </row>
    <row r="13" spans="1:9">
      <c r="A13" t="s">
        <v>134</v>
      </c>
      <c r="G13">
        <v>1</v>
      </c>
    </row>
    <row r="14" spans="1:9">
      <c r="A14" t="s">
        <v>191</v>
      </c>
      <c r="G14">
        <v>1</v>
      </c>
    </row>
    <row r="15" spans="1:9">
      <c r="A15" s="2" t="s">
        <v>130</v>
      </c>
      <c r="E15">
        <v>1</v>
      </c>
    </row>
    <row r="16" spans="1:9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493</v>
      </c>
      <c r="E22">
        <v>1</v>
      </c>
    </row>
    <row r="23" spans="1:5">
      <c r="A23" s="2" t="s">
        <v>494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300</v>
      </c>
      <c r="H127">
        <v>1</v>
      </c>
    </row>
    <row r="128" spans="1:8">
      <c r="A128" t="s">
        <v>301</v>
      </c>
      <c r="F128">
        <v>1</v>
      </c>
    </row>
    <row r="129" spans="1:8">
      <c r="A129" t="s">
        <v>302</v>
      </c>
      <c r="F129">
        <v>1</v>
      </c>
    </row>
    <row r="130" spans="1:8">
      <c r="A130" t="s">
        <v>303</v>
      </c>
      <c r="F130">
        <v>1</v>
      </c>
    </row>
    <row r="131" spans="1:8">
      <c r="A131" t="s">
        <v>304</v>
      </c>
      <c r="F131">
        <v>1</v>
      </c>
    </row>
    <row r="132" spans="1:8">
      <c r="A132" t="s">
        <v>305</v>
      </c>
      <c r="F132">
        <v>1</v>
      </c>
    </row>
    <row r="133" spans="1:8">
      <c r="A133" t="s">
        <v>306</v>
      </c>
      <c r="F133">
        <v>1</v>
      </c>
    </row>
    <row r="134" spans="1:8">
      <c r="A134" s="2" t="s">
        <v>310</v>
      </c>
      <c r="H134">
        <v>1</v>
      </c>
    </row>
    <row r="135" spans="1:8">
      <c r="A135" s="2" t="s">
        <v>311</v>
      </c>
      <c r="H135">
        <v>1</v>
      </c>
    </row>
    <row r="136" spans="1:8">
      <c r="A136" t="s">
        <v>309</v>
      </c>
      <c r="F136">
        <v>1</v>
      </c>
    </row>
    <row r="137" spans="1:8">
      <c r="A137" s="2" t="s">
        <v>316</v>
      </c>
      <c r="E137">
        <v>1</v>
      </c>
    </row>
    <row r="138" spans="1:8">
      <c r="A138" s="2" t="s">
        <v>495</v>
      </c>
      <c r="E138">
        <v>1</v>
      </c>
    </row>
    <row r="139" spans="1:8">
      <c r="A139" s="2" t="s">
        <v>317</v>
      </c>
      <c r="E139">
        <v>1</v>
      </c>
    </row>
    <row r="140" spans="1:8">
      <c r="A140" t="s">
        <v>327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329</v>
      </c>
      <c r="H142">
        <v>1</v>
      </c>
    </row>
    <row r="143" spans="1:8">
      <c r="A143" t="s">
        <v>330</v>
      </c>
      <c r="H143">
        <v>1</v>
      </c>
    </row>
    <row r="144" spans="1:8">
      <c r="A144" t="s">
        <v>331</v>
      </c>
      <c r="F144">
        <v>1</v>
      </c>
    </row>
    <row r="145" spans="1:9">
      <c r="A145" t="s">
        <v>332</v>
      </c>
      <c r="F145">
        <v>1</v>
      </c>
    </row>
    <row r="146" spans="1:9">
      <c r="A146" t="s">
        <v>333</v>
      </c>
      <c r="F146">
        <v>1</v>
      </c>
    </row>
    <row r="147" spans="1:9">
      <c r="A147" t="s">
        <v>436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442</v>
      </c>
      <c r="I150">
        <v>1</v>
      </c>
    </row>
    <row r="151" spans="1:9">
      <c r="A151" t="s">
        <v>440</v>
      </c>
      <c r="I151">
        <v>1</v>
      </c>
    </row>
    <row r="152" spans="1:9">
      <c r="A152" t="s">
        <v>444</v>
      </c>
      <c r="I152">
        <v>1</v>
      </c>
    </row>
    <row r="153" spans="1:9">
      <c r="A153" t="s">
        <v>437</v>
      </c>
      <c r="I153">
        <v>1</v>
      </c>
    </row>
    <row r="154" spans="1:9">
      <c r="A154" t="s">
        <v>438</v>
      </c>
      <c r="I154">
        <v>1</v>
      </c>
    </row>
    <row r="155" spans="1:9">
      <c r="A155" t="s">
        <v>439</v>
      </c>
      <c r="I155">
        <v>1</v>
      </c>
    </row>
    <row r="156" spans="1:9">
      <c r="A156" t="s">
        <v>443</v>
      </c>
      <c r="I156">
        <v>1</v>
      </c>
    </row>
    <row r="157" spans="1:9">
      <c r="A157" t="s">
        <v>441</v>
      </c>
      <c r="I157">
        <v>1</v>
      </c>
    </row>
    <row r="158" spans="1:9">
      <c r="A158" t="s">
        <v>445</v>
      </c>
      <c r="I158">
        <v>1</v>
      </c>
    </row>
    <row r="159" spans="1:9">
      <c r="A159" t="s">
        <v>447</v>
      </c>
      <c r="C159">
        <v>1</v>
      </c>
    </row>
    <row r="160" spans="1:9">
      <c r="A160" t="s">
        <v>448</v>
      </c>
      <c r="D160">
        <v>1</v>
      </c>
    </row>
    <row r="161" spans="1:9">
      <c r="A161" t="s">
        <v>446</v>
      </c>
      <c r="I161">
        <v>1</v>
      </c>
    </row>
    <row r="162" spans="1:9">
      <c r="A162" t="s">
        <v>475</v>
      </c>
      <c r="B162">
        <v>1</v>
      </c>
    </row>
    <row r="163" spans="1:9">
      <c r="A163" t="s">
        <v>449</v>
      </c>
      <c r="B163">
        <v>1</v>
      </c>
    </row>
    <row r="164" spans="1:9">
      <c r="A164" t="s">
        <v>451</v>
      </c>
      <c r="B164">
        <v>1</v>
      </c>
    </row>
    <row r="165" spans="1:9">
      <c r="A165" t="s">
        <v>450</v>
      </c>
      <c r="B165">
        <v>1</v>
      </c>
    </row>
    <row r="166" spans="1:9">
      <c r="A166" t="s">
        <v>236</v>
      </c>
      <c r="C166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N1" workbookViewId="0">
      <selection activeCell="I37" sqref="I37"/>
    </sheetView>
  </sheetViews>
  <sheetFormatPr defaultColWidth="11.44140625" defaultRowHeight="14.4"/>
  <cols>
    <col min="1" max="1" width="17" customWidth="1"/>
    <col min="2" max="2" width="16.44140625" bestFit="1" customWidth="1"/>
    <col min="3" max="3" width="14.44140625" bestFit="1" customWidth="1"/>
    <col min="4" max="4" width="7.554687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4140625" bestFit="1" customWidth="1"/>
    <col min="10" max="10" width="8.44140625" bestFit="1" customWidth="1"/>
    <col min="11" max="11" width="6.44140625" bestFit="1" customWidth="1"/>
    <col min="12" max="12" width="6" bestFit="1" customWidth="1"/>
    <col min="13" max="13" width="13.44140625" bestFit="1" customWidth="1"/>
    <col min="14" max="14" width="11.44140625" bestFit="1" customWidth="1"/>
    <col min="15" max="15" width="16.44140625" bestFit="1" customWidth="1"/>
    <col min="16" max="16" width="14.44140625" bestFit="1" customWidth="1"/>
    <col min="17" max="17" width="18" bestFit="1" customWidth="1"/>
    <col min="18" max="18" width="7.88671875" bestFit="1" customWidth="1"/>
    <col min="19" max="19" width="14.44140625" bestFit="1" customWidth="1"/>
    <col min="20" max="20" width="11" bestFit="1" customWidth="1"/>
    <col min="21" max="21" width="16" bestFit="1" customWidth="1"/>
    <col min="22" max="22" width="14.109375" bestFit="1" customWidth="1"/>
    <col min="23" max="23" width="17.44140625" bestFit="1" customWidth="1"/>
    <col min="24" max="24" width="7.44140625" bestFit="1" customWidth="1"/>
    <col min="25" max="25" width="14" bestFit="1" customWidth="1"/>
    <col min="26" max="26" width="12.88671875" bestFit="1" customWidth="1"/>
    <col min="27" max="28" width="11" bestFit="1" customWidth="1"/>
    <col min="29" max="29" width="14" bestFit="1" customWidth="1"/>
    <col min="30" max="30" width="12.44140625" bestFit="1" customWidth="1"/>
    <col min="31" max="31" width="5.5546875" bestFit="1" customWidth="1"/>
    <col min="32" max="32" width="8.5546875" bestFit="1" customWidth="1"/>
    <col min="33" max="33" width="5.5546875" bestFit="1" customWidth="1"/>
    <col min="34" max="34" width="7.44140625" bestFit="1" customWidth="1"/>
    <col min="35" max="35" width="14.44140625" bestFit="1" customWidth="1"/>
    <col min="36" max="36" width="13.88671875" bestFit="1" customWidth="1"/>
    <col min="37" max="38" width="14.44140625" bestFit="1" customWidth="1"/>
    <col min="39" max="39" width="9.44140625" bestFit="1" customWidth="1"/>
    <col min="40" max="40" width="13.88671875" bestFit="1" customWidth="1"/>
    <col min="41" max="41" width="16.44140625" bestFit="1" customWidth="1"/>
    <col min="42" max="42" width="15.44140625" bestFit="1" customWidth="1"/>
    <col min="43" max="43" width="16.44140625" bestFit="1" customWidth="1"/>
    <col min="44" max="44" width="20.44140625" bestFit="1" customWidth="1"/>
    <col min="45" max="45" width="19.44140625" bestFit="1" customWidth="1"/>
    <col min="46" max="46" width="20.44140625" bestFit="1" customWidth="1"/>
    <col min="47" max="47" width="20.109375" bestFit="1" customWidth="1"/>
    <col min="48" max="48" width="19.44140625" bestFit="1" customWidth="1"/>
    <col min="49" max="49" width="20.109375" bestFit="1" customWidth="1"/>
    <col min="50" max="50" width="11.44140625" bestFit="1" customWidth="1"/>
    <col min="51" max="51" width="9.5546875" bestFit="1" customWidth="1"/>
    <col min="52" max="52" width="14.109375" bestFit="1" customWidth="1"/>
    <col min="56" max="56" width="12.44140625" bestFit="1" customWidth="1"/>
    <col min="57" max="57" width="14.109375" bestFit="1" customWidth="1"/>
    <col min="58" max="58" width="12.44140625" bestFit="1" customWidth="1"/>
    <col min="59" max="59" width="11.5546875" bestFit="1" customWidth="1"/>
    <col min="60" max="60" width="11.88671875" bestFit="1" customWidth="1"/>
    <col min="61" max="61" width="13.5546875" bestFit="1" customWidth="1"/>
    <col min="62" max="62" width="12" bestFit="1" customWidth="1"/>
    <col min="63" max="63" width="11.44140625" bestFit="1" customWidth="1"/>
    <col min="64" max="64" width="12.5546875" bestFit="1" customWidth="1"/>
    <col min="65" max="65" width="11.5546875" bestFit="1" customWidth="1"/>
    <col min="66" max="66" width="13" bestFit="1" customWidth="1"/>
    <col min="67" max="67" width="11.44140625" bestFit="1" customWidth="1"/>
    <col min="68" max="68" width="13.5546875" bestFit="1" customWidth="1"/>
    <col min="69" max="69" width="15.44140625" bestFit="1" customWidth="1"/>
    <col min="70" max="70" width="14" bestFit="1" customWidth="1"/>
    <col min="71" max="71" width="13.109375" bestFit="1" customWidth="1"/>
    <col min="72" max="72" width="13.44140625" bestFit="1" customWidth="1"/>
    <col min="73" max="73" width="15.109375" bestFit="1" customWidth="1"/>
  </cols>
  <sheetData>
    <row r="1" spans="1:167">
      <c r="A1" t="s">
        <v>358</v>
      </c>
    </row>
    <row r="2" spans="1:167">
      <c r="A2" t="s">
        <v>359</v>
      </c>
    </row>
    <row r="3" spans="1:167">
      <c r="A3" t="s">
        <v>362</v>
      </c>
    </row>
    <row r="5" spans="1:167" ht="57.6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493</v>
      </c>
      <c r="T5" s="2" t="s">
        <v>494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300</v>
      </c>
      <c r="EA5" t="s">
        <v>301</v>
      </c>
      <c r="EB5" t="s">
        <v>302</v>
      </c>
      <c r="EC5" t="s">
        <v>303</v>
      </c>
      <c r="ED5" t="s">
        <v>304</v>
      </c>
      <c r="EE5" t="s">
        <v>305</v>
      </c>
      <c r="EF5" t="s">
        <v>306</v>
      </c>
      <c r="EG5" s="2" t="s">
        <v>310</v>
      </c>
      <c r="EH5" s="2" t="s">
        <v>311</v>
      </c>
      <c r="EI5" s="2" t="s">
        <v>316</v>
      </c>
      <c r="EJ5" s="2" t="s">
        <v>495</v>
      </c>
      <c r="EK5" s="2" t="s">
        <v>317</v>
      </c>
      <c r="EL5" t="s">
        <v>327</v>
      </c>
      <c r="EM5" s="2" t="s">
        <v>265</v>
      </c>
      <c r="EN5" s="2" t="s">
        <v>329</v>
      </c>
      <c r="EO5" s="2" t="s">
        <v>330</v>
      </c>
      <c r="EP5" s="2" t="s">
        <v>331</v>
      </c>
      <c r="EQ5" t="s">
        <v>332</v>
      </c>
      <c r="ER5" t="s">
        <v>333</v>
      </c>
      <c r="ES5" t="s">
        <v>436</v>
      </c>
      <c r="ET5" t="s">
        <v>104</v>
      </c>
      <c r="EU5" t="s">
        <v>105</v>
      </c>
      <c r="EV5" t="s">
        <v>442</v>
      </c>
      <c r="EW5" t="s">
        <v>440</v>
      </c>
      <c r="EX5" t="s">
        <v>444</v>
      </c>
      <c r="EY5" t="s">
        <v>445</v>
      </c>
      <c r="EZ5" t="s">
        <v>437</v>
      </c>
      <c r="FA5" t="s">
        <v>438</v>
      </c>
      <c r="FB5" t="s">
        <v>439</v>
      </c>
      <c r="FC5" t="s">
        <v>443</v>
      </c>
      <c r="FD5" t="s">
        <v>441</v>
      </c>
      <c r="FE5" t="s">
        <v>447</v>
      </c>
      <c r="FF5" t="s">
        <v>448</v>
      </c>
      <c r="FG5" t="s">
        <v>446</v>
      </c>
      <c r="FH5" s="6" t="s">
        <v>449</v>
      </c>
      <c r="FI5" s="6" t="s">
        <v>451</v>
      </c>
      <c r="FJ5" s="6" t="s">
        <v>450</v>
      </c>
      <c r="FK5" t="s">
        <v>460</v>
      </c>
    </row>
    <row r="6" spans="1:167">
      <c r="A6" s="11" t="s">
        <v>483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4140625" defaultRowHeight="14.4"/>
  <sheetData>
    <row r="1" spans="1:5">
      <c r="A1" t="s">
        <v>14</v>
      </c>
    </row>
    <row r="2" spans="1:5">
      <c r="A2" t="s">
        <v>15</v>
      </c>
    </row>
    <row r="3" spans="1:5">
      <c r="A3" t="s">
        <v>382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4140625" defaultRowHeight="14.4"/>
  <sheetData>
    <row r="1" spans="1:2">
      <c r="A1" t="s">
        <v>16</v>
      </c>
    </row>
    <row r="2" spans="1:2">
      <c r="A2" t="s">
        <v>17</v>
      </c>
    </row>
    <row r="3" spans="1:2">
      <c r="A3" t="s">
        <v>382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4140625" defaultRowHeight="14.4"/>
  <sheetData>
    <row r="1" spans="1:5">
      <c r="A1" t="s">
        <v>18</v>
      </c>
    </row>
    <row r="2" spans="1:5">
      <c r="A2" t="s">
        <v>19</v>
      </c>
    </row>
    <row r="3" spans="1:5">
      <c r="A3" t="s">
        <v>382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6" activePane="bottomLeft" state="frozen"/>
      <selection pane="bottomLeft" activeCell="O26" sqref="O26"/>
    </sheetView>
  </sheetViews>
  <sheetFormatPr defaultColWidth="11.44140625" defaultRowHeight="14.4"/>
  <cols>
    <col min="2" max="2" width="15" bestFit="1" customWidth="1"/>
    <col min="3" max="3" width="15.33203125" style="50" bestFit="1" customWidth="1"/>
    <col min="4" max="4" width="14.109375" style="50" bestFit="1" customWidth="1"/>
    <col min="5" max="5" width="16.6640625" style="50" bestFit="1" customWidth="1"/>
    <col min="6" max="6" width="17" style="50" customWidth="1"/>
    <col min="7" max="7" width="12.88671875" style="50" customWidth="1"/>
    <col min="8" max="8" width="16.109375" style="50" bestFit="1" customWidth="1"/>
    <col min="9" max="9" width="19.88671875" style="50" bestFit="1" customWidth="1"/>
    <col min="10" max="10" width="17.88671875" style="50" bestFit="1" customWidth="1"/>
  </cols>
  <sheetData>
    <row r="1" spans="1:32">
      <c r="A1" t="s">
        <v>366</v>
      </c>
    </row>
    <row r="2" spans="1:32">
      <c r="A2" t="s">
        <v>53</v>
      </c>
    </row>
    <row r="3" spans="1:32">
      <c r="A3" t="s">
        <v>360</v>
      </c>
    </row>
    <row r="5" spans="1:32">
      <c r="B5" s="31"/>
      <c r="C5" s="49" t="s">
        <v>478</v>
      </c>
      <c r="D5" s="49" t="s">
        <v>479</v>
      </c>
      <c r="E5" s="49" t="s">
        <v>480</v>
      </c>
      <c r="F5" s="49" t="s">
        <v>486</v>
      </c>
      <c r="G5" s="49" t="s">
        <v>485</v>
      </c>
      <c r="H5" s="49" t="s">
        <v>482</v>
      </c>
      <c r="I5" s="49" t="s">
        <v>483</v>
      </c>
      <c r="J5" s="49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8" t="s">
        <v>478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2" ht="15" customHeight="1">
      <c r="A7" t="s">
        <v>270</v>
      </c>
      <c r="B7" s="48" t="s">
        <v>479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2" ht="15" customHeight="1">
      <c r="A8" t="s">
        <v>270</v>
      </c>
      <c r="B8" s="48" t="s">
        <v>480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2" ht="15" customHeight="1">
      <c r="A9" t="s">
        <v>270</v>
      </c>
      <c r="B9" s="48" t="s">
        <v>486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2" ht="15" customHeight="1">
      <c r="A10" t="s">
        <v>270</v>
      </c>
      <c r="B10" s="48" t="s">
        <v>485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2" ht="15" customHeight="1">
      <c r="A11" t="s">
        <v>270</v>
      </c>
      <c r="B11" s="48" t="s">
        <v>482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2" ht="15" customHeight="1">
      <c r="A12" t="s">
        <v>270</v>
      </c>
      <c r="B12" s="48" t="s">
        <v>483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2" ht="15" customHeight="1">
      <c r="A13" t="s">
        <v>270</v>
      </c>
      <c r="B13" s="48" t="s">
        <v>484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2" ht="15" customHeight="1">
      <c r="A14" t="s">
        <v>141</v>
      </c>
      <c r="B14" s="48" t="s">
        <v>478</v>
      </c>
      <c r="C14" s="49">
        <v>0</v>
      </c>
      <c r="D14" s="49">
        <v>59</v>
      </c>
      <c r="E14" s="49">
        <v>40.299999999999997</v>
      </c>
      <c r="F14" s="49">
        <v>70</v>
      </c>
      <c r="G14" s="49">
        <v>57</v>
      </c>
      <c r="H14" s="49">
        <v>47</v>
      </c>
      <c r="I14" s="49">
        <v>59.4</v>
      </c>
      <c r="J14" s="49">
        <v>56</v>
      </c>
    </row>
    <row r="15" spans="1:32" ht="15" customHeight="1">
      <c r="A15" t="s">
        <v>141</v>
      </c>
      <c r="B15" s="48" t="s">
        <v>479</v>
      </c>
      <c r="C15" s="49">
        <v>59</v>
      </c>
      <c r="D15" s="49">
        <v>0</v>
      </c>
      <c r="E15" s="49">
        <v>75.7</v>
      </c>
      <c r="F15" s="49">
        <v>81.900000000000006</v>
      </c>
      <c r="G15" s="49">
        <v>92.7</v>
      </c>
      <c r="H15" s="49">
        <v>62</v>
      </c>
      <c r="I15" s="49">
        <v>51.3</v>
      </c>
      <c r="J15" s="49">
        <v>40.9</v>
      </c>
    </row>
    <row r="16" spans="1:32" ht="15" customHeight="1">
      <c r="A16" t="s">
        <v>141</v>
      </c>
      <c r="B16" s="48" t="s">
        <v>480</v>
      </c>
      <c r="C16" s="49">
        <v>40.299999999999997</v>
      </c>
      <c r="D16" s="49">
        <v>75.7</v>
      </c>
      <c r="E16" s="49">
        <v>0</v>
      </c>
      <c r="F16" s="49">
        <v>85.3</v>
      </c>
      <c r="G16" s="49">
        <v>25.7</v>
      </c>
      <c r="H16" s="49">
        <v>44.5</v>
      </c>
      <c r="I16" s="49">
        <v>92.7</v>
      </c>
      <c r="J16" s="49">
        <v>68.2</v>
      </c>
    </row>
    <row r="17" spans="1:10">
      <c r="A17" t="s">
        <v>141</v>
      </c>
      <c r="B17" s="48" t="s">
        <v>486</v>
      </c>
      <c r="C17" s="49">
        <v>70</v>
      </c>
      <c r="D17" s="49">
        <v>81.900000000000006</v>
      </c>
      <c r="E17" s="49">
        <v>85.3</v>
      </c>
      <c r="F17" s="49">
        <v>0</v>
      </c>
      <c r="G17" s="49">
        <v>45</v>
      </c>
      <c r="H17" s="49">
        <v>21.6</v>
      </c>
      <c r="I17" s="49">
        <v>40.6</v>
      </c>
      <c r="J17" s="49">
        <v>42.1</v>
      </c>
    </row>
    <row r="18" spans="1:10" ht="15" customHeight="1">
      <c r="A18" t="s">
        <v>141</v>
      </c>
      <c r="B18" s="48" t="s">
        <v>485</v>
      </c>
      <c r="C18" s="49">
        <v>57</v>
      </c>
      <c r="D18" s="49">
        <v>92.7</v>
      </c>
      <c r="E18" s="49">
        <v>25.7</v>
      </c>
      <c r="F18" s="49">
        <v>45</v>
      </c>
      <c r="G18" s="49">
        <v>0</v>
      </c>
      <c r="H18" s="49">
        <v>58.7</v>
      </c>
      <c r="I18" s="49">
        <v>78.2</v>
      </c>
      <c r="J18" s="49">
        <v>67.3</v>
      </c>
    </row>
    <row r="19" spans="1:10" ht="15" customHeight="1">
      <c r="A19" t="s">
        <v>141</v>
      </c>
      <c r="B19" s="48" t="s">
        <v>482</v>
      </c>
      <c r="C19" s="49">
        <v>47</v>
      </c>
      <c r="D19" s="49">
        <v>62</v>
      </c>
      <c r="E19" s="49">
        <v>44.5</v>
      </c>
      <c r="F19" s="49">
        <v>21.6</v>
      </c>
      <c r="G19" s="49">
        <v>58.7</v>
      </c>
      <c r="H19" s="49">
        <v>0</v>
      </c>
      <c r="I19" s="49">
        <v>19.5</v>
      </c>
      <c r="J19" s="49">
        <v>19.7</v>
      </c>
    </row>
    <row r="20" spans="1:10" ht="15" customHeight="1">
      <c r="A20" t="s">
        <v>141</v>
      </c>
      <c r="B20" s="48" t="s">
        <v>483</v>
      </c>
      <c r="C20" s="49">
        <v>59.4</v>
      </c>
      <c r="D20" s="49">
        <v>51.3</v>
      </c>
      <c r="E20" s="49">
        <v>92.7</v>
      </c>
      <c r="F20" s="49">
        <v>40.6</v>
      </c>
      <c r="G20" s="49">
        <v>78.2</v>
      </c>
      <c r="H20" s="49">
        <v>19.5</v>
      </c>
      <c r="I20" s="49">
        <v>0</v>
      </c>
      <c r="J20" s="49">
        <v>24.5</v>
      </c>
    </row>
    <row r="21" spans="1:10" ht="15" customHeight="1">
      <c r="A21" t="s">
        <v>141</v>
      </c>
      <c r="B21" s="48" t="s">
        <v>484</v>
      </c>
      <c r="C21" s="49">
        <v>56</v>
      </c>
      <c r="D21" s="49">
        <v>40.9</v>
      </c>
      <c r="E21" s="49">
        <v>68.2</v>
      </c>
      <c r="F21" s="49">
        <v>42.1</v>
      </c>
      <c r="G21" s="49">
        <v>67.3</v>
      </c>
      <c r="H21" s="49">
        <v>19.7</v>
      </c>
      <c r="I21" s="49">
        <v>24.5</v>
      </c>
      <c r="J21" s="49">
        <v>0</v>
      </c>
    </row>
    <row r="22" spans="1:10" ht="15" customHeight="1">
      <c r="A22" t="s">
        <v>313</v>
      </c>
      <c r="B22" s="48" t="s">
        <v>478</v>
      </c>
      <c r="C22" s="49">
        <v>0</v>
      </c>
      <c r="D22" s="49">
        <v>59</v>
      </c>
      <c r="E22" s="49">
        <v>40.299999999999997</v>
      </c>
      <c r="F22" s="49">
        <v>70</v>
      </c>
      <c r="G22" s="49">
        <v>57</v>
      </c>
      <c r="H22" s="49">
        <v>47</v>
      </c>
      <c r="I22" s="49">
        <v>59.4</v>
      </c>
      <c r="J22" s="49">
        <v>56</v>
      </c>
    </row>
    <row r="23" spans="1:10" ht="15" customHeight="1">
      <c r="A23" t="s">
        <v>313</v>
      </c>
      <c r="B23" s="48" t="s">
        <v>479</v>
      </c>
      <c r="C23" s="49">
        <v>59</v>
      </c>
      <c r="D23" s="49">
        <v>0</v>
      </c>
      <c r="E23" s="49">
        <v>75.7</v>
      </c>
      <c r="F23" s="49">
        <v>81.900000000000006</v>
      </c>
      <c r="G23" s="49">
        <v>92.7</v>
      </c>
      <c r="H23" s="49">
        <v>62</v>
      </c>
      <c r="I23" s="49">
        <v>51.3</v>
      </c>
      <c r="J23" s="49">
        <v>40.9</v>
      </c>
    </row>
    <row r="24" spans="1:10" ht="15" customHeight="1">
      <c r="A24" t="s">
        <v>313</v>
      </c>
      <c r="B24" s="48" t="s">
        <v>480</v>
      </c>
      <c r="C24" s="49">
        <v>40.299999999999997</v>
      </c>
      <c r="D24" s="49">
        <v>75.7</v>
      </c>
      <c r="E24" s="49">
        <v>0</v>
      </c>
      <c r="F24" s="49">
        <v>85.3</v>
      </c>
      <c r="G24" s="49">
        <v>25.7</v>
      </c>
      <c r="H24" s="49">
        <v>44.5</v>
      </c>
      <c r="I24" s="49">
        <v>92.7</v>
      </c>
      <c r="J24" s="49">
        <v>68.2</v>
      </c>
    </row>
    <row r="25" spans="1:10" ht="15" customHeight="1">
      <c r="A25" t="s">
        <v>313</v>
      </c>
      <c r="B25" s="48" t="s">
        <v>486</v>
      </c>
      <c r="C25" s="49">
        <v>70</v>
      </c>
      <c r="D25" s="49">
        <v>81.900000000000006</v>
      </c>
      <c r="E25" s="49">
        <v>85.3</v>
      </c>
      <c r="F25" s="49">
        <v>0</v>
      </c>
      <c r="G25" s="49">
        <v>45</v>
      </c>
      <c r="H25" s="49">
        <v>21.6</v>
      </c>
      <c r="I25" s="49">
        <v>40.6</v>
      </c>
      <c r="J25" s="49">
        <v>42.1</v>
      </c>
    </row>
    <row r="26" spans="1:10" ht="15" customHeight="1">
      <c r="A26" t="s">
        <v>313</v>
      </c>
      <c r="B26" s="48" t="s">
        <v>485</v>
      </c>
      <c r="C26" s="49">
        <v>57</v>
      </c>
      <c r="D26" s="49">
        <v>92.7</v>
      </c>
      <c r="E26" s="49">
        <v>25.7</v>
      </c>
      <c r="F26" s="49">
        <v>45</v>
      </c>
      <c r="G26" s="49">
        <v>0</v>
      </c>
      <c r="H26" s="49">
        <v>58.7</v>
      </c>
      <c r="I26" s="49">
        <v>78.2</v>
      </c>
      <c r="J26" s="49">
        <v>67.3</v>
      </c>
    </row>
    <row r="27" spans="1:10" ht="15" customHeight="1">
      <c r="A27" t="s">
        <v>313</v>
      </c>
      <c r="B27" s="48" t="s">
        <v>482</v>
      </c>
      <c r="C27" s="49">
        <v>47</v>
      </c>
      <c r="D27" s="49">
        <v>62</v>
      </c>
      <c r="E27" s="49">
        <v>44.5</v>
      </c>
      <c r="F27" s="49">
        <v>21.6</v>
      </c>
      <c r="G27" s="49">
        <v>58.7</v>
      </c>
      <c r="H27" s="49">
        <v>0</v>
      </c>
      <c r="I27" s="49">
        <v>19.5</v>
      </c>
      <c r="J27" s="49">
        <v>19.7</v>
      </c>
    </row>
    <row r="28" spans="1:10" ht="15" customHeight="1">
      <c r="A28" t="s">
        <v>313</v>
      </c>
      <c r="B28" s="48" t="s">
        <v>483</v>
      </c>
      <c r="C28" s="49">
        <v>59.4</v>
      </c>
      <c r="D28" s="49">
        <v>51.3</v>
      </c>
      <c r="E28" s="49">
        <v>92.7</v>
      </c>
      <c r="F28" s="49">
        <v>40.6</v>
      </c>
      <c r="G28" s="49">
        <v>78.2</v>
      </c>
      <c r="H28" s="49">
        <v>19.5</v>
      </c>
      <c r="I28" s="49">
        <v>0</v>
      </c>
      <c r="J28" s="49">
        <v>24.5</v>
      </c>
    </row>
    <row r="29" spans="1:10" ht="15" customHeight="1">
      <c r="A29" t="s">
        <v>313</v>
      </c>
      <c r="B29" s="48" t="s">
        <v>484</v>
      </c>
      <c r="C29" s="49">
        <v>56</v>
      </c>
      <c r="D29" s="49">
        <v>40.9</v>
      </c>
      <c r="E29" s="49">
        <v>68.2</v>
      </c>
      <c r="F29" s="49">
        <v>42.1</v>
      </c>
      <c r="G29" s="49">
        <v>67.3</v>
      </c>
      <c r="H29" s="49">
        <v>19.7</v>
      </c>
      <c r="I29" s="49">
        <v>24.5</v>
      </c>
      <c r="J29" s="49">
        <v>0</v>
      </c>
    </row>
    <row r="30" spans="1:10" ht="15" customHeight="1">
      <c r="A30" t="s">
        <v>312</v>
      </c>
      <c r="B30" s="48" t="s">
        <v>478</v>
      </c>
      <c r="C30" s="49">
        <v>0</v>
      </c>
      <c r="D30" s="49">
        <v>59</v>
      </c>
      <c r="E30" s="49">
        <v>40.299999999999997</v>
      </c>
      <c r="F30" s="49">
        <v>70</v>
      </c>
      <c r="G30" s="49">
        <v>57</v>
      </c>
      <c r="H30" s="49">
        <v>47</v>
      </c>
      <c r="I30" s="49">
        <v>59.4</v>
      </c>
      <c r="J30" s="49">
        <v>56</v>
      </c>
    </row>
    <row r="31" spans="1:10" ht="15" customHeight="1">
      <c r="A31" t="s">
        <v>312</v>
      </c>
      <c r="B31" s="48" t="s">
        <v>479</v>
      </c>
      <c r="C31" s="49">
        <v>59</v>
      </c>
      <c r="D31" s="49">
        <v>0</v>
      </c>
      <c r="E31" s="49">
        <v>75.7</v>
      </c>
      <c r="F31" s="49">
        <v>81.900000000000006</v>
      </c>
      <c r="G31" s="49">
        <v>92.7</v>
      </c>
      <c r="H31" s="49">
        <v>62</v>
      </c>
      <c r="I31" s="49">
        <v>51.3</v>
      </c>
      <c r="J31" s="49">
        <v>40.9</v>
      </c>
    </row>
    <row r="32" spans="1:10" ht="15" customHeight="1">
      <c r="A32" t="s">
        <v>312</v>
      </c>
      <c r="B32" s="48" t="s">
        <v>480</v>
      </c>
      <c r="C32" s="49">
        <v>40.299999999999997</v>
      </c>
      <c r="D32" s="49">
        <v>75.7</v>
      </c>
      <c r="E32" s="49">
        <v>0</v>
      </c>
      <c r="F32" s="49">
        <v>85.3</v>
      </c>
      <c r="G32" s="49">
        <v>25.7</v>
      </c>
      <c r="H32" s="49">
        <v>44.5</v>
      </c>
      <c r="I32" s="49">
        <v>92.7</v>
      </c>
      <c r="J32" s="49">
        <v>68.2</v>
      </c>
    </row>
    <row r="33" spans="1:10" ht="15" customHeight="1">
      <c r="A33" t="s">
        <v>312</v>
      </c>
      <c r="B33" s="48" t="s">
        <v>486</v>
      </c>
      <c r="C33" s="49">
        <v>70</v>
      </c>
      <c r="D33" s="49">
        <v>81.900000000000006</v>
      </c>
      <c r="E33" s="49">
        <v>85.3</v>
      </c>
      <c r="F33" s="49">
        <v>0</v>
      </c>
      <c r="G33" s="49">
        <v>45</v>
      </c>
      <c r="H33" s="49">
        <v>21.6</v>
      </c>
      <c r="I33" s="49">
        <v>40.6</v>
      </c>
      <c r="J33" s="49">
        <v>42.1</v>
      </c>
    </row>
    <row r="34" spans="1:10" ht="15" customHeight="1">
      <c r="A34" t="s">
        <v>312</v>
      </c>
      <c r="B34" s="48" t="s">
        <v>485</v>
      </c>
      <c r="C34" s="49">
        <v>57</v>
      </c>
      <c r="D34" s="49">
        <v>92.7</v>
      </c>
      <c r="E34" s="49">
        <v>25.7</v>
      </c>
      <c r="F34" s="49">
        <v>45</v>
      </c>
      <c r="G34" s="49">
        <v>0</v>
      </c>
      <c r="H34" s="49">
        <v>58.7</v>
      </c>
      <c r="I34" s="49">
        <v>78.2</v>
      </c>
      <c r="J34" s="49">
        <v>67.3</v>
      </c>
    </row>
    <row r="35" spans="1:10" ht="15" customHeight="1">
      <c r="A35" t="s">
        <v>312</v>
      </c>
      <c r="B35" s="48" t="s">
        <v>482</v>
      </c>
      <c r="C35" s="49">
        <v>47</v>
      </c>
      <c r="D35" s="49">
        <v>62</v>
      </c>
      <c r="E35" s="49">
        <v>44.5</v>
      </c>
      <c r="F35" s="49">
        <v>21.6</v>
      </c>
      <c r="G35" s="49">
        <v>58.7</v>
      </c>
      <c r="H35" s="49">
        <v>0</v>
      </c>
      <c r="I35" s="49">
        <v>19.5</v>
      </c>
      <c r="J35" s="49">
        <v>19.7</v>
      </c>
    </row>
    <row r="36" spans="1:10" ht="15" customHeight="1">
      <c r="A36" t="s">
        <v>312</v>
      </c>
      <c r="B36" s="48" t="s">
        <v>483</v>
      </c>
      <c r="C36" s="49">
        <v>59.4</v>
      </c>
      <c r="D36" s="49">
        <v>51.3</v>
      </c>
      <c r="E36" s="49">
        <v>92.7</v>
      </c>
      <c r="F36" s="49">
        <v>40.6</v>
      </c>
      <c r="G36" s="49">
        <v>78.2</v>
      </c>
      <c r="H36" s="49">
        <v>19.5</v>
      </c>
      <c r="I36" s="49">
        <v>0</v>
      </c>
      <c r="J36" s="49">
        <v>24.5</v>
      </c>
    </row>
    <row r="37" spans="1:10" ht="15" customHeight="1">
      <c r="A37" t="s">
        <v>312</v>
      </c>
      <c r="B37" s="48" t="s">
        <v>484</v>
      </c>
      <c r="C37" s="49">
        <v>56</v>
      </c>
      <c r="D37" s="49">
        <v>40.9</v>
      </c>
      <c r="E37" s="49">
        <v>68.2</v>
      </c>
      <c r="F37" s="49">
        <v>42.1</v>
      </c>
      <c r="G37" s="49">
        <v>67.3</v>
      </c>
      <c r="H37" s="49">
        <v>19.7</v>
      </c>
      <c r="I37" s="49">
        <v>24.5</v>
      </c>
      <c r="J37" s="49">
        <v>0</v>
      </c>
    </row>
    <row r="38" spans="1:10" ht="15" customHeight="1">
      <c r="A38" t="s">
        <v>138</v>
      </c>
      <c r="B38" s="48" t="s">
        <v>478</v>
      </c>
      <c r="C38" s="49">
        <v>0</v>
      </c>
      <c r="D38" s="49">
        <v>59</v>
      </c>
      <c r="E38" s="49">
        <v>40.299999999999997</v>
      </c>
      <c r="F38" s="49">
        <v>70</v>
      </c>
      <c r="G38" s="49">
        <v>57</v>
      </c>
      <c r="H38" s="49">
        <v>47</v>
      </c>
      <c r="I38" s="49">
        <v>59.4</v>
      </c>
      <c r="J38" s="49">
        <v>56</v>
      </c>
    </row>
    <row r="39" spans="1:10" ht="15" customHeight="1">
      <c r="A39" t="s">
        <v>138</v>
      </c>
      <c r="B39" s="48" t="s">
        <v>479</v>
      </c>
      <c r="C39" s="49">
        <v>59</v>
      </c>
      <c r="D39" s="49">
        <v>0</v>
      </c>
      <c r="E39" s="49">
        <v>75.7</v>
      </c>
      <c r="F39" s="49">
        <v>81.900000000000006</v>
      </c>
      <c r="G39" s="49">
        <v>92.7</v>
      </c>
      <c r="H39" s="49">
        <v>62</v>
      </c>
      <c r="I39" s="49">
        <v>51.3</v>
      </c>
      <c r="J39" s="49">
        <v>40.9</v>
      </c>
    </row>
    <row r="40" spans="1:10" ht="15" customHeight="1">
      <c r="A40" t="s">
        <v>138</v>
      </c>
      <c r="B40" s="48" t="s">
        <v>480</v>
      </c>
      <c r="C40" s="49">
        <v>40.299999999999997</v>
      </c>
      <c r="D40" s="49">
        <v>75.7</v>
      </c>
      <c r="E40" s="49">
        <v>0</v>
      </c>
      <c r="F40" s="49">
        <v>85.3</v>
      </c>
      <c r="G40" s="49">
        <v>25.7</v>
      </c>
      <c r="H40" s="49">
        <v>44.5</v>
      </c>
      <c r="I40" s="49">
        <v>92.7</v>
      </c>
      <c r="J40" s="49">
        <v>68.2</v>
      </c>
    </row>
    <row r="41" spans="1:10" ht="15" customHeight="1">
      <c r="A41" t="s">
        <v>138</v>
      </c>
      <c r="B41" s="48" t="s">
        <v>486</v>
      </c>
      <c r="C41" s="49">
        <v>70</v>
      </c>
      <c r="D41" s="49">
        <v>81.900000000000006</v>
      </c>
      <c r="E41" s="49">
        <v>85.3</v>
      </c>
      <c r="F41" s="49">
        <v>0</v>
      </c>
      <c r="G41" s="49">
        <v>45</v>
      </c>
      <c r="H41" s="49">
        <v>21.6</v>
      </c>
      <c r="I41" s="49">
        <v>40.6</v>
      </c>
      <c r="J41" s="49">
        <v>42.1</v>
      </c>
    </row>
    <row r="42" spans="1:10" ht="15" customHeight="1">
      <c r="A42" t="s">
        <v>138</v>
      </c>
      <c r="B42" s="48" t="s">
        <v>485</v>
      </c>
      <c r="C42" s="49">
        <v>57</v>
      </c>
      <c r="D42" s="49">
        <v>92.7</v>
      </c>
      <c r="E42" s="49">
        <v>25.7</v>
      </c>
      <c r="F42" s="49">
        <v>45</v>
      </c>
      <c r="G42" s="49">
        <v>0</v>
      </c>
      <c r="H42" s="49">
        <v>58.7</v>
      </c>
      <c r="I42" s="49">
        <v>78.2</v>
      </c>
      <c r="J42" s="49">
        <v>67.3</v>
      </c>
    </row>
    <row r="43" spans="1:10" ht="15" customHeight="1">
      <c r="A43" t="s">
        <v>138</v>
      </c>
      <c r="B43" s="48" t="s">
        <v>482</v>
      </c>
      <c r="C43" s="49">
        <v>47</v>
      </c>
      <c r="D43" s="49">
        <v>62</v>
      </c>
      <c r="E43" s="49">
        <v>44.5</v>
      </c>
      <c r="F43" s="49">
        <v>21.6</v>
      </c>
      <c r="G43" s="49">
        <v>58.7</v>
      </c>
      <c r="H43" s="49">
        <v>0</v>
      </c>
      <c r="I43" s="49">
        <v>19.5</v>
      </c>
      <c r="J43" s="49">
        <v>19.7</v>
      </c>
    </row>
    <row r="44" spans="1:10">
      <c r="A44" t="s">
        <v>138</v>
      </c>
      <c r="B44" s="48" t="s">
        <v>483</v>
      </c>
      <c r="C44" s="49">
        <v>59.4</v>
      </c>
      <c r="D44" s="49">
        <v>51.3</v>
      </c>
      <c r="E44" s="49">
        <v>92.7</v>
      </c>
      <c r="F44" s="49">
        <v>40.6</v>
      </c>
      <c r="G44" s="49">
        <v>78.2</v>
      </c>
      <c r="H44" s="49">
        <v>19.5</v>
      </c>
      <c r="I44" s="49">
        <v>0</v>
      </c>
      <c r="J44" s="49">
        <v>24.5</v>
      </c>
    </row>
    <row r="45" spans="1:10" ht="15" customHeight="1">
      <c r="A45" t="s">
        <v>138</v>
      </c>
      <c r="B45" s="48" t="s">
        <v>484</v>
      </c>
      <c r="C45" s="49">
        <v>56</v>
      </c>
      <c r="D45" s="49">
        <v>40.9</v>
      </c>
      <c r="E45" s="49">
        <v>68.2</v>
      </c>
      <c r="F45" s="49">
        <v>42.1</v>
      </c>
      <c r="G45" s="49">
        <v>67.3</v>
      </c>
      <c r="H45" s="49">
        <v>19.7</v>
      </c>
      <c r="I45" s="49">
        <v>24.5</v>
      </c>
      <c r="J45" s="49">
        <v>0</v>
      </c>
    </row>
    <row r="46" spans="1:10" ht="15" customHeight="1">
      <c r="A46" t="s">
        <v>24</v>
      </c>
      <c r="B46" s="48" t="s">
        <v>478</v>
      </c>
      <c r="C46" s="49">
        <v>0</v>
      </c>
      <c r="D46" s="49">
        <v>0</v>
      </c>
      <c r="E46" s="49">
        <v>0</v>
      </c>
      <c r="F46" s="49">
        <v>0</v>
      </c>
      <c r="G46" s="49">
        <v>32.6</v>
      </c>
      <c r="H46" s="49">
        <v>0</v>
      </c>
      <c r="I46" s="49">
        <v>0</v>
      </c>
      <c r="J46" s="49">
        <v>0</v>
      </c>
    </row>
    <row r="47" spans="1:10" ht="15" customHeight="1">
      <c r="A47" t="s">
        <v>24</v>
      </c>
      <c r="B47" s="48" t="s">
        <v>479</v>
      </c>
      <c r="C47" s="49">
        <v>0</v>
      </c>
      <c r="D47" s="49">
        <v>0</v>
      </c>
      <c r="E47" s="49">
        <v>0</v>
      </c>
      <c r="F47" s="49">
        <v>0</v>
      </c>
      <c r="G47" s="49">
        <v>0</v>
      </c>
      <c r="H47" s="49">
        <v>0</v>
      </c>
      <c r="I47" s="49">
        <v>0</v>
      </c>
      <c r="J47" s="49">
        <v>31.5</v>
      </c>
    </row>
    <row r="48" spans="1:10" ht="15" customHeight="1">
      <c r="A48" t="s">
        <v>24</v>
      </c>
      <c r="B48" s="48" t="s">
        <v>480</v>
      </c>
      <c r="C48" s="49">
        <v>0</v>
      </c>
      <c r="D48" s="49">
        <v>0</v>
      </c>
      <c r="E48" s="49">
        <v>0</v>
      </c>
      <c r="F48" s="49">
        <v>0</v>
      </c>
      <c r="G48" s="49">
        <v>24.1</v>
      </c>
      <c r="H48" s="49">
        <v>0</v>
      </c>
      <c r="I48" s="49">
        <v>0</v>
      </c>
      <c r="J48" s="49">
        <v>0</v>
      </c>
    </row>
    <row r="49" spans="1:10" ht="15" customHeight="1">
      <c r="A49" t="s">
        <v>24</v>
      </c>
      <c r="B49" s="48" t="s">
        <v>486</v>
      </c>
      <c r="C49" s="49">
        <v>0</v>
      </c>
      <c r="D49" s="49">
        <v>0</v>
      </c>
      <c r="E49" s="49">
        <v>0</v>
      </c>
      <c r="F49" s="49">
        <v>0</v>
      </c>
      <c r="G49" s="49">
        <v>33.799999999999997</v>
      </c>
      <c r="H49" s="49">
        <v>16</v>
      </c>
      <c r="I49" s="49">
        <v>0</v>
      </c>
      <c r="J49" s="49">
        <v>0</v>
      </c>
    </row>
    <row r="50" spans="1:10" ht="15" customHeight="1">
      <c r="A50" t="s">
        <v>24</v>
      </c>
      <c r="B50" s="48" t="s">
        <v>485</v>
      </c>
      <c r="C50" s="49">
        <v>32.6</v>
      </c>
      <c r="D50" s="49">
        <v>0</v>
      </c>
      <c r="E50" s="49">
        <v>24.1</v>
      </c>
      <c r="F50" s="49">
        <v>33.799999999999997</v>
      </c>
      <c r="G50" s="49">
        <v>0</v>
      </c>
      <c r="H50" s="49">
        <v>0</v>
      </c>
      <c r="I50" s="49">
        <v>0</v>
      </c>
      <c r="J50" s="49">
        <v>0</v>
      </c>
    </row>
    <row r="51" spans="1:10" ht="15" customHeight="1">
      <c r="A51" t="s">
        <v>24</v>
      </c>
      <c r="B51" s="48" t="s">
        <v>482</v>
      </c>
      <c r="C51" s="49">
        <v>0</v>
      </c>
      <c r="D51" s="49">
        <v>0</v>
      </c>
      <c r="E51" s="49">
        <v>0</v>
      </c>
      <c r="F51" s="49">
        <v>16</v>
      </c>
      <c r="G51" s="49">
        <v>0</v>
      </c>
      <c r="H51" s="49">
        <v>0</v>
      </c>
      <c r="I51" s="49">
        <v>15.1</v>
      </c>
      <c r="J51" s="49">
        <v>18.7</v>
      </c>
    </row>
    <row r="52" spans="1:10" ht="15" customHeight="1">
      <c r="A52" t="s">
        <v>24</v>
      </c>
      <c r="B52" s="48" t="s">
        <v>483</v>
      </c>
      <c r="C52" s="49">
        <v>0</v>
      </c>
      <c r="D52" s="49">
        <v>0</v>
      </c>
      <c r="E52" s="49">
        <v>0</v>
      </c>
      <c r="F52" s="49">
        <v>0</v>
      </c>
      <c r="G52" s="49">
        <v>0</v>
      </c>
      <c r="H52" s="49">
        <v>15.1</v>
      </c>
      <c r="I52" s="49">
        <v>0</v>
      </c>
      <c r="J52" s="49">
        <v>8.8800000000000008</v>
      </c>
    </row>
    <row r="53" spans="1:10" ht="15" customHeight="1">
      <c r="A53" t="s">
        <v>24</v>
      </c>
      <c r="B53" s="48" t="s">
        <v>484</v>
      </c>
      <c r="C53" s="49">
        <v>0</v>
      </c>
      <c r="D53" s="49">
        <v>31.5</v>
      </c>
      <c r="E53" s="49">
        <v>0</v>
      </c>
      <c r="F53" s="49">
        <v>0</v>
      </c>
      <c r="G53" s="49">
        <v>0</v>
      </c>
      <c r="H53" s="49">
        <v>18.7</v>
      </c>
      <c r="I53" s="49">
        <v>8.8800000000000008</v>
      </c>
      <c r="J53" s="49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F16" sqref="F16"/>
    </sheetView>
  </sheetViews>
  <sheetFormatPr defaultColWidth="11.44140625" defaultRowHeight="14.4"/>
  <cols>
    <col min="2" max="2" width="17.5546875" bestFit="1" customWidth="1"/>
    <col min="3" max="4" width="14.44140625" customWidth="1"/>
    <col min="5" max="5" width="12.88671875" customWidth="1"/>
    <col min="6" max="6" width="18.44140625" customWidth="1"/>
    <col min="7" max="7" width="15.44140625" customWidth="1"/>
    <col min="8" max="8" width="13.88671875" bestFit="1" customWidth="1"/>
    <col min="9" max="9" width="17.5546875" bestFit="1" customWidth="1"/>
    <col min="10" max="10" width="15.5546875" bestFit="1" customWidth="1"/>
    <col min="11" max="11" width="15.88671875" customWidth="1"/>
    <col min="12" max="12" width="16" customWidth="1"/>
    <col min="14" max="14" width="15.44140625" customWidth="1"/>
    <col min="15" max="15" width="21.88671875" customWidth="1"/>
    <col min="22" max="22" width="11.88671875" customWidth="1"/>
  </cols>
  <sheetData>
    <row r="1" spans="1:38">
      <c r="A1" t="s">
        <v>368</v>
      </c>
    </row>
    <row r="2" spans="1:38">
      <c r="A2" t="s">
        <v>364</v>
      </c>
    </row>
    <row r="3" spans="1:38">
      <c r="A3" t="s">
        <v>363</v>
      </c>
    </row>
    <row r="4" spans="1:38">
      <c r="C4" s="46"/>
      <c r="D4" s="46"/>
      <c r="E4" s="46"/>
      <c r="F4" s="46"/>
      <c r="G4" s="46"/>
      <c r="H4" s="46"/>
      <c r="I4" s="46"/>
      <c r="J4" s="46"/>
    </row>
    <row r="5" spans="1:38">
      <c r="B5" s="31"/>
      <c r="C5" s="51" t="s">
        <v>478</v>
      </c>
      <c r="D5" s="51" t="s">
        <v>479</v>
      </c>
      <c r="E5" s="51" t="s">
        <v>480</v>
      </c>
      <c r="F5" s="51" t="s">
        <v>486</v>
      </c>
      <c r="G5" s="51" t="s">
        <v>485</v>
      </c>
      <c r="H5" s="51" t="s">
        <v>482</v>
      </c>
      <c r="I5" s="51" t="s">
        <v>483</v>
      </c>
      <c r="J5" s="51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433</v>
      </c>
      <c r="B6" s="48" t="s">
        <v>478</v>
      </c>
      <c r="C6" s="48">
        <v>0</v>
      </c>
      <c r="D6" s="48">
        <v>59</v>
      </c>
      <c r="E6" s="48">
        <v>40.299999999999997</v>
      </c>
      <c r="F6" s="48">
        <v>70</v>
      </c>
      <c r="G6" s="48">
        <v>57</v>
      </c>
      <c r="H6" s="48">
        <v>47</v>
      </c>
      <c r="I6" s="48">
        <v>59.4</v>
      </c>
      <c r="J6" s="48">
        <v>56</v>
      </c>
    </row>
    <row r="7" spans="1:38">
      <c r="A7" t="s">
        <v>433</v>
      </c>
      <c r="B7" s="48" t="s">
        <v>479</v>
      </c>
      <c r="C7" s="48">
        <v>59</v>
      </c>
      <c r="D7" s="48">
        <v>0</v>
      </c>
      <c r="E7" s="48">
        <v>75.7</v>
      </c>
      <c r="F7" s="48">
        <v>81.900000000000006</v>
      </c>
      <c r="G7" s="48">
        <v>92.7</v>
      </c>
      <c r="H7" s="48">
        <v>62</v>
      </c>
      <c r="I7" s="48">
        <v>51.3</v>
      </c>
      <c r="J7" s="48">
        <v>40.9</v>
      </c>
    </row>
    <row r="8" spans="1:38">
      <c r="A8" t="s">
        <v>433</v>
      </c>
      <c r="B8" s="48" t="s">
        <v>480</v>
      </c>
      <c r="C8" s="48">
        <v>40.299999999999997</v>
      </c>
      <c r="D8" s="48">
        <v>75.7</v>
      </c>
      <c r="E8" s="48">
        <v>0</v>
      </c>
      <c r="F8" s="48">
        <v>85.3</v>
      </c>
      <c r="G8" s="48">
        <v>25.7</v>
      </c>
      <c r="H8" s="48">
        <v>44.5</v>
      </c>
      <c r="I8" s="48">
        <v>92.7</v>
      </c>
      <c r="J8" s="48">
        <v>68.2</v>
      </c>
    </row>
    <row r="9" spans="1:38">
      <c r="A9" t="s">
        <v>433</v>
      </c>
      <c r="B9" s="48" t="s">
        <v>486</v>
      </c>
      <c r="C9" s="48">
        <v>70</v>
      </c>
      <c r="D9" s="48">
        <v>81.900000000000006</v>
      </c>
      <c r="E9" s="48">
        <v>85.3</v>
      </c>
      <c r="F9" s="48">
        <v>0</v>
      </c>
      <c r="G9" s="48">
        <v>45</v>
      </c>
      <c r="H9" s="48">
        <v>21.6</v>
      </c>
      <c r="I9" s="48">
        <v>40.6</v>
      </c>
      <c r="J9" s="48">
        <v>42.1</v>
      </c>
    </row>
    <row r="10" spans="1:38">
      <c r="A10" t="s">
        <v>433</v>
      </c>
      <c r="B10" s="48" t="s">
        <v>485</v>
      </c>
      <c r="C10" s="48">
        <v>57</v>
      </c>
      <c r="D10" s="48">
        <v>92.7</v>
      </c>
      <c r="E10" s="48">
        <v>25.7</v>
      </c>
      <c r="F10" s="48">
        <v>45</v>
      </c>
      <c r="G10" s="48">
        <v>0</v>
      </c>
      <c r="H10" s="48">
        <v>58.7</v>
      </c>
      <c r="I10" s="48">
        <v>78.2</v>
      </c>
      <c r="J10" s="48">
        <v>67.3</v>
      </c>
    </row>
    <row r="11" spans="1:38">
      <c r="A11" t="s">
        <v>433</v>
      </c>
      <c r="B11" s="48" t="s">
        <v>482</v>
      </c>
      <c r="C11" s="48">
        <v>47</v>
      </c>
      <c r="D11" s="48">
        <v>62</v>
      </c>
      <c r="E11" s="48">
        <v>44.5</v>
      </c>
      <c r="F11" s="48">
        <v>21.6</v>
      </c>
      <c r="G11" s="48">
        <v>58.7</v>
      </c>
      <c r="H11" s="48">
        <v>0</v>
      </c>
      <c r="I11" s="48">
        <v>19.5</v>
      </c>
      <c r="J11" s="48">
        <v>19.7</v>
      </c>
    </row>
    <row r="12" spans="1:38">
      <c r="A12" t="s">
        <v>433</v>
      </c>
      <c r="B12" s="48" t="s">
        <v>483</v>
      </c>
      <c r="C12" s="48">
        <v>59.4</v>
      </c>
      <c r="D12" s="48">
        <v>51.3</v>
      </c>
      <c r="E12" s="48">
        <v>92.7</v>
      </c>
      <c r="F12" s="48">
        <v>40.6</v>
      </c>
      <c r="G12" s="48">
        <v>78.2</v>
      </c>
      <c r="H12" s="48">
        <v>19.5</v>
      </c>
      <c r="I12" s="48">
        <v>0</v>
      </c>
      <c r="J12" s="48">
        <v>24.5</v>
      </c>
    </row>
    <row r="13" spans="1:38">
      <c r="A13" t="s">
        <v>433</v>
      </c>
      <c r="B13" s="48" t="s">
        <v>484</v>
      </c>
      <c r="C13" s="48">
        <v>56</v>
      </c>
      <c r="D13" s="48">
        <v>40.9</v>
      </c>
      <c r="E13" s="48">
        <v>68.2</v>
      </c>
      <c r="F13" s="48">
        <v>42.1</v>
      </c>
      <c r="G13" s="48">
        <v>67.3</v>
      </c>
      <c r="H13" s="48">
        <v>19.7</v>
      </c>
      <c r="I13" s="48">
        <v>24.5</v>
      </c>
      <c r="J13" s="48">
        <v>0</v>
      </c>
    </row>
    <row r="14" spans="1:38">
      <c r="A14" s="48" t="s">
        <v>141</v>
      </c>
      <c r="B14" s="48" t="s">
        <v>478</v>
      </c>
      <c r="C14" s="48">
        <f>ROUND(IF(C6&gt;0, ((0.0014*C6+13.97)/1.15)*(10^12)/(1000*29308)/1000000, 0),3)</f>
        <v>0</v>
      </c>
      <c r="D14" s="48">
        <f t="shared" ref="D14:J14" si="0">ROUND(IF(D6&gt;0, ((0.0014*D6+13.97)/1.15)*(10^12)/(1000*29308)/1000000, 0),3)</f>
        <v>0.41699999999999998</v>
      </c>
      <c r="E14" s="48">
        <f t="shared" si="0"/>
        <v>0.41599999999999998</v>
      </c>
      <c r="F14" s="48">
        <f t="shared" si="0"/>
        <v>0.41699999999999998</v>
      </c>
      <c r="G14" s="48">
        <f t="shared" si="0"/>
        <v>0.41699999999999998</v>
      </c>
      <c r="H14" s="48">
        <f t="shared" si="0"/>
        <v>0.41599999999999998</v>
      </c>
      <c r="I14" s="48">
        <f t="shared" si="0"/>
        <v>0.41699999999999998</v>
      </c>
      <c r="J14" s="48">
        <f t="shared" si="0"/>
        <v>0.41699999999999998</v>
      </c>
    </row>
    <row r="15" spans="1:38">
      <c r="A15" t="s">
        <v>141</v>
      </c>
      <c r="B15" s="48" t="s">
        <v>479</v>
      </c>
      <c r="C15" s="48">
        <f t="shared" ref="C15:J15" si="1">ROUND(IF(C7&gt;0, ((0.0014*C7+13.97)/1.15)*(10^12)/(1000*29308)/1000000, 0),3)</f>
        <v>0.41699999999999998</v>
      </c>
      <c r="D15" s="48">
        <f t="shared" si="1"/>
        <v>0</v>
      </c>
      <c r="E15" s="48">
        <f t="shared" si="1"/>
        <v>0.41799999999999998</v>
      </c>
      <c r="F15" s="48">
        <f t="shared" si="1"/>
        <v>0.41799999999999998</v>
      </c>
      <c r="G15" s="48">
        <f t="shared" si="1"/>
        <v>0.41799999999999998</v>
      </c>
      <c r="H15" s="48">
        <f t="shared" si="1"/>
        <v>0.41699999999999998</v>
      </c>
      <c r="I15" s="48">
        <f t="shared" si="1"/>
        <v>0.41699999999999998</v>
      </c>
      <c r="J15" s="48">
        <f t="shared" si="1"/>
        <v>0.41599999999999998</v>
      </c>
    </row>
    <row r="16" spans="1:38">
      <c r="A16" t="s">
        <v>141</v>
      </c>
      <c r="B16" s="48" t="s">
        <v>480</v>
      </c>
      <c r="C16" s="48">
        <f t="shared" ref="C16:J16" si="2">ROUND(IF(C8&gt;0, ((0.0014*C8+13.97)/1.15)*(10^12)/(1000*29308)/1000000, 0),3)</f>
        <v>0.41599999999999998</v>
      </c>
      <c r="D16" s="48">
        <f t="shared" si="2"/>
        <v>0.41799999999999998</v>
      </c>
      <c r="E16" s="48">
        <f t="shared" si="2"/>
        <v>0</v>
      </c>
      <c r="F16" s="48">
        <f t="shared" si="2"/>
        <v>0.41799999999999998</v>
      </c>
      <c r="G16" s="48">
        <f t="shared" si="2"/>
        <v>0.41599999999999998</v>
      </c>
      <c r="H16" s="48">
        <f t="shared" si="2"/>
        <v>0.41599999999999998</v>
      </c>
      <c r="I16" s="48">
        <f t="shared" si="2"/>
        <v>0.41799999999999998</v>
      </c>
      <c r="J16" s="48">
        <f t="shared" si="2"/>
        <v>0.41699999999999998</v>
      </c>
    </row>
    <row r="17" spans="1:10">
      <c r="A17" t="s">
        <v>141</v>
      </c>
      <c r="B17" s="48" t="s">
        <v>486</v>
      </c>
      <c r="C17" s="48">
        <f t="shared" ref="C17:J17" si="3">ROUND(IF(C9&gt;0, ((0.0014*C9+13.97)/1.15)*(10^12)/(1000*29308)/1000000, 0),3)</f>
        <v>0.41699999999999998</v>
      </c>
      <c r="D17" s="48">
        <f t="shared" si="3"/>
        <v>0.41799999999999998</v>
      </c>
      <c r="E17" s="48">
        <f t="shared" si="3"/>
        <v>0.41799999999999998</v>
      </c>
      <c r="F17" s="48">
        <f t="shared" si="3"/>
        <v>0</v>
      </c>
      <c r="G17" s="48">
        <f t="shared" si="3"/>
        <v>0.41599999999999998</v>
      </c>
      <c r="H17" s="48">
        <f t="shared" si="3"/>
        <v>0.41499999999999998</v>
      </c>
      <c r="I17" s="48">
        <f t="shared" si="3"/>
        <v>0.41599999999999998</v>
      </c>
      <c r="J17" s="48">
        <f t="shared" si="3"/>
        <v>0.41599999999999998</v>
      </c>
    </row>
    <row r="18" spans="1:10">
      <c r="A18" t="s">
        <v>141</v>
      </c>
      <c r="B18" s="48" t="s">
        <v>485</v>
      </c>
      <c r="C18" s="48">
        <f t="shared" ref="C18:J18" si="4">ROUND(IF(C10&gt;0, ((0.0014*C10+13.97)/1.15)*(10^12)/(1000*29308)/1000000, 0),3)</f>
        <v>0.41699999999999998</v>
      </c>
      <c r="D18" s="48">
        <f t="shared" si="4"/>
        <v>0.41799999999999998</v>
      </c>
      <c r="E18" s="48">
        <f t="shared" si="4"/>
        <v>0.41599999999999998</v>
      </c>
      <c r="F18" s="48">
        <f t="shared" si="4"/>
        <v>0.41599999999999998</v>
      </c>
      <c r="G18" s="48">
        <f t="shared" si="4"/>
        <v>0</v>
      </c>
      <c r="H18" s="48">
        <f t="shared" si="4"/>
        <v>0.41699999999999998</v>
      </c>
      <c r="I18" s="48">
        <f t="shared" si="4"/>
        <v>0.41799999999999998</v>
      </c>
      <c r="J18" s="48">
        <f t="shared" si="4"/>
        <v>0.41699999999999998</v>
      </c>
    </row>
    <row r="19" spans="1:10">
      <c r="A19" t="s">
        <v>141</v>
      </c>
      <c r="B19" s="48" t="s">
        <v>482</v>
      </c>
      <c r="C19" s="48">
        <f t="shared" ref="C19:J19" si="5">ROUND(IF(C11&gt;0, ((0.0014*C11+13.97)/1.15)*(10^12)/(1000*29308)/1000000, 0),3)</f>
        <v>0.41599999999999998</v>
      </c>
      <c r="D19" s="48">
        <f t="shared" si="5"/>
        <v>0.41699999999999998</v>
      </c>
      <c r="E19" s="48">
        <f t="shared" si="5"/>
        <v>0.41599999999999998</v>
      </c>
      <c r="F19" s="48">
        <f t="shared" si="5"/>
        <v>0.41499999999999998</v>
      </c>
      <c r="G19" s="48">
        <f t="shared" si="5"/>
        <v>0.41699999999999998</v>
      </c>
      <c r="H19" s="48">
        <f t="shared" si="5"/>
        <v>0</v>
      </c>
      <c r="I19" s="48">
        <f t="shared" si="5"/>
        <v>0.41499999999999998</v>
      </c>
      <c r="J19" s="48">
        <f t="shared" si="5"/>
        <v>0.41499999999999998</v>
      </c>
    </row>
    <row r="20" spans="1:10">
      <c r="A20" t="s">
        <v>141</v>
      </c>
      <c r="B20" s="48" t="s">
        <v>483</v>
      </c>
      <c r="C20" s="48">
        <f t="shared" ref="C20:J20" si="6">ROUND(IF(C12&gt;0, ((0.0014*C12+13.97)/1.15)*(10^12)/(1000*29308)/1000000, 0),3)</f>
        <v>0.41699999999999998</v>
      </c>
      <c r="D20" s="48">
        <f t="shared" si="6"/>
        <v>0.41699999999999998</v>
      </c>
      <c r="E20" s="48">
        <f t="shared" si="6"/>
        <v>0.41799999999999998</v>
      </c>
      <c r="F20" s="48">
        <f t="shared" si="6"/>
        <v>0.41599999999999998</v>
      </c>
      <c r="G20" s="48">
        <f t="shared" si="6"/>
        <v>0.41799999999999998</v>
      </c>
      <c r="H20" s="48">
        <f t="shared" si="6"/>
        <v>0.41499999999999998</v>
      </c>
      <c r="I20" s="48">
        <f t="shared" si="6"/>
        <v>0</v>
      </c>
      <c r="J20" s="48">
        <f t="shared" si="6"/>
        <v>0.41599999999999998</v>
      </c>
    </row>
    <row r="21" spans="1:10">
      <c r="A21" t="s">
        <v>141</v>
      </c>
      <c r="B21" s="48" t="s">
        <v>484</v>
      </c>
      <c r="C21" s="48">
        <f t="shared" ref="C21:J21" si="7">ROUND(IF(C13&gt;0, ((0.0014*C13+13.97)/1.15)*(10^12)/(1000*29308)/1000000, 0),3)</f>
        <v>0.41699999999999998</v>
      </c>
      <c r="D21" s="48">
        <f t="shared" si="7"/>
        <v>0.41599999999999998</v>
      </c>
      <c r="E21" s="48">
        <f t="shared" si="7"/>
        <v>0.41699999999999998</v>
      </c>
      <c r="F21" s="48">
        <f t="shared" si="7"/>
        <v>0.41599999999999998</v>
      </c>
      <c r="G21" s="48">
        <f t="shared" si="7"/>
        <v>0.41699999999999998</v>
      </c>
      <c r="H21" s="48">
        <f t="shared" si="7"/>
        <v>0.41499999999999998</v>
      </c>
      <c r="I21" s="48">
        <f t="shared" si="7"/>
        <v>0.41599999999999998</v>
      </c>
      <c r="J21" s="48">
        <f t="shared" si="7"/>
        <v>0</v>
      </c>
    </row>
    <row r="22" spans="1:10">
      <c r="A22" s="48" t="s">
        <v>138</v>
      </c>
      <c r="B22" s="48" t="s">
        <v>478</v>
      </c>
      <c r="C22" s="48">
        <f t="shared" ref="C22:C29" si="8">ROUND((EXP(7.032824+1*0.622482)*((C6/1.852)^ 0.40303))/(1.15*0.0059)/1000000,3)</f>
        <v>0</v>
      </c>
      <c r="D22" s="48">
        <f t="shared" ref="D22:J22" si="9">ROUND((EXP(7.032824+1*0.622482)*((D6/1.852)^ 0.40303))/(1.15*0.0059)/1000000,3)</f>
        <v>1.256</v>
      </c>
      <c r="E22" s="48">
        <f t="shared" si="9"/>
        <v>1.077</v>
      </c>
      <c r="F22" s="48">
        <f t="shared" si="9"/>
        <v>1.345</v>
      </c>
      <c r="G22" s="48">
        <f t="shared" si="9"/>
        <v>1.2390000000000001</v>
      </c>
      <c r="H22" s="48">
        <f t="shared" si="9"/>
        <v>1.1459999999999999</v>
      </c>
      <c r="I22" s="48">
        <f t="shared" si="9"/>
        <v>1.2589999999999999</v>
      </c>
      <c r="J22" s="48">
        <f t="shared" si="9"/>
        <v>1.23</v>
      </c>
    </row>
    <row r="23" spans="1:10">
      <c r="A23" t="s">
        <v>138</v>
      </c>
      <c r="B23" s="48" t="s">
        <v>479</v>
      </c>
      <c r="C23" s="48">
        <f t="shared" si="8"/>
        <v>1.256</v>
      </c>
      <c r="D23" s="48">
        <f t="shared" ref="D23:J28" si="10">ROUND((EXP(7.032824+1*0.622482)*((D7/1.852)^ 0.40303))/(1.15*0.0059)/1000000,3)</f>
        <v>0</v>
      </c>
      <c r="E23" s="48">
        <f t="shared" si="10"/>
        <v>1.389</v>
      </c>
      <c r="F23" s="48">
        <f t="shared" si="10"/>
        <v>1.4330000000000001</v>
      </c>
      <c r="G23" s="48">
        <f t="shared" si="10"/>
        <v>1.5069999999999999</v>
      </c>
      <c r="H23" s="48">
        <f t="shared" si="10"/>
        <v>1.2809999999999999</v>
      </c>
      <c r="I23" s="48">
        <f t="shared" si="10"/>
        <v>1.1870000000000001</v>
      </c>
      <c r="J23" s="48">
        <f t="shared" si="10"/>
        <v>1.083</v>
      </c>
    </row>
    <row r="24" spans="1:10">
      <c r="A24" t="s">
        <v>138</v>
      </c>
      <c r="B24" s="48" t="s">
        <v>480</v>
      </c>
      <c r="C24" s="48">
        <f>ROUND((EXP(7.032824+1*0.622482)*((C8/1.852)^ 0.40303))/(1.15*0.0059)/1000000,3)</f>
        <v>1.077</v>
      </c>
      <c r="D24" s="48">
        <f t="shared" si="10"/>
        <v>1.389</v>
      </c>
      <c r="E24" s="48">
        <f t="shared" si="10"/>
        <v>0</v>
      </c>
      <c r="F24" s="48">
        <f t="shared" si="10"/>
        <v>1.4570000000000001</v>
      </c>
      <c r="G24" s="48">
        <f t="shared" si="10"/>
        <v>0.89800000000000002</v>
      </c>
      <c r="H24" s="48">
        <f t="shared" si="10"/>
        <v>1.121</v>
      </c>
      <c r="I24" s="48">
        <f t="shared" si="10"/>
        <v>1.5069999999999999</v>
      </c>
      <c r="J24" s="48">
        <f t="shared" si="10"/>
        <v>1.331</v>
      </c>
    </row>
    <row r="25" spans="1:10">
      <c r="A25" t="s">
        <v>138</v>
      </c>
      <c r="B25" s="48" t="s">
        <v>486</v>
      </c>
      <c r="C25" s="48">
        <f t="shared" si="8"/>
        <v>1.345</v>
      </c>
      <c r="D25" s="48">
        <f t="shared" si="10"/>
        <v>1.4330000000000001</v>
      </c>
      <c r="E25" s="48">
        <f t="shared" si="10"/>
        <v>1.4570000000000001</v>
      </c>
      <c r="F25" s="48">
        <f t="shared" si="10"/>
        <v>0</v>
      </c>
      <c r="G25" s="48">
        <f t="shared" si="10"/>
        <v>1.1259999999999999</v>
      </c>
      <c r="H25" s="48">
        <f t="shared" si="10"/>
        <v>0.83799999999999997</v>
      </c>
      <c r="I25" s="48">
        <f t="shared" si="10"/>
        <v>1.08</v>
      </c>
      <c r="J25" s="48">
        <f t="shared" si="10"/>
        <v>1.0960000000000001</v>
      </c>
    </row>
    <row r="26" spans="1:10">
      <c r="A26" t="s">
        <v>138</v>
      </c>
      <c r="B26" s="48" t="s">
        <v>485</v>
      </c>
      <c r="C26" s="48">
        <f t="shared" si="8"/>
        <v>1.2390000000000001</v>
      </c>
      <c r="D26" s="48">
        <f t="shared" si="10"/>
        <v>1.5069999999999999</v>
      </c>
      <c r="E26" s="48">
        <f t="shared" si="10"/>
        <v>0.89800000000000002</v>
      </c>
      <c r="F26" s="48">
        <f t="shared" si="10"/>
        <v>1.1259999999999999</v>
      </c>
      <c r="G26" s="48">
        <f t="shared" si="10"/>
        <v>0</v>
      </c>
      <c r="H26" s="48">
        <f t="shared" si="10"/>
        <v>1.2529999999999999</v>
      </c>
      <c r="I26" s="48">
        <f t="shared" si="10"/>
        <v>1.407</v>
      </c>
      <c r="J26" s="48">
        <f t="shared" si="10"/>
        <v>1.3240000000000001</v>
      </c>
    </row>
    <row r="27" spans="1:10">
      <c r="A27" t="s">
        <v>138</v>
      </c>
      <c r="B27" s="48" t="s">
        <v>482</v>
      </c>
      <c r="C27" s="48">
        <f t="shared" si="8"/>
        <v>1.1459999999999999</v>
      </c>
      <c r="D27" s="48">
        <f t="shared" si="10"/>
        <v>1.2809999999999999</v>
      </c>
      <c r="E27" s="48">
        <f t="shared" si="10"/>
        <v>1.121</v>
      </c>
      <c r="F27" s="48">
        <f t="shared" si="10"/>
        <v>0.83799999999999997</v>
      </c>
      <c r="G27" s="48">
        <f t="shared" si="10"/>
        <v>1.2529999999999999</v>
      </c>
      <c r="H27" s="48">
        <f t="shared" si="10"/>
        <v>0</v>
      </c>
      <c r="I27" s="48">
        <f t="shared" si="10"/>
        <v>0.80400000000000005</v>
      </c>
      <c r="J27" s="48">
        <f t="shared" si="10"/>
        <v>0.80700000000000005</v>
      </c>
    </row>
    <row r="28" spans="1:10">
      <c r="A28" t="s">
        <v>138</v>
      </c>
      <c r="B28" s="48" t="s">
        <v>483</v>
      </c>
      <c r="C28" s="48">
        <f t="shared" si="8"/>
        <v>1.2589999999999999</v>
      </c>
      <c r="D28" s="48">
        <f t="shared" si="10"/>
        <v>1.1870000000000001</v>
      </c>
      <c r="E28" s="48">
        <f t="shared" si="10"/>
        <v>1.5069999999999999</v>
      </c>
      <c r="F28" s="48">
        <f t="shared" si="10"/>
        <v>1.08</v>
      </c>
      <c r="G28" s="48">
        <f t="shared" si="10"/>
        <v>1.407</v>
      </c>
      <c r="H28" s="48">
        <f t="shared" si="10"/>
        <v>0.80400000000000005</v>
      </c>
      <c r="I28" s="48">
        <f t="shared" si="10"/>
        <v>0</v>
      </c>
      <c r="J28" s="48">
        <f t="shared" si="10"/>
        <v>0.88100000000000001</v>
      </c>
    </row>
    <row r="29" spans="1:10">
      <c r="A29" t="s">
        <v>138</v>
      </c>
      <c r="B29" s="48" t="s">
        <v>484</v>
      </c>
      <c r="C29" s="48">
        <f t="shared" si="8"/>
        <v>1.23</v>
      </c>
      <c r="D29" s="48">
        <f t="shared" ref="D29:J29" si="11">ROUND((EXP(7.032824+1*0.622482)*((D13/1.852)^ 0.40303))/(1.15*0.0059)/1000000,3)</f>
        <v>1.083</v>
      </c>
      <c r="E29" s="48">
        <f t="shared" si="11"/>
        <v>1.331</v>
      </c>
      <c r="F29" s="48">
        <f t="shared" si="11"/>
        <v>1.0960000000000001</v>
      </c>
      <c r="G29" s="48">
        <f t="shared" si="11"/>
        <v>1.3240000000000001</v>
      </c>
      <c r="H29" s="48">
        <f t="shared" si="11"/>
        <v>0.80700000000000005</v>
      </c>
      <c r="I29" s="48">
        <f t="shared" si="11"/>
        <v>0.88100000000000001</v>
      </c>
      <c r="J29" s="48">
        <f t="shared" si="11"/>
        <v>0</v>
      </c>
    </row>
    <row r="30" spans="1:10">
      <c r="A30" s="48" t="s">
        <v>24</v>
      </c>
      <c r="B30" s="48" t="s">
        <v>478</v>
      </c>
      <c r="C30" s="48">
        <f>IF(C6&gt;0,0.01,0)</f>
        <v>0</v>
      </c>
      <c r="D30" s="48">
        <f t="shared" ref="D30:J30" si="12">IF(D6&gt;0,0.01,0)</f>
        <v>0.01</v>
      </c>
      <c r="E30" s="48">
        <f t="shared" si="12"/>
        <v>0.01</v>
      </c>
      <c r="F30" s="48">
        <f t="shared" si="12"/>
        <v>0.01</v>
      </c>
      <c r="G30" s="48">
        <f t="shared" si="12"/>
        <v>0.01</v>
      </c>
      <c r="H30" s="48">
        <f t="shared" si="12"/>
        <v>0.01</v>
      </c>
      <c r="I30" s="48">
        <f t="shared" si="12"/>
        <v>0.01</v>
      </c>
      <c r="J30" s="48">
        <f t="shared" si="12"/>
        <v>0.01</v>
      </c>
    </row>
    <row r="31" spans="1:10">
      <c r="A31" t="s">
        <v>24</v>
      </c>
      <c r="B31" s="48" t="s">
        <v>479</v>
      </c>
      <c r="C31" s="48">
        <f t="shared" ref="C31:J37" si="13">IF(C7&gt;0,0.01,0)</f>
        <v>0.01</v>
      </c>
      <c r="D31" s="48">
        <f t="shared" si="13"/>
        <v>0</v>
      </c>
      <c r="E31" s="48">
        <f t="shared" si="13"/>
        <v>0.01</v>
      </c>
      <c r="F31" s="48">
        <f t="shared" si="13"/>
        <v>0.01</v>
      </c>
      <c r="G31" s="48">
        <f t="shared" si="13"/>
        <v>0.01</v>
      </c>
      <c r="H31" s="48">
        <f t="shared" si="13"/>
        <v>0.01</v>
      </c>
      <c r="I31" s="48">
        <f t="shared" si="13"/>
        <v>0.01</v>
      </c>
      <c r="J31" s="48">
        <f t="shared" si="13"/>
        <v>0.01</v>
      </c>
    </row>
    <row r="32" spans="1:10">
      <c r="A32" t="s">
        <v>24</v>
      </c>
      <c r="B32" s="48" t="s">
        <v>480</v>
      </c>
      <c r="C32" s="48">
        <f t="shared" si="13"/>
        <v>0.01</v>
      </c>
      <c r="D32" s="48">
        <f t="shared" si="13"/>
        <v>0.01</v>
      </c>
      <c r="E32" s="48">
        <f t="shared" si="13"/>
        <v>0</v>
      </c>
      <c r="F32" s="48">
        <f t="shared" si="13"/>
        <v>0.01</v>
      </c>
      <c r="G32" s="48">
        <f t="shared" si="13"/>
        <v>0.01</v>
      </c>
      <c r="H32" s="48">
        <f t="shared" si="13"/>
        <v>0.01</v>
      </c>
      <c r="I32" s="48">
        <f t="shared" si="13"/>
        <v>0.01</v>
      </c>
      <c r="J32" s="48">
        <f t="shared" si="13"/>
        <v>0.01</v>
      </c>
    </row>
    <row r="33" spans="1:10">
      <c r="A33" t="s">
        <v>24</v>
      </c>
      <c r="B33" s="48" t="s">
        <v>486</v>
      </c>
      <c r="C33" s="48">
        <f t="shared" si="13"/>
        <v>0.01</v>
      </c>
      <c r="D33" s="48">
        <f t="shared" si="13"/>
        <v>0.01</v>
      </c>
      <c r="E33" s="48">
        <f t="shared" si="13"/>
        <v>0.01</v>
      </c>
      <c r="F33" s="48">
        <f t="shared" si="13"/>
        <v>0</v>
      </c>
      <c r="G33" s="48">
        <f t="shared" si="13"/>
        <v>0.01</v>
      </c>
      <c r="H33" s="48">
        <f t="shared" si="13"/>
        <v>0.01</v>
      </c>
      <c r="I33" s="48">
        <f t="shared" si="13"/>
        <v>0.01</v>
      </c>
      <c r="J33" s="48">
        <f t="shared" si="13"/>
        <v>0.01</v>
      </c>
    </row>
    <row r="34" spans="1:10">
      <c r="A34" t="s">
        <v>24</v>
      </c>
      <c r="B34" s="48" t="s">
        <v>485</v>
      </c>
      <c r="C34" s="48">
        <f t="shared" si="13"/>
        <v>0.01</v>
      </c>
      <c r="D34" s="48">
        <f t="shared" si="13"/>
        <v>0.01</v>
      </c>
      <c r="E34" s="48">
        <f t="shared" si="13"/>
        <v>0.01</v>
      </c>
      <c r="F34" s="48">
        <f t="shared" si="13"/>
        <v>0.01</v>
      </c>
      <c r="G34" s="48">
        <f t="shared" si="13"/>
        <v>0</v>
      </c>
      <c r="H34" s="48">
        <f t="shared" si="13"/>
        <v>0.01</v>
      </c>
      <c r="I34" s="48">
        <f t="shared" si="13"/>
        <v>0.01</v>
      </c>
      <c r="J34" s="48">
        <f t="shared" si="13"/>
        <v>0.01</v>
      </c>
    </row>
    <row r="35" spans="1:10">
      <c r="A35" t="s">
        <v>24</v>
      </c>
      <c r="B35" s="48" t="s">
        <v>482</v>
      </c>
      <c r="C35" s="48">
        <f t="shared" si="13"/>
        <v>0.01</v>
      </c>
      <c r="D35" s="48">
        <f t="shared" si="13"/>
        <v>0.01</v>
      </c>
      <c r="E35" s="48">
        <f t="shared" si="13"/>
        <v>0.01</v>
      </c>
      <c r="F35" s="48">
        <f t="shared" si="13"/>
        <v>0.01</v>
      </c>
      <c r="G35" s="48">
        <f t="shared" si="13"/>
        <v>0.01</v>
      </c>
      <c r="H35" s="48">
        <f t="shared" si="13"/>
        <v>0</v>
      </c>
      <c r="I35" s="48">
        <f t="shared" si="13"/>
        <v>0.01</v>
      </c>
      <c r="J35" s="48">
        <f t="shared" si="13"/>
        <v>0.01</v>
      </c>
    </row>
    <row r="36" spans="1:10">
      <c r="A36" t="s">
        <v>24</v>
      </c>
      <c r="B36" s="48" t="s">
        <v>483</v>
      </c>
      <c r="C36" s="48">
        <f t="shared" si="13"/>
        <v>0.01</v>
      </c>
      <c r="D36" s="48">
        <f t="shared" si="13"/>
        <v>0.01</v>
      </c>
      <c r="E36" s="48">
        <f t="shared" si="13"/>
        <v>0.01</v>
      </c>
      <c r="F36" s="48">
        <f t="shared" si="13"/>
        <v>0.01</v>
      </c>
      <c r="G36" s="48">
        <f t="shared" si="13"/>
        <v>0.01</v>
      </c>
      <c r="H36" s="48">
        <f t="shared" si="13"/>
        <v>0.01</v>
      </c>
      <c r="I36" s="48">
        <f t="shared" si="13"/>
        <v>0</v>
      </c>
      <c r="J36" s="48">
        <f t="shared" si="13"/>
        <v>0.01</v>
      </c>
    </row>
    <row r="37" spans="1:10">
      <c r="A37" t="s">
        <v>24</v>
      </c>
      <c r="B37" s="48" t="s">
        <v>484</v>
      </c>
      <c r="C37" s="48">
        <f t="shared" si="13"/>
        <v>0.01</v>
      </c>
      <c r="D37" s="48">
        <f t="shared" si="13"/>
        <v>0.01</v>
      </c>
      <c r="E37" s="48">
        <f t="shared" si="13"/>
        <v>0.01</v>
      </c>
      <c r="F37" s="48">
        <f t="shared" si="13"/>
        <v>0.01</v>
      </c>
      <c r="G37" s="48">
        <f t="shared" si="13"/>
        <v>0.01</v>
      </c>
      <c r="H37" s="48">
        <f t="shared" si="13"/>
        <v>0.01</v>
      </c>
      <c r="I37" s="48">
        <f t="shared" si="13"/>
        <v>0.01</v>
      </c>
      <c r="J37" s="48">
        <f t="shared" si="13"/>
        <v>0</v>
      </c>
    </row>
    <row r="38" spans="1:10">
      <c r="A38" s="48" t="s">
        <v>312</v>
      </c>
      <c r="B38" s="48" t="s">
        <v>478</v>
      </c>
      <c r="C38" s="48">
        <f t="shared" ref="C38:C45" si="14">ROUND((EXP(7.032824+1*0.622482)*((C6/1.852)^ 0.40303))/(1.15*0.0059)/1000000,3)</f>
        <v>0</v>
      </c>
      <c r="D38" s="48">
        <f t="shared" ref="D38:J38" si="15">ROUND((EXP(7.032824+1*0.622482)*((D6/1.852)^ 0.40303))/(1.15*0.0059)/1000000,3)</f>
        <v>1.256</v>
      </c>
      <c r="E38" s="48">
        <f t="shared" si="15"/>
        <v>1.077</v>
      </c>
      <c r="F38" s="48">
        <f t="shared" si="15"/>
        <v>1.345</v>
      </c>
      <c r="G38" s="48">
        <f t="shared" si="15"/>
        <v>1.2390000000000001</v>
      </c>
      <c r="H38" s="48">
        <f t="shared" si="15"/>
        <v>1.1459999999999999</v>
      </c>
      <c r="I38" s="48">
        <f t="shared" si="15"/>
        <v>1.2589999999999999</v>
      </c>
      <c r="J38" s="48">
        <f t="shared" si="15"/>
        <v>1.23</v>
      </c>
    </row>
    <row r="39" spans="1:10">
      <c r="A39" t="s">
        <v>312</v>
      </c>
      <c r="B39" s="48" t="s">
        <v>479</v>
      </c>
      <c r="C39" s="48">
        <f t="shared" si="14"/>
        <v>1.256</v>
      </c>
      <c r="D39" s="48">
        <f t="shared" ref="D39:J45" si="16">ROUND((EXP(7.032824+1*0.622482)*((D7/1.852)^ 0.40303))/(1.15*0.0059)/1000000,3)</f>
        <v>0</v>
      </c>
      <c r="E39" s="48">
        <f t="shared" si="16"/>
        <v>1.389</v>
      </c>
      <c r="F39" s="48">
        <f t="shared" si="16"/>
        <v>1.4330000000000001</v>
      </c>
      <c r="G39" s="48">
        <f t="shared" si="16"/>
        <v>1.5069999999999999</v>
      </c>
      <c r="H39" s="48">
        <f t="shared" si="16"/>
        <v>1.2809999999999999</v>
      </c>
      <c r="I39" s="48">
        <f t="shared" si="16"/>
        <v>1.1870000000000001</v>
      </c>
      <c r="J39" s="48">
        <f t="shared" si="16"/>
        <v>1.083</v>
      </c>
    </row>
    <row r="40" spans="1:10">
      <c r="A40" t="s">
        <v>312</v>
      </c>
      <c r="B40" s="48" t="s">
        <v>480</v>
      </c>
      <c r="C40" s="48">
        <f t="shared" si="14"/>
        <v>1.077</v>
      </c>
      <c r="D40" s="48">
        <f t="shared" si="16"/>
        <v>1.389</v>
      </c>
      <c r="E40" s="48">
        <f t="shared" si="16"/>
        <v>0</v>
      </c>
      <c r="F40" s="48">
        <f t="shared" si="16"/>
        <v>1.4570000000000001</v>
      </c>
      <c r="G40" s="48">
        <f t="shared" si="16"/>
        <v>0.89800000000000002</v>
      </c>
      <c r="H40" s="48">
        <f t="shared" si="16"/>
        <v>1.121</v>
      </c>
      <c r="I40" s="48">
        <f t="shared" si="16"/>
        <v>1.5069999999999999</v>
      </c>
      <c r="J40" s="48">
        <f t="shared" si="16"/>
        <v>1.331</v>
      </c>
    </row>
    <row r="41" spans="1:10">
      <c r="A41" t="s">
        <v>312</v>
      </c>
      <c r="B41" s="48" t="s">
        <v>486</v>
      </c>
      <c r="C41" s="48">
        <f t="shared" si="14"/>
        <v>1.345</v>
      </c>
      <c r="D41" s="48">
        <f t="shared" si="16"/>
        <v>1.4330000000000001</v>
      </c>
      <c r="E41" s="48">
        <f t="shared" si="16"/>
        <v>1.4570000000000001</v>
      </c>
      <c r="F41" s="48">
        <f t="shared" si="16"/>
        <v>0</v>
      </c>
      <c r="G41" s="48">
        <f t="shared" si="16"/>
        <v>1.1259999999999999</v>
      </c>
      <c r="H41" s="48">
        <f t="shared" si="16"/>
        <v>0.83799999999999997</v>
      </c>
      <c r="I41" s="48">
        <f t="shared" si="16"/>
        <v>1.08</v>
      </c>
      <c r="J41" s="48">
        <f t="shared" si="16"/>
        <v>1.0960000000000001</v>
      </c>
    </row>
    <row r="42" spans="1:10">
      <c r="A42" t="s">
        <v>312</v>
      </c>
      <c r="B42" s="48" t="s">
        <v>485</v>
      </c>
      <c r="C42" s="48">
        <f t="shared" si="14"/>
        <v>1.2390000000000001</v>
      </c>
      <c r="D42" s="48">
        <f t="shared" si="16"/>
        <v>1.5069999999999999</v>
      </c>
      <c r="E42" s="48">
        <f t="shared" si="16"/>
        <v>0.89800000000000002</v>
      </c>
      <c r="F42" s="48">
        <f t="shared" si="16"/>
        <v>1.1259999999999999</v>
      </c>
      <c r="G42" s="48">
        <f t="shared" si="16"/>
        <v>0</v>
      </c>
      <c r="H42" s="48">
        <f t="shared" si="16"/>
        <v>1.2529999999999999</v>
      </c>
      <c r="I42" s="48">
        <f t="shared" si="16"/>
        <v>1.407</v>
      </c>
      <c r="J42" s="48">
        <f t="shared" si="16"/>
        <v>1.3240000000000001</v>
      </c>
    </row>
    <row r="43" spans="1:10">
      <c r="A43" t="s">
        <v>312</v>
      </c>
      <c r="B43" s="48" t="s">
        <v>482</v>
      </c>
      <c r="C43" s="48">
        <f t="shared" si="14"/>
        <v>1.1459999999999999</v>
      </c>
      <c r="D43" s="48">
        <f t="shared" si="16"/>
        <v>1.2809999999999999</v>
      </c>
      <c r="E43" s="48">
        <f t="shared" si="16"/>
        <v>1.121</v>
      </c>
      <c r="F43" s="48">
        <f t="shared" si="16"/>
        <v>0.83799999999999997</v>
      </c>
      <c r="G43" s="48">
        <f t="shared" si="16"/>
        <v>1.2529999999999999</v>
      </c>
      <c r="H43" s="48">
        <f t="shared" si="16"/>
        <v>0</v>
      </c>
      <c r="I43" s="48">
        <f t="shared" si="16"/>
        <v>0.80400000000000005</v>
      </c>
      <c r="J43" s="48">
        <f t="shared" si="16"/>
        <v>0.80700000000000005</v>
      </c>
    </row>
    <row r="44" spans="1:10">
      <c r="A44" t="s">
        <v>312</v>
      </c>
      <c r="B44" s="48" t="s">
        <v>483</v>
      </c>
      <c r="C44" s="48">
        <f t="shared" si="14"/>
        <v>1.2589999999999999</v>
      </c>
      <c r="D44" s="48">
        <f t="shared" si="16"/>
        <v>1.1870000000000001</v>
      </c>
      <c r="E44" s="48">
        <f t="shared" si="16"/>
        <v>1.5069999999999999</v>
      </c>
      <c r="F44" s="48">
        <f t="shared" si="16"/>
        <v>1.08</v>
      </c>
      <c r="G44" s="48">
        <f t="shared" si="16"/>
        <v>1.407</v>
      </c>
      <c r="H44" s="48">
        <f t="shared" si="16"/>
        <v>0.80400000000000005</v>
      </c>
      <c r="I44" s="48">
        <f t="shared" si="16"/>
        <v>0</v>
      </c>
      <c r="J44" s="48">
        <f t="shared" si="16"/>
        <v>0.88100000000000001</v>
      </c>
    </row>
    <row r="45" spans="1:10">
      <c r="A45" t="s">
        <v>312</v>
      </c>
      <c r="B45" s="48" t="s">
        <v>484</v>
      </c>
      <c r="C45" s="48">
        <f t="shared" si="14"/>
        <v>1.23</v>
      </c>
      <c r="D45" s="48">
        <f t="shared" si="16"/>
        <v>1.083</v>
      </c>
      <c r="E45" s="48">
        <f t="shared" si="16"/>
        <v>1.331</v>
      </c>
      <c r="F45" s="48">
        <f t="shared" si="16"/>
        <v>1.0960000000000001</v>
      </c>
      <c r="G45" s="48">
        <f t="shared" si="16"/>
        <v>1.3240000000000001</v>
      </c>
      <c r="H45" s="48">
        <f t="shared" si="16"/>
        <v>0.80700000000000005</v>
      </c>
      <c r="I45" s="48">
        <f t="shared" si="16"/>
        <v>0.88100000000000001</v>
      </c>
      <c r="J45" s="48">
        <f t="shared" si="16"/>
        <v>0</v>
      </c>
    </row>
    <row r="46" spans="1:10">
      <c r="A46" s="48" t="s">
        <v>313</v>
      </c>
      <c r="B46" s="48" t="s">
        <v>478</v>
      </c>
      <c r="C46" s="48">
        <f>ROUND((EXP(7.032824+1*0.622482)*((C6/1.852)^ 0.40303))/(1.15*0.0059)/1000000,3)</f>
        <v>0</v>
      </c>
      <c r="D46" s="48">
        <f t="shared" ref="D46:J46" si="17">ROUND((EXP(7.032824+1*0.622482)*((D6/1.852)^ 0.40303))/(1.15*0.0059)/1000000,3)</f>
        <v>1.256</v>
      </c>
      <c r="E46" s="48">
        <f t="shared" si="17"/>
        <v>1.077</v>
      </c>
      <c r="F46" s="48">
        <f t="shared" si="17"/>
        <v>1.345</v>
      </c>
      <c r="G46" s="48">
        <f t="shared" si="17"/>
        <v>1.2390000000000001</v>
      </c>
      <c r="H46" s="48">
        <f t="shared" si="17"/>
        <v>1.1459999999999999</v>
      </c>
      <c r="I46" s="48">
        <f t="shared" si="17"/>
        <v>1.2589999999999999</v>
      </c>
      <c r="J46" s="48">
        <f t="shared" si="17"/>
        <v>1.23</v>
      </c>
    </row>
    <row r="47" spans="1:10">
      <c r="A47" t="s">
        <v>313</v>
      </c>
      <c r="B47" s="48" t="s">
        <v>479</v>
      </c>
      <c r="C47" s="48">
        <f t="shared" ref="C47:J53" si="18">ROUND((EXP(7.032824+1*0.622482)*((C7/1.852)^ 0.40303))/(1.15*0.0059)/1000000,3)</f>
        <v>1.256</v>
      </c>
      <c r="D47" s="48">
        <f t="shared" si="18"/>
        <v>0</v>
      </c>
      <c r="E47" s="48">
        <f t="shared" si="18"/>
        <v>1.389</v>
      </c>
      <c r="F47" s="48">
        <f t="shared" si="18"/>
        <v>1.4330000000000001</v>
      </c>
      <c r="G47" s="48">
        <f t="shared" si="18"/>
        <v>1.5069999999999999</v>
      </c>
      <c r="H47" s="48">
        <f t="shared" si="18"/>
        <v>1.2809999999999999</v>
      </c>
      <c r="I47" s="48">
        <f t="shared" si="18"/>
        <v>1.1870000000000001</v>
      </c>
      <c r="J47" s="48">
        <f t="shared" si="18"/>
        <v>1.083</v>
      </c>
    </row>
    <row r="48" spans="1:10">
      <c r="A48" t="s">
        <v>313</v>
      </c>
      <c r="B48" s="48" t="s">
        <v>480</v>
      </c>
      <c r="C48" s="48">
        <f t="shared" si="18"/>
        <v>1.077</v>
      </c>
      <c r="D48" s="48">
        <f t="shared" si="18"/>
        <v>1.389</v>
      </c>
      <c r="E48" s="48">
        <f t="shared" si="18"/>
        <v>0</v>
      </c>
      <c r="F48" s="48">
        <f t="shared" si="18"/>
        <v>1.4570000000000001</v>
      </c>
      <c r="G48" s="48">
        <f t="shared" si="18"/>
        <v>0.89800000000000002</v>
      </c>
      <c r="H48" s="48">
        <f t="shared" si="18"/>
        <v>1.121</v>
      </c>
      <c r="I48" s="48">
        <f t="shared" si="18"/>
        <v>1.5069999999999999</v>
      </c>
      <c r="J48" s="48">
        <f t="shared" si="18"/>
        <v>1.331</v>
      </c>
    </row>
    <row r="49" spans="1:32">
      <c r="A49" t="s">
        <v>313</v>
      </c>
      <c r="B49" s="48" t="s">
        <v>486</v>
      </c>
      <c r="C49" s="48">
        <f t="shared" si="18"/>
        <v>1.345</v>
      </c>
      <c r="D49" s="48">
        <f t="shared" si="18"/>
        <v>1.4330000000000001</v>
      </c>
      <c r="E49" s="48">
        <f t="shared" si="18"/>
        <v>1.4570000000000001</v>
      </c>
      <c r="F49" s="48">
        <f t="shared" si="18"/>
        <v>0</v>
      </c>
      <c r="G49" s="48">
        <f t="shared" si="18"/>
        <v>1.1259999999999999</v>
      </c>
      <c r="H49" s="48">
        <f t="shared" si="18"/>
        <v>0.83799999999999997</v>
      </c>
      <c r="I49" s="48">
        <f t="shared" si="18"/>
        <v>1.08</v>
      </c>
      <c r="J49" s="48">
        <f t="shared" si="18"/>
        <v>1.0960000000000001</v>
      </c>
    </row>
    <row r="50" spans="1:32">
      <c r="A50" t="s">
        <v>313</v>
      </c>
      <c r="B50" s="48" t="s">
        <v>485</v>
      </c>
      <c r="C50" s="48">
        <f t="shared" si="18"/>
        <v>1.2390000000000001</v>
      </c>
      <c r="D50" s="48">
        <f t="shared" si="18"/>
        <v>1.5069999999999999</v>
      </c>
      <c r="E50" s="48">
        <f t="shared" si="18"/>
        <v>0.89800000000000002</v>
      </c>
      <c r="F50" s="48">
        <f t="shared" si="18"/>
        <v>1.1259999999999999</v>
      </c>
      <c r="G50" s="48">
        <f t="shared" si="18"/>
        <v>0</v>
      </c>
      <c r="H50" s="48">
        <f t="shared" si="18"/>
        <v>1.2529999999999999</v>
      </c>
      <c r="I50" s="48">
        <f t="shared" si="18"/>
        <v>1.407</v>
      </c>
      <c r="J50" s="48">
        <f t="shared" si="18"/>
        <v>1.3240000000000001</v>
      </c>
    </row>
    <row r="51" spans="1:32">
      <c r="A51" t="s">
        <v>313</v>
      </c>
      <c r="B51" s="48" t="s">
        <v>482</v>
      </c>
      <c r="C51" s="48">
        <f t="shared" si="18"/>
        <v>1.1459999999999999</v>
      </c>
      <c r="D51" s="48">
        <f t="shared" si="18"/>
        <v>1.2809999999999999</v>
      </c>
      <c r="E51" s="48">
        <f t="shared" si="18"/>
        <v>1.121</v>
      </c>
      <c r="F51" s="48">
        <f t="shared" si="18"/>
        <v>0.83799999999999997</v>
      </c>
      <c r="G51" s="48">
        <f t="shared" si="18"/>
        <v>1.2529999999999999</v>
      </c>
      <c r="H51" s="48">
        <f t="shared" si="18"/>
        <v>0</v>
      </c>
      <c r="I51" s="48">
        <f t="shared" si="18"/>
        <v>0.80400000000000005</v>
      </c>
      <c r="J51" s="48">
        <f t="shared" si="18"/>
        <v>0.80700000000000005</v>
      </c>
    </row>
    <row r="52" spans="1:32">
      <c r="A52" t="s">
        <v>313</v>
      </c>
      <c r="B52" s="48" t="s">
        <v>483</v>
      </c>
      <c r="C52" s="48">
        <f t="shared" si="18"/>
        <v>1.2589999999999999</v>
      </c>
      <c r="D52" s="48">
        <f t="shared" si="18"/>
        <v>1.1870000000000001</v>
      </c>
      <c r="E52" s="48">
        <f t="shared" si="18"/>
        <v>1.5069999999999999</v>
      </c>
      <c r="F52" s="48">
        <f t="shared" si="18"/>
        <v>1.08</v>
      </c>
      <c r="G52" s="48">
        <f t="shared" si="18"/>
        <v>1.407</v>
      </c>
      <c r="H52" s="48">
        <f t="shared" si="18"/>
        <v>0.80400000000000005</v>
      </c>
      <c r="I52" s="48">
        <f t="shared" si="18"/>
        <v>0</v>
      </c>
      <c r="J52" s="48">
        <f t="shared" si="18"/>
        <v>0.88100000000000001</v>
      </c>
    </row>
    <row r="53" spans="1:32">
      <c r="A53" t="s">
        <v>313</v>
      </c>
      <c r="B53" s="48" t="s">
        <v>484</v>
      </c>
      <c r="C53" s="48">
        <f t="shared" si="18"/>
        <v>1.23</v>
      </c>
      <c r="D53" s="48">
        <f t="shared" si="18"/>
        <v>1.083</v>
      </c>
      <c r="E53" s="48">
        <f t="shared" si="18"/>
        <v>1.331</v>
      </c>
      <c r="F53" s="48">
        <f t="shared" si="18"/>
        <v>1.0960000000000001</v>
      </c>
      <c r="G53" s="48">
        <f t="shared" si="18"/>
        <v>1.3240000000000001</v>
      </c>
      <c r="H53" s="48">
        <f t="shared" si="18"/>
        <v>0.80700000000000005</v>
      </c>
      <c r="I53" s="48">
        <f t="shared" si="18"/>
        <v>0.88100000000000001</v>
      </c>
      <c r="J53" s="48">
        <f t="shared" si="18"/>
        <v>0</v>
      </c>
    </row>
    <row r="54" spans="1:32">
      <c r="A54" s="48" t="s">
        <v>270</v>
      </c>
      <c r="B54" s="48" t="s">
        <v>478</v>
      </c>
      <c r="C54" s="48">
        <f>ROUND((EXP(7.032824+1*0.622482)*((C6/1.852)^ 0.40303))/(1.15*0.0059)/1000000,3)</f>
        <v>0</v>
      </c>
      <c r="D54" s="48">
        <f t="shared" ref="D54:J54" si="19">ROUND((EXP(7.032824+1*0.622482)*((D6/1.852)^ 0.40303))/(1.15*0.0059)/1000000,3)</f>
        <v>1.256</v>
      </c>
      <c r="E54" s="48">
        <f t="shared" si="19"/>
        <v>1.077</v>
      </c>
      <c r="F54" s="48">
        <f t="shared" si="19"/>
        <v>1.345</v>
      </c>
      <c r="G54" s="48">
        <f t="shared" si="19"/>
        <v>1.2390000000000001</v>
      </c>
      <c r="H54" s="48">
        <f t="shared" si="19"/>
        <v>1.1459999999999999</v>
      </c>
      <c r="I54" s="48">
        <f t="shared" si="19"/>
        <v>1.2589999999999999</v>
      </c>
      <c r="J54" s="48">
        <f t="shared" si="19"/>
        <v>1.23</v>
      </c>
    </row>
    <row r="55" spans="1:32">
      <c r="A55" t="s">
        <v>270</v>
      </c>
      <c r="B55" s="48" t="s">
        <v>479</v>
      </c>
      <c r="C55" s="48">
        <f t="shared" ref="C55:J61" si="20">ROUND((EXP(7.032824+1*0.622482)*((C7/1.852)^ 0.40303))/(1.15*0.0059)/1000000,3)</f>
        <v>1.256</v>
      </c>
      <c r="D55" s="48">
        <f t="shared" si="20"/>
        <v>0</v>
      </c>
      <c r="E55" s="48">
        <f t="shared" si="20"/>
        <v>1.389</v>
      </c>
      <c r="F55" s="48">
        <f t="shared" si="20"/>
        <v>1.4330000000000001</v>
      </c>
      <c r="G55" s="48">
        <f t="shared" si="20"/>
        <v>1.5069999999999999</v>
      </c>
      <c r="H55" s="48">
        <f t="shared" si="20"/>
        <v>1.2809999999999999</v>
      </c>
      <c r="I55" s="48">
        <f t="shared" si="20"/>
        <v>1.1870000000000001</v>
      </c>
      <c r="J55" s="48">
        <f t="shared" si="20"/>
        <v>1.083</v>
      </c>
    </row>
    <row r="56" spans="1:32">
      <c r="A56" t="s">
        <v>270</v>
      </c>
      <c r="B56" s="48" t="s">
        <v>480</v>
      </c>
      <c r="C56" s="48">
        <f t="shared" si="20"/>
        <v>1.077</v>
      </c>
      <c r="D56" s="48">
        <f t="shared" si="20"/>
        <v>1.389</v>
      </c>
      <c r="E56" s="48">
        <f t="shared" si="20"/>
        <v>0</v>
      </c>
      <c r="F56" s="48">
        <f t="shared" si="20"/>
        <v>1.4570000000000001</v>
      </c>
      <c r="G56" s="48">
        <f t="shared" si="20"/>
        <v>0.89800000000000002</v>
      </c>
      <c r="H56" s="48">
        <f t="shared" si="20"/>
        <v>1.121</v>
      </c>
      <c r="I56" s="48">
        <f t="shared" si="20"/>
        <v>1.5069999999999999</v>
      </c>
      <c r="J56" s="48">
        <f t="shared" si="20"/>
        <v>1.331</v>
      </c>
    </row>
    <row r="57" spans="1:32">
      <c r="A57" t="s">
        <v>270</v>
      </c>
      <c r="B57" s="48" t="s">
        <v>486</v>
      </c>
      <c r="C57" s="48">
        <f t="shared" si="20"/>
        <v>1.345</v>
      </c>
      <c r="D57" s="48">
        <f t="shared" si="20"/>
        <v>1.4330000000000001</v>
      </c>
      <c r="E57" s="48">
        <f t="shared" si="20"/>
        <v>1.4570000000000001</v>
      </c>
      <c r="F57" s="48">
        <f t="shared" si="20"/>
        <v>0</v>
      </c>
      <c r="G57" s="48">
        <f t="shared" si="20"/>
        <v>1.1259999999999999</v>
      </c>
      <c r="H57" s="48">
        <f t="shared" si="20"/>
        <v>0.83799999999999997</v>
      </c>
      <c r="I57" s="48">
        <f t="shared" si="20"/>
        <v>1.08</v>
      </c>
      <c r="J57" s="48">
        <f t="shared" si="20"/>
        <v>1.0960000000000001</v>
      </c>
    </row>
    <row r="58" spans="1:32">
      <c r="A58" t="s">
        <v>270</v>
      </c>
      <c r="B58" s="48" t="s">
        <v>485</v>
      </c>
      <c r="C58" s="48">
        <f t="shared" si="20"/>
        <v>1.2390000000000001</v>
      </c>
      <c r="D58" s="48">
        <f t="shared" si="20"/>
        <v>1.5069999999999999</v>
      </c>
      <c r="E58" s="48">
        <f t="shared" si="20"/>
        <v>0.89800000000000002</v>
      </c>
      <c r="F58" s="48">
        <f t="shared" si="20"/>
        <v>1.1259999999999999</v>
      </c>
      <c r="G58" s="48">
        <f t="shared" si="20"/>
        <v>0</v>
      </c>
      <c r="H58" s="48">
        <f t="shared" si="20"/>
        <v>1.2529999999999999</v>
      </c>
      <c r="I58" s="48">
        <f t="shared" si="20"/>
        <v>1.407</v>
      </c>
      <c r="J58" s="48">
        <f t="shared" si="20"/>
        <v>1.3240000000000001</v>
      </c>
    </row>
    <row r="59" spans="1:32">
      <c r="A59" t="s">
        <v>270</v>
      </c>
      <c r="B59" s="48" t="s">
        <v>482</v>
      </c>
      <c r="C59" s="48">
        <f t="shared" si="20"/>
        <v>1.1459999999999999</v>
      </c>
      <c r="D59" s="48">
        <f t="shared" si="20"/>
        <v>1.2809999999999999</v>
      </c>
      <c r="E59" s="48">
        <f t="shared" si="20"/>
        <v>1.121</v>
      </c>
      <c r="F59" s="48">
        <f t="shared" si="20"/>
        <v>0.83799999999999997</v>
      </c>
      <c r="G59" s="48">
        <f t="shared" si="20"/>
        <v>1.2529999999999999</v>
      </c>
      <c r="H59" s="48">
        <f t="shared" si="20"/>
        <v>0</v>
      </c>
      <c r="I59" s="48">
        <f t="shared" si="20"/>
        <v>0.80400000000000005</v>
      </c>
      <c r="J59" s="48">
        <f t="shared" si="20"/>
        <v>0.80700000000000005</v>
      </c>
    </row>
    <row r="60" spans="1:32">
      <c r="A60" t="s">
        <v>270</v>
      </c>
      <c r="B60" s="48" t="s">
        <v>483</v>
      </c>
      <c r="C60" s="48">
        <f t="shared" si="20"/>
        <v>1.2589999999999999</v>
      </c>
      <c r="D60" s="48">
        <f t="shared" si="20"/>
        <v>1.1870000000000001</v>
      </c>
      <c r="E60" s="48">
        <f t="shared" si="20"/>
        <v>1.5069999999999999</v>
      </c>
      <c r="F60" s="48">
        <f t="shared" si="20"/>
        <v>1.08</v>
      </c>
      <c r="G60" s="48">
        <f t="shared" si="20"/>
        <v>1.407</v>
      </c>
      <c r="H60" s="48">
        <f t="shared" si="20"/>
        <v>0.80400000000000005</v>
      </c>
      <c r="I60" s="48">
        <f t="shared" si="20"/>
        <v>0</v>
      </c>
      <c r="J60" s="48">
        <f t="shared" si="20"/>
        <v>0.88100000000000001</v>
      </c>
    </row>
    <row r="61" spans="1:32">
      <c r="A61" t="s">
        <v>270</v>
      </c>
      <c r="B61" s="48" t="s">
        <v>484</v>
      </c>
      <c r="C61" s="48">
        <f t="shared" si="20"/>
        <v>1.23</v>
      </c>
      <c r="D61" s="48">
        <f t="shared" si="20"/>
        <v>1.083</v>
      </c>
      <c r="E61" s="48">
        <f t="shared" si="20"/>
        <v>1.331</v>
      </c>
      <c r="F61" s="48">
        <f t="shared" si="20"/>
        <v>1.0960000000000001</v>
      </c>
      <c r="G61" s="48">
        <f t="shared" si="20"/>
        <v>1.3240000000000001</v>
      </c>
      <c r="H61" s="48">
        <f t="shared" si="20"/>
        <v>0.80700000000000005</v>
      </c>
      <c r="I61" s="48">
        <f t="shared" si="20"/>
        <v>0.88100000000000001</v>
      </c>
      <c r="J61" s="48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34"/>
  <sheetViews>
    <sheetView workbookViewId="0">
      <selection activeCell="I10" sqref="I10"/>
    </sheetView>
  </sheetViews>
  <sheetFormatPr defaultColWidth="11.44140625" defaultRowHeight="14.4"/>
  <cols>
    <col min="1" max="1" width="12.88671875" customWidth="1"/>
    <col min="2" max="2" width="17.5546875" bestFit="1" customWidth="1"/>
    <col min="3" max="3" width="15.44140625" bestFit="1" customWidth="1"/>
    <col min="4" max="4" width="13" bestFit="1" customWidth="1"/>
    <col min="5" max="5" width="14.6640625" bestFit="1" customWidth="1"/>
    <col min="6" max="6" width="18.33203125" bestFit="1" customWidth="1"/>
    <col min="7" max="7" width="11.88671875" bestFit="1" customWidth="1"/>
    <col min="8" max="8" width="16.109375" bestFit="1" customWidth="1"/>
    <col min="9" max="9" width="19.88671875" bestFit="1" customWidth="1"/>
    <col min="10" max="10" width="15.5546875" bestFit="1" customWidth="1"/>
  </cols>
  <sheetData>
    <row r="1" spans="1:10">
      <c r="A1" t="s">
        <v>367</v>
      </c>
    </row>
    <row r="2" spans="1:10">
      <c r="A2" t="s">
        <v>177</v>
      </c>
    </row>
    <row r="3" spans="1:10">
      <c r="A3" t="s">
        <v>477</v>
      </c>
    </row>
    <row r="5" spans="1:10">
      <c r="C5" s="51" t="s">
        <v>478</v>
      </c>
      <c r="D5" s="51" t="s">
        <v>479</v>
      </c>
      <c r="E5" s="51" t="s">
        <v>480</v>
      </c>
      <c r="F5" s="51" t="s">
        <v>486</v>
      </c>
      <c r="G5" s="51" t="s">
        <v>485</v>
      </c>
      <c r="H5" s="51" t="s">
        <v>482</v>
      </c>
      <c r="I5" s="51" t="s">
        <v>483</v>
      </c>
      <c r="J5" s="51" t="s">
        <v>484</v>
      </c>
    </row>
    <row r="6" spans="1:10">
      <c r="C6" s="53">
        <v>2018</v>
      </c>
      <c r="D6" s="50">
        <v>2018</v>
      </c>
      <c r="E6" s="50">
        <v>2018</v>
      </c>
      <c r="F6" s="50">
        <v>2018</v>
      </c>
      <c r="G6" s="50">
        <v>2018</v>
      </c>
      <c r="H6" s="50">
        <v>2018</v>
      </c>
      <c r="I6" s="50">
        <v>2018</v>
      </c>
      <c r="J6" s="50">
        <v>2018</v>
      </c>
    </row>
    <row r="7" spans="1:10">
      <c r="A7" t="s">
        <v>24</v>
      </c>
      <c r="B7" s="48" t="s">
        <v>478</v>
      </c>
      <c r="C7" s="52">
        <v>0</v>
      </c>
      <c r="D7" s="46">
        <v>0</v>
      </c>
      <c r="E7" s="46">
        <v>0</v>
      </c>
      <c r="F7" s="46">
        <v>0</v>
      </c>
      <c r="G7" s="46">
        <v>5.2999999999999999E-2</v>
      </c>
      <c r="H7" s="46">
        <v>0</v>
      </c>
      <c r="I7" s="46">
        <v>0</v>
      </c>
      <c r="J7" s="46">
        <v>0</v>
      </c>
    </row>
    <row r="8" spans="1:10">
      <c r="A8" t="s">
        <v>24</v>
      </c>
      <c r="B8" s="48" t="s">
        <v>479</v>
      </c>
      <c r="C8" s="52">
        <v>0</v>
      </c>
      <c r="D8" s="46">
        <v>0</v>
      </c>
      <c r="E8" s="46">
        <v>0</v>
      </c>
      <c r="F8" s="46">
        <v>0</v>
      </c>
      <c r="G8" s="46">
        <v>0</v>
      </c>
      <c r="H8" s="46">
        <v>0</v>
      </c>
      <c r="I8" s="46">
        <v>0</v>
      </c>
      <c r="J8" s="46">
        <v>5.2999999999999999E-2</v>
      </c>
    </row>
    <row r="9" spans="1:10">
      <c r="A9" t="s">
        <v>24</v>
      </c>
      <c r="B9" s="48" t="s">
        <v>480</v>
      </c>
      <c r="C9" s="52">
        <v>0</v>
      </c>
      <c r="D9" s="46">
        <v>0</v>
      </c>
      <c r="E9" s="46">
        <v>0</v>
      </c>
      <c r="F9" s="46">
        <v>0</v>
      </c>
      <c r="G9" s="46">
        <v>5.2999999999999999E-2</v>
      </c>
      <c r="H9" s="46">
        <v>0</v>
      </c>
      <c r="I9" s="46">
        <v>0</v>
      </c>
      <c r="J9" s="46">
        <v>0</v>
      </c>
    </row>
    <row r="10" spans="1:10">
      <c r="A10" t="s">
        <v>24</v>
      </c>
      <c r="B10" s="48" t="s">
        <v>486</v>
      </c>
      <c r="C10" s="52">
        <v>0</v>
      </c>
      <c r="D10" s="46">
        <v>0</v>
      </c>
      <c r="E10" s="46">
        <v>0</v>
      </c>
      <c r="F10" s="46">
        <v>0</v>
      </c>
      <c r="G10" s="54">
        <v>0.106</v>
      </c>
      <c r="H10" s="46">
        <v>0.20699999999999999</v>
      </c>
      <c r="I10" s="46">
        <v>0</v>
      </c>
      <c r="J10" s="46">
        <v>0</v>
      </c>
    </row>
    <row r="11" spans="1:10">
      <c r="A11" t="s">
        <v>24</v>
      </c>
      <c r="B11" s="48" t="s">
        <v>485</v>
      </c>
      <c r="C11" s="46">
        <v>5.2999999999999999E-2</v>
      </c>
      <c r="D11" s="46">
        <v>0</v>
      </c>
      <c r="E11" s="46">
        <v>5.2999999999999999E-2</v>
      </c>
      <c r="F11" s="46">
        <v>5.2999999999999999E-2</v>
      </c>
      <c r="G11" s="46">
        <v>0</v>
      </c>
      <c r="H11" s="46">
        <v>0</v>
      </c>
      <c r="I11" s="46">
        <v>0</v>
      </c>
      <c r="J11" s="46">
        <v>0</v>
      </c>
    </row>
    <row r="12" spans="1:10">
      <c r="A12" t="s">
        <v>24</v>
      </c>
      <c r="B12" s="48" t="s">
        <v>482</v>
      </c>
      <c r="C12" s="52">
        <v>0</v>
      </c>
      <c r="D12" s="46">
        <v>0</v>
      </c>
      <c r="E12" s="46">
        <v>0</v>
      </c>
      <c r="F12" s="46">
        <v>7.0999999999999994E-2</v>
      </c>
      <c r="G12" s="46">
        <v>0</v>
      </c>
      <c r="H12" s="46">
        <v>0</v>
      </c>
      <c r="I12" s="46">
        <v>7.0999999999999994E-2</v>
      </c>
      <c r="J12" s="46">
        <v>8.3000000000000004E-2</v>
      </c>
    </row>
    <row r="13" spans="1:10">
      <c r="A13" t="s">
        <v>24</v>
      </c>
      <c r="B13" s="48" t="s">
        <v>483</v>
      </c>
      <c r="C13" s="52">
        <v>0</v>
      </c>
      <c r="D13" s="46">
        <v>0</v>
      </c>
      <c r="E13" s="46">
        <v>0</v>
      </c>
      <c r="F13" s="46">
        <v>0</v>
      </c>
      <c r="G13" s="46">
        <v>0</v>
      </c>
      <c r="H13" s="46">
        <v>7.0999999999999994E-2</v>
      </c>
      <c r="I13" s="46">
        <v>0</v>
      </c>
      <c r="J13" s="46">
        <v>0.154</v>
      </c>
    </row>
    <row r="14" spans="1:10">
      <c r="A14" t="s">
        <v>24</v>
      </c>
      <c r="B14" s="48" t="s">
        <v>484</v>
      </c>
      <c r="C14" s="52">
        <v>0</v>
      </c>
      <c r="D14" s="46">
        <v>5.2999999999999999E-2</v>
      </c>
      <c r="E14" s="46">
        <v>0</v>
      </c>
      <c r="F14" s="46">
        <v>0</v>
      </c>
      <c r="G14" s="46">
        <v>0</v>
      </c>
      <c r="H14" s="46">
        <v>8.3000000000000004E-2</v>
      </c>
      <c r="I14" s="46">
        <v>0.154</v>
      </c>
      <c r="J14" s="46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U54" sqref="U54"/>
    </sheetView>
  </sheetViews>
  <sheetFormatPr defaultColWidth="11.44140625" defaultRowHeight="14.4"/>
  <cols>
    <col min="1" max="1" width="7.88671875" customWidth="1"/>
    <col min="2" max="2" width="17.5546875" bestFit="1" customWidth="1"/>
    <col min="3" max="3" width="13.109375" bestFit="1" customWidth="1"/>
    <col min="4" max="4" width="10.6640625" bestFit="1" customWidth="1"/>
    <col min="5" max="5" width="12.44140625" bestFit="1" customWidth="1"/>
    <col min="6" max="6" width="16" bestFit="1" customWidth="1"/>
    <col min="7" max="7" width="9.5546875" bestFit="1" customWidth="1"/>
    <col min="8" max="8" width="13.88671875" bestFit="1" customWidth="1"/>
    <col min="9" max="9" width="17.5546875" bestFit="1" customWidth="1"/>
    <col min="10" max="10" width="15.5546875" bestFit="1" customWidth="1"/>
  </cols>
  <sheetData>
    <row r="1" spans="1:10">
      <c r="A1" t="s">
        <v>369</v>
      </c>
    </row>
    <row r="2" spans="1:10">
      <c r="A2" t="s">
        <v>370</v>
      </c>
    </row>
    <row r="3" spans="1:10">
      <c r="A3" t="s">
        <v>371</v>
      </c>
    </row>
    <row r="5" spans="1:10">
      <c r="C5" s="51" t="s">
        <v>478</v>
      </c>
      <c r="D5" s="51" t="s">
        <v>479</v>
      </c>
      <c r="E5" s="51" t="s">
        <v>480</v>
      </c>
      <c r="F5" s="51" t="s">
        <v>486</v>
      </c>
      <c r="G5" s="51" t="s">
        <v>485</v>
      </c>
      <c r="H5" s="51" t="s">
        <v>482</v>
      </c>
      <c r="I5" s="51" t="s">
        <v>483</v>
      </c>
      <c r="J5" s="51" t="s">
        <v>484</v>
      </c>
    </row>
    <row r="6" spans="1:10">
      <c r="A6" t="s">
        <v>24</v>
      </c>
      <c r="B6" s="48" t="s">
        <v>478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8" t="s">
        <v>479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8" t="s">
        <v>480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8" t="s">
        <v>486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8" t="s">
        <v>485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8" t="s">
        <v>482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8" t="s">
        <v>483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8" t="s">
        <v>484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D6" sqref="D6"/>
    </sheetView>
  </sheetViews>
  <sheetFormatPr defaultColWidth="11.44140625" defaultRowHeight="14.4"/>
  <cols>
    <col min="1" max="1" width="5" bestFit="1" customWidth="1"/>
    <col min="2" max="2" width="9" customWidth="1"/>
    <col min="3" max="3" width="17.5546875" bestFit="1" customWidth="1"/>
    <col min="4" max="4" width="13.109375" bestFit="1" customWidth="1"/>
    <col min="5" max="5" width="10.6640625" bestFit="1" customWidth="1"/>
    <col min="6" max="6" width="12.44140625" bestFit="1" customWidth="1"/>
    <col min="7" max="7" width="16" bestFit="1" customWidth="1"/>
    <col min="8" max="8" width="9.5546875" bestFit="1" customWidth="1"/>
    <col min="9" max="9" width="13.88671875" bestFit="1" customWidth="1"/>
    <col min="10" max="10" width="17.5546875" bestFit="1" customWidth="1"/>
    <col min="11" max="11" width="15.5546875" bestFit="1" customWidth="1"/>
  </cols>
  <sheetData>
    <row r="1" spans="1:11">
      <c r="A1" t="s">
        <v>374</v>
      </c>
    </row>
    <row r="2" spans="1:11">
      <c r="A2" t="s">
        <v>373</v>
      </c>
    </row>
    <row r="3" spans="1:11">
      <c r="A3" t="s">
        <v>372</v>
      </c>
    </row>
    <row r="5" spans="1:11">
      <c r="D5" s="48" t="s">
        <v>478</v>
      </c>
      <c r="E5" s="48" t="s">
        <v>479</v>
      </c>
      <c r="F5" s="48" t="s">
        <v>480</v>
      </c>
      <c r="G5" s="48" t="s">
        <v>486</v>
      </c>
      <c r="H5" s="48" t="s">
        <v>485</v>
      </c>
      <c r="I5" s="48" t="s">
        <v>482</v>
      </c>
      <c r="J5" s="48" t="s">
        <v>483</v>
      </c>
      <c r="K5" s="48" t="s">
        <v>484</v>
      </c>
    </row>
    <row r="6" spans="1:11">
      <c r="A6">
        <v>2018</v>
      </c>
      <c r="B6" t="s">
        <v>24</v>
      </c>
      <c r="C6" s="48" t="s">
        <v>478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8" t="s">
        <v>479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8" t="s">
        <v>480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8" t="s">
        <v>486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8" t="s">
        <v>485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8" t="s">
        <v>482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8" t="s">
        <v>483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8" t="s">
        <v>484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4140625" defaultRowHeight="14.4"/>
  <cols>
    <col min="1" max="1" width="24.44140625" customWidth="1"/>
  </cols>
  <sheetData>
    <row r="1" spans="1:11">
      <c r="A1" t="s">
        <v>375</v>
      </c>
    </row>
    <row r="2" spans="1:11">
      <c r="A2" t="s">
        <v>62</v>
      </c>
    </row>
    <row r="3" spans="1:11">
      <c r="A3" t="s">
        <v>378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topLeftCell="A16" workbookViewId="0">
      <selection activeCell="L33" sqref="L3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4">
      <c r="A1" t="s">
        <v>376</v>
      </c>
    </row>
    <row r="2" spans="1:14">
      <c r="A2" t="s">
        <v>377</v>
      </c>
    </row>
    <row r="3" spans="1:14">
      <c r="A3" t="s">
        <v>378</v>
      </c>
    </row>
    <row r="4" spans="1:14">
      <c r="L4" s="98"/>
      <c r="M4" s="98"/>
      <c r="N4" s="98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4140625" defaultRowHeight="14.4"/>
  <cols>
    <col min="1" max="2" width="25.44140625" customWidth="1"/>
    <col min="5" max="5" width="11.44140625" customWidth="1"/>
    <col min="10" max="11" width="11.44140625" customWidth="1"/>
  </cols>
  <sheetData>
    <row r="1" spans="1:10">
      <c r="A1" t="s">
        <v>379</v>
      </c>
    </row>
    <row r="2" spans="1:10">
      <c r="A2" t="s">
        <v>336</v>
      </c>
    </row>
    <row r="3" spans="1:10">
      <c r="A3" t="s">
        <v>378</v>
      </c>
    </row>
    <row r="5" spans="1:10">
      <c r="A5" t="s">
        <v>25</v>
      </c>
      <c r="B5" t="s">
        <v>324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284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318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319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320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321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322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435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C13" sqref="C13:D1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0">
      <c r="A1" t="s">
        <v>380</v>
      </c>
    </row>
    <row r="2" spans="1:10">
      <c r="A2" t="s">
        <v>63</v>
      </c>
    </row>
    <row r="3" spans="1:10">
      <c r="A3" t="s">
        <v>378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8" t="s">
        <v>478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48" t="s">
        <v>479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48" t="s">
        <v>480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48" t="s">
        <v>486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48" t="s">
        <v>485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48" t="s">
        <v>482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48" t="s">
        <v>483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48" t="s">
        <v>484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zoomScale="90" zoomScaleNormal="90" zoomScalePageLayoutView="90" workbookViewId="0">
      <selection activeCell="Q85" sqref="Q85"/>
    </sheetView>
  </sheetViews>
  <sheetFormatPr defaultColWidth="11.44140625" defaultRowHeight="14.4"/>
  <cols>
    <col min="2" max="2" width="23.44140625" customWidth="1"/>
  </cols>
  <sheetData>
    <row r="1" spans="1:12">
      <c r="A1" t="s">
        <v>384</v>
      </c>
    </row>
    <row r="2" spans="1:12">
      <c r="A2" t="s">
        <v>7</v>
      </c>
    </row>
    <row r="3" spans="1:12">
      <c r="A3" t="s">
        <v>383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483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483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483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483</v>
      </c>
      <c r="B14" s="2" t="s">
        <v>494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483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483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483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483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483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483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483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483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483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483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483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483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483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483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483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483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483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483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483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483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483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483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483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483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483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483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483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483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483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483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483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483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483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483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483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483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483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483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483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483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483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483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483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483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483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483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483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483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483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483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483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483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483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483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483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483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483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483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483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483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483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483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483</v>
      </c>
      <c r="B78" s="2" t="s">
        <v>316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483</v>
      </c>
      <c r="B79" s="2" t="s">
        <v>495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483</v>
      </c>
      <c r="B80" s="2" t="s">
        <v>317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483</v>
      </c>
      <c r="B81" t="s">
        <v>329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483</v>
      </c>
      <c r="B82" t="s">
        <v>330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483</v>
      </c>
      <c r="B83" t="s">
        <v>333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332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483</v>
      </c>
      <c r="B85" t="s">
        <v>436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483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483</v>
      </c>
      <c r="B88" t="s">
        <v>442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483</v>
      </c>
      <c r="B89" t="s">
        <v>440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483</v>
      </c>
      <c r="B90" t="s">
        <v>444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483</v>
      </c>
      <c r="B91" t="s">
        <v>445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483</v>
      </c>
      <c r="B92" t="s">
        <v>437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483</v>
      </c>
      <c r="B93" t="s">
        <v>438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483</v>
      </c>
      <c r="B94" t="s">
        <v>439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483</v>
      </c>
      <c r="B95" t="s">
        <v>443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483</v>
      </c>
      <c r="B96" t="s">
        <v>441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483</v>
      </c>
      <c r="B97" t="s">
        <v>436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483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483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442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483</v>
      </c>
      <c r="B101" t="s">
        <v>440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483</v>
      </c>
      <c r="B102" t="s">
        <v>444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483</v>
      </c>
      <c r="B103" t="s">
        <v>445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483</v>
      </c>
      <c r="B104" t="s">
        <v>437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483</v>
      </c>
      <c r="B105" t="s">
        <v>438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483</v>
      </c>
      <c r="B106" t="s">
        <v>439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483</v>
      </c>
      <c r="B107" t="s">
        <v>443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483</v>
      </c>
      <c r="B108" t="s">
        <v>441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483</v>
      </c>
      <c r="B109" t="s">
        <v>446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483</v>
      </c>
      <c r="B110" t="s">
        <v>446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449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451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450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zoomScale="90" zoomScaleNormal="90" zoomScalePageLayoutView="90" workbookViewId="0">
      <selection activeCell="N14" sqref="N14"/>
    </sheetView>
  </sheetViews>
  <sheetFormatPr defaultColWidth="11.44140625" defaultRowHeight="14.4"/>
  <cols>
    <col min="2" max="2" width="23.44140625" customWidth="1"/>
  </cols>
  <sheetData>
    <row r="1" spans="1:11">
      <c r="A1" t="s">
        <v>381</v>
      </c>
    </row>
    <row r="2" spans="1:11">
      <c r="A2" t="s">
        <v>337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483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483</v>
      </c>
      <c r="B12" s="2" t="s">
        <v>494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483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483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483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483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483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483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483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483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483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483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483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483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483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483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483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483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483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483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483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483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483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483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483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483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483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483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483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483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483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483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483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483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483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483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483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483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483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483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483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483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483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483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483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483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483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483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483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483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483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483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483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483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483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483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483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483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483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483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483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483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483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483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483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483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483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483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483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483</v>
      </c>
      <c r="B81" s="2" t="s">
        <v>316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483</v>
      </c>
      <c r="B82" s="2" t="s">
        <v>495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483</v>
      </c>
      <c r="B83" s="2" t="s">
        <v>317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483</v>
      </c>
      <c r="B84" t="s">
        <v>329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483</v>
      </c>
      <c r="B85" t="s">
        <v>330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483</v>
      </c>
      <c r="B86" t="s">
        <v>436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483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483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483</v>
      </c>
      <c r="B89" t="s">
        <v>442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483</v>
      </c>
      <c r="B90" t="s">
        <v>440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483</v>
      </c>
      <c r="B91" t="s">
        <v>444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483</v>
      </c>
      <c r="B92" t="s">
        <v>445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483</v>
      </c>
      <c r="B93" t="s">
        <v>437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483</v>
      </c>
      <c r="B94" t="s">
        <v>438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483</v>
      </c>
      <c r="B95" t="s">
        <v>439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483</v>
      </c>
      <c r="B96" t="s">
        <v>443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483</v>
      </c>
      <c r="B97" t="s">
        <v>441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483</v>
      </c>
      <c r="B98" t="s">
        <v>446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483</v>
      </c>
      <c r="B99" t="s">
        <v>449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483</v>
      </c>
      <c r="B100" t="s">
        <v>451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483</v>
      </c>
      <c r="B101" t="s">
        <v>450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E21" sqref="E21"/>
    </sheetView>
  </sheetViews>
  <sheetFormatPr defaultColWidth="11.44140625" defaultRowHeight="14.4"/>
  <cols>
    <col min="1" max="1" width="17.5546875" customWidth="1"/>
  </cols>
  <sheetData>
    <row r="1" spans="1:3">
      <c r="A1" t="s">
        <v>386</v>
      </c>
    </row>
    <row r="2" spans="1:3">
      <c r="A2" t="s">
        <v>338</v>
      </c>
    </row>
    <row r="3" spans="1:3">
      <c r="A3" t="s">
        <v>387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312</v>
      </c>
      <c r="B11" t="s">
        <v>0</v>
      </c>
      <c r="C11">
        <f>C7</f>
        <v>5.6099999999999997E-2</v>
      </c>
    </row>
    <row r="12" spans="1:3">
      <c r="A12" t="s">
        <v>334</v>
      </c>
      <c r="B12" t="s">
        <v>0</v>
      </c>
      <c r="C12">
        <v>1</v>
      </c>
    </row>
    <row r="13" spans="1:3">
      <c r="A13" t="s">
        <v>335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J37" sqref="J37"/>
    </sheetView>
  </sheetViews>
  <sheetFormatPr defaultColWidth="11.44140625" defaultRowHeight="14.4"/>
  <cols>
    <col min="1" max="1" width="42.44140625" customWidth="1"/>
    <col min="2" max="2" width="21.44140625" customWidth="1"/>
    <col min="3" max="3" width="17.44140625" customWidth="1"/>
    <col min="4" max="4" width="20.44140625" customWidth="1"/>
    <col min="5" max="5" width="17.44140625" customWidth="1"/>
    <col min="6" max="6" width="20.44140625" customWidth="1"/>
    <col min="7" max="7" width="17.44140625" customWidth="1"/>
    <col min="8" max="8" width="20.44140625" customWidth="1"/>
    <col min="9" max="9" width="17.44140625" customWidth="1"/>
    <col min="10" max="10" width="20.44140625" customWidth="1"/>
    <col min="11" max="11" width="5" customWidth="1"/>
    <col min="12" max="12" width="23.44140625" customWidth="1"/>
    <col min="13" max="14" width="16.44140625" customWidth="1"/>
    <col min="15" max="15" width="13.44140625" customWidth="1"/>
  </cols>
  <sheetData>
    <row r="1" spans="1:10">
      <c r="A1" t="s">
        <v>389</v>
      </c>
    </row>
    <row r="2" spans="1:10">
      <c r="A2" t="s">
        <v>8</v>
      </c>
      <c r="B2" s="24"/>
    </row>
    <row r="3" spans="1:10">
      <c r="A3" t="s">
        <v>388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8" t="s">
        <v>478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8" t="s">
        <v>479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8" t="s">
        <v>480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8" t="s">
        <v>486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8" t="s">
        <v>485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8" t="s">
        <v>482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8" t="s">
        <v>483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8" t="s">
        <v>484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>
    <tabColor theme="5" tint="0.59999389629810485"/>
  </sheetPr>
  <dimension ref="A1:J61"/>
  <sheetViews>
    <sheetView zoomScale="90" zoomScaleNormal="90" zoomScalePageLayoutView="90" workbookViewId="0">
      <pane xSplit="2" ySplit="5" topLeftCell="C38" activePane="bottomRight" state="frozen"/>
      <selection pane="topRight" activeCell="C1" sqref="C1"/>
      <selection pane="bottomLeft" activeCell="A6" sqref="A6"/>
      <selection pane="bottomRight" activeCell="Q46" sqref="Q46"/>
    </sheetView>
  </sheetViews>
  <sheetFormatPr defaultColWidth="11.44140625" defaultRowHeight="14.4"/>
  <cols>
    <col min="1" max="1" width="17.44140625" customWidth="1"/>
    <col min="2" max="2" width="25.44140625" customWidth="1"/>
    <col min="3" max="3" width="21.44140625" customWidth="1"/>
    <col min="4" max="4" width="18.44140625" customWidth="1"/>
    <col min="6" max="13" width="13.44140625" customWidth="1"/>
  </cols>
  <sheetData>
    <row r="1" spans="1:10">
      <c r="A1" t="s">
        <v>392</v>
      </c>
      <c r="G1" s="57" t="s">
        <v>499</v>
      </c>
    </row>
    <row r="2" spans="1:10">
      <c r="A2" t="s">
        <v>339</v>
      </c>
    </row>
    <row r="3" spans="1:10">
      <c r="A3" t="s">
        <v>391</v>
      </c>
    </row>
    <row r="5" spans="1:10">
      <c r="A5" t="s">
        <v>20</v>
      </c>
      <c r="B5" t="s">
        <v>21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</row>
    <row r="6" spans="1:10">
      <c r="A6" t="s">
        <v>478</v>
      </c>
      <c r="B6" t="s">
        <v>209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</row>
    <row r="7" spans="1:10">
      <c r="A7" t="s">
        <v>478</v>
      </c>
      <c r="B7" t="s">
        <v>207</v>
      </c>
      <c r="C7" s="19">
        <v>0.38206425203944566</v>
      </c>
      <c r="D7" s="19">
        <v>0.36524185059197178</v>
      </c>
      <c r="E7" s="19">
        <v>0.36514218946720761</v>
      </c>
      <c r="F7" s="19">
        <v>0.3652462190062607</v>
      </c>
      <c r="G7" s="19">
        <v>0.36535115941199875</v>
      </c>
      <c r="H7" s="19">
        <v>0.36545700621390398</v>
      </c>
      <c r="I7" s="19">
        <v>0.36556375497428956</v>
      </c>
      <c r="J7" s="19">
        <v>0.36567140128797943</v>
      </c>
    </row>
    <row r="8" spans="1:10">
      <c r="A8" t="s">
        <v>478</v>
      </c>
      <c r="B8" t="s">
        <v>271</v>
      </c>
      <c r="C8" s="19">
        <v>1.6738265160307655E-2</v>
      </c>
      <c r="D8" s="19">
        <v>2.1115590110457955E-2</v>
      </c>
      <c r="E8" s="19">
        <v>2.0953065814688716E-2</v>
      </c>
      <c r="F8" s="19">
        <v>2.112271398606759E-2</v>
      </c>
      <c r="G8" s="19">
        <v>2.1293847570809665E-2</v>
      </c>
      <c r="H8" s="19">
        <v>2.1466459278531962E-2</v>
      </c>
      <c r="I8" s="19">
        <v>2.164054187239154E-2</v>
      </c>
      <c r="J8" s="19">
        <v>2.1816088168562699E-2</v>
      </c>
    </row>
    <row r="9" spans="1:10">
      <c r="A9" t="s">
        <v>478</v>
      </c>
      <c r="B9" t="s">
        <v>208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</row>
    <row r="10" spans="1:10">
      <c r="A10" t="s">
        <v>478</v>
      </c>
      <c r="B10" t="s">
        <v>145</v>
      </c>
      <c r="C10" s="19"/>
      <c r="D10" s="19"/>
      <c r="E10" s="19"/>
      <c r="F10" s="19"/>
      <c r="G10" s="19"/>
      <c r="H10" s="19"/>
      <c r="I10" s="19"/>
      <c r="J10" s="19"/>
    </row>
    <row r="11" spans="1:10">
      <c r="A11" s="58" t="s">
        <v>478</v>
      </c>
      <c r="B11" s="58" t="s">
        <v>24</v>
      </c>
      <c r="C11" s="59">
        <v>0.12168403538970626</v>
      </c>
      <c r="D11" s="59">
        <v>0.12061632618552527</v>
      </c>
      <c r="E11" s="59">
        <v>0.1183230981505675</v>
      </c>
      <c r="F11" s="59">
        <v>0.12071684451841973</v>
      </c>
      <c r="G11" s="59">
        <v>0.12313155016224894</v>
      </c>
      <c r="H11" s="59">
        <v>0.12556711221429281</v>
      </c>
      <c r="I11" s="59">
        <v>0.12802342856224225</v>
      </c>
      <c r="J11" s="59">
        <v>0.13050039784186487</v>
      </c>
    </row>
    <row r="12" spans="1:10">
      <c r="A12" t="s">
        <v>479</v>
      </c>
      <c r="B12" t="s">
        <v>209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</row>
    <row r="13" spans="1:10">
      <c r="A13" t="s">
        <v>479</v>
      </c>
      <c r="B13" t="s">
        <v>207</v>
      </c>
      <c r="C13" s="19">
        <v>7.0591673819742507E-4</v>
      </c>
      <c r="D13" s="19">
        <v>6.329565327788299E-4</v>
      </c>
      <c r="E13" s="19">
        <v>6.2092239352271093E-4</v>
      </c>
      <c r="F13" s="19">
        <v>6.3348402136583707E-4</v>
      </c>
      <c r="G13" s="19">
        <v>6.4615563689530281E-4</v>
      </c>
      <c r="H13" s="19">
        <v>6.5893670029345457E-4</v>
      </c>
      <c r="I13" s="19">
        <v>6.7182667570702044E-4</v>
      </c>
      <c r="J13" s="19">
        <v>6.8482503120839819E-4</v>
      </c>
    </row>
    <row r="14" spans="1:10">
      <c r="A14" t="s">
        <v>479</v>
      </c>
      <c r="B14" t="s">
        <v>271</v>
      </c>
      <c r="C14" s="19">
        <v>2.2417310893003894E-3</v>
      </c>
      <c r="D14" s="19">
        <v>2.7212189860177428E-3</v>
      </c>
      <c r="E14" s="19">
        <v>2.701594082000072E-3</v>
      </c>
      <c r="F14" s="19">
        <v>2.722079198175016E-3</v>
      </c>
      <c r="G14" s="19">
        <v>2.7427436788846063E-3</v>
      </c>
      <c r="H14" s="19">
        <v>2.7635866438108234E-3</v>
      </c>
      <c r="I14" s="19">
        <v>2.7846072191006379E-3</v>
      </c>
      <c r="J14" s="19">
        <v>2.8058045373028852E-3</v>
      </c>
    </row>
    <row r="15" spans="1:10">
      <c r="A15" t="s">
        <v>479</v>
      </c>
      <c r="B15" t="s">
        <v>208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</row>
    <row r="16" spans="1:10">
      <c r="A16" t="s">
        <v>479</v>
      </c>
      <c r="B16" t="s">
        <v>145</v>
      </c>
      <c r="C16" s="19"/>
      <c r="D16" s="19"/>
      <c r="E16" s="19"/>
      <c r="F16" s="19"/>
      <c r="G16" s="19"/>
      <c r="H16" s="19"/>
      <c r="I16" s="19"/>
      <c r="J16" s="19"/>
    </row>
    <row r="17" spans="1:10">
      <c r="A17" s="58" t="s">
        <v>479</v>
      </c>
      <c r="B17" s="58" t="s">
        <v>24</v>
      </c>
      <c r="C17" s="59">
        <v>1.6243325150214597E-2</v>
      </c>
      <c r="D17" s="59">
        <v>1.4564492115787742E-2</v>
      </c>
      <c r="E17" s="59">
        <v>1.4287583485827711E-2</v>
      </c>
      <c r="F17" s="59">
        <v>1.4576629763428261E-2</v>
      </c>
      <c r="G17" s="59">
        <v>1.4868206885893454E-2</v>
      </c>
      <c r="H17" s="59">
        <v>1.5162302431880673E-2</v>
      </c>
      <c r="I17" s="59">
        <v>1.5458904071268717E-2</v>
      </c>
      <c r="J17" s="59">
        <v>1.5757999564267093E-2</v>
      </c>
    </row>
    <row r="18" spans="1:10">
      <c r="A18" t="s">
        <v>480</v>
      </c>
      <c r="B18" t="s">
        <v>209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</row>
    <row r="19" spans="1:10">
      <c r="A19" t="s">
        <v>480</v>
      </c>
      <c r="B19" t="s">
        <v>207</v>
      </c>
      <c r="C19" s="19">
        <v>1.429142561347181E-3</v>
      </c>
      <c r="D19" s="19">
        <v>1.4090291114307288E-3</v>
      </c>
      <c r="E19" s="19">
        <v>1.3822398270727011E-3</v>
      </c>
      <c r="F19" s="19">
        <v>1.410203357585954E-3</v>
      </c>
      <c r="G19" s="19">
        <v>1.4384117324825502E-3</v>
      </c>
      <c r="H19" s="19">
        <v>1.466863750070511E-3</v>
      </c>
      <c r="I19" s="19">
        <v>1.495558217482994E-3</v>
      </c>
      <c r="J19" s="19">
        <v>1.5244939505921218E-3</v>
      </c>
    </row>
    <row r="20" spans="1:10">
      <c r="A20" t="s">
        <v>480</v>
      </c>
      <c r="B20" t="s">
        <v>271</v>
      </c>
      <c r="C20" s="19">
        <v>4.2626614942368295E-3</v>
      </c>
      <c r="D20" s="19">
        <v>5.2901378068715144E-3</v>
      </c>
      <c r="E20" s="19">
        <v>5.2464506662261165E-3</v>
      </c>
      <c r="F20" s="19">
        <v>5.2920527313708044E-3</v>
      </c>
      <c r="G20" s="19">
        <v>5.338054081202177E-3</v>
      </c>
      <c r="H20" s="19">
        <v>5.3844527560379281E-3</v>
      </c>
      <c r="I20" s="19">
        <v>5.4312468105875162E-3</v>
      </c>
      <c r="J20" s="19">
        <v>5.478434313811632E-3</v>
      </c>
    </row>
    <row r="21" spans="1:10">
      <c r="A21" t="s">
        <v>480</v>
      </c>
      <c r="B21" t="s">
        <v>208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</row>
    <row r="22" spans="1:10">
      <c r="A22" t="s">
        <v>480</v>
      </c>
      <c r="B22" t="s">
        <v>145</v>
      </c>
      <c r="C22" s="19"/>
      <c r="D22" s="19"/>
      <c r="E22" s="19"/>
      <c r="F22" s="19"/>
      <c r="G22" s="19"/>
      <c r="H22" s="19"/>
      <c r="I22" s="19"/>
      <c r="J22" s="19"/>
    </row>
    <row r="23" spans="1:10">
      <c r="A23" s="58" t="s">
        <v>480</v>
      </c>
      <c r="B23" s="58" t="s">
        <v>24</v>
      </c>
      <c r="C23" s="59">
        <v>3.2884936783409237E-2</v>
      </c>
      <c r="D23" s="59">
        <v>3.2422121143536813E-2</v>
      </c>
      <c r="E23" s="59">
        <v>3.180569284141134E-2</v>
      </c>
      <c r="F23" s="59">
        <v>3.2449140848657312E-2</v>
      </c>
      <c r="G23" s="59">
        <v>3.3098222787944637E-2</v>
      </c>
      <c r="H23" s="59">
        <v>3.3752911008032724E-2</v>
      </c>
      <c r="I23" s="59">
        <v>3.4413178060749713E-2</v>
      </c>
      <c r="J23" s="59">
        <v>3.507899669900949E-2</v>
      </c>
    </row>
    <row r="24" spans="1:10">
      <c r="A24" t="s">
        <v>486</v>
      </c>
      <c r="B24" t="s">
        <v>209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</row>
    <row r="25" spans="1:10">
      <c r="A25" t="s">
        <v>486</v>
      </c>
      <c r="B25" t="s">
        <v>207</v>
      </c>
      <c r="C25" s="19">
        <v>7.6770335609212786E-2</v>
      </c>
      <c r="D25" s="19">
        <v>7.5208518126104545E-2</v>
      </c>
      <c r="E25" s="19">
        <v>7.4531508183648815E-2</v>
      </c>
      <c r="F25" s="19">
        <v>7.5238193286939509E-2</v>
      </c>
      <c r="G25" s="19">
        <v>7.5951066016583468E-2</v>
      </c>
      <c r="H25" s="19">
        <v>7.6670096003817995E-2</v>
      </c>
      <c r="I25" s="19">
        <v>7.7395253102906486E-2</v>
      </c>
      <c r="J25" s="19">
        <v>7.8126507388960417E-2</v>
      </c>
    </row>
    <row r="26" spans="1:10">
      <c r="A26" t="s">
        <v>486</v>
      </c>
      <c r="B26" t="s">
        <v>271</v>
      </c>
      <c r="C26" s="19">
        <v>0.11697577468310941</v>
      </c>
      <c r="D26" s="19">
        <v>0.14935853838460533</v>
      </c>
      <c r="E26" s="19">
        <v>0.14825449140152366</v>
      </c>
      <c r="F26" s="19">
        <v>0.14940693172381311</v>
      </c>
      <c r="G26" s="19">
        <v>0.15056946263677093</v>
      </c>
      <c r="H26" s="19">
        <v>0.1517420346159534</v>
      </c>
      <c r="I26" s="19">
        <v>0.15292459850062076</v>
      </c>
      <c r="J26" s="19">
        <v>0.15411710549018565</v>
      </c>
    </row>
    <row r="27" spans="1:10">
      <c r="A27" t="s">
        <v>486</v>
      </c>
      <c r="B27" t="s">
        <v>208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</row>
    <row r="28" spans="1:10">
      <c r="A28" t="s">
        <v>486</v>
      </c>
      <c r="B28" t="s">
        <v>145</v>
      </c>
      <c r="C28" s="19"/>
      <c r="D28" s="19"/>
      <c r="E28" s="19"/>
      <c r="F28" s="19"/>
      <c r="G28" s="19"/>
      <c r="H28" s="19"/>
      <c r="I28" s="19"/>
      <c r="J28" s="19"/>
    </row>
    <row r="29" spans="1:10">
      <c r="A29" s="58" t="s">
        <v>486</v>
      </c>
      <c r="B29" s="58" t="s">
        <v>24</v>
      </c>
      <c r="C29" s="59">
        <v>0.81885070706942453</v>
      </c>
      <c r="D29" s="59">
        <v>0.81936113247092868</v>
      </c>
      <c r="E29" s="59">
        <v>0.8037829601027292</v>
      </c>
      <c r="F29" s="59">
        <v>0.82004396553075676</v>
      </c>
      <c r="G29" s="59">
        <v>0.83644734982774349</v>
      </c>
      <c r="H29" s="59">
        <v>0.85299241420067351</v>
      </c>
      <c r="I29" s="59">
        <v>0.86967846498841717</v>
      </c>
      <c r="J29" s="59">
        <v>0.88650481361161737</v>
      </c>
    </row>
    <row r="30" spans="1:10">
      <c r="A30" t="s">
        <v>485</v>
      </c>
      <c r="B30" t="s">
        <v>209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</row>
    <row r="31" spans="1:10">
      <c r="A31" t="s">
        <v>485</v>
      </c>
      <c r="B31" t="s">
        <v>207</v>
      </c>
      <c r="C31" s="19">
        <v>4.3984310356124892E-2</v>
      </c>
      <c r="D31" s="19">
        <v>3.2677344128154408E-2</v>
      </c>
      <c r="E31" s="19">
        <v>3.2056063377591808E-2</v>
      </c>
      <c r="F31" s="19">
        <v>3.270457652909927E-2</v>
      </c>
      <c r="G31" s="19">
        <v>3.3358767962274209E-2</v>
      </c>
      <c r="H31" s="19">
        <v>3.4018609808208831E-2</v>
      </c>
      <c r="I31" s="19">
        <v>3.4684074402662614E-2</v>
      </c>
      <c r="J31" s="19">
        <v>3.5355134284063713E-2</v>
      </c>
    </row>
    <row r="32" spans="1:10">
      <c r="A32" t="s">
        <v>485</v>
      </c>
      <c r="B32" t="s">
        <v>271</v>
      </c>
      <c r="C32" s="19">
        <v>0.11523743551463422</v>
      </c>
      <c r="D32" s="19">
        <v>0.14286114959119517</v>
      </c>
      <c r="E32" s="19">
        <v>0.14184798405950846</v>
      </c>
      <c r="F32" s="19">
        <v>0.14290555935273602</v>
      </c>
      <c r="G32" s="19">
        <v>0.14397239461299052</v>
      </c>
      <c r="H32" s="19">
        <v>0.14504844439251469</v>
      </c>
      <c r="I32" s="19">
        <v>0.14613366357731625</v>
      </c>
      <c r="J32" s="19">
        <v>0.14722800738390882</v>
      </c>
    </row>
    <row r="33" spans="1:10">
      <c r="A33" t="s">
        <v>485</v>
      </c>
      <c r="B33" t="s">
        <v>208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</row>
    <row r="34" spans="1:10">
      <c r="A34" t="s">
        <v>485</v>
      </c>
      <c r="B34" t="s">
        <v>145</v>
      </c>
      <c r="C34" s="19"/>
      <c r="D34" s="19"/>
      <c r="E34" s="19"/>
      <c r="F34" s="19"/>
      <c r="G34" s="19"/>
      <c r="H34" s="19"/>
      <c r="I34" s="19"/>
      <c r="J34" s="19"/>
    </row>
    <row r="35" spans="1:10">
      <c r="A35" s="58" t="s">
        <v>485</v>
      </c>
      <c r="B35" s="58" t="s">
        <v>24</v>
      </c>
      <c r="C35" s="59">
        <v>0.80996816701503782</v>
      </c>
      <c r="D35" s="59">
        <v>0.75191406719501963</v>
      </c>
      <c r="E35" s="59">
        <v>0.73761823782181757</v>
      </c>
      <c r="F35" s="59">
        <v>0.75254069172342775</v>
      </c>
      <c r="G35" s="59">
        <v>0.76759380434217617</v>
      </c>
      <c r="H35" s="59">
        <v>0.78277693440734886</v>
      </c>
      <c r="I35" s="59">
        <v>0.79808944535767767</v>
      </c>
      <c r="J35" s="59">
        <v>0.81353070529535332</v>
      </c>
    </row>
    <row r="36" spans="1:10">
      <c r="A36" t="s">
        <v>482</v>
      </c>
      <c r="B36" t="s">
        <v>209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</row>
    <row r="37" spans="1:10">
      <c r="A37" t="s">
        <v>482</v>
      </c>
      <c r="B37" t="s">
        <v>207</v>
      </c>
      <c r="C37" s="19">
        <v>9.4555448763227731E-2</v>
      </c>
      <c r="D37" s="19">
        <v>9.2471326455466102E-2</v>
      </c>
      <c r="E37" s="19">
        <v>8.8208568134812287E-2</v>
      </c>
      <c r="F37" s="19">
        <v>8.3061732468361335E-2</v>
      </c>
      <c r="G37" s="19">
        <v>7.7927558157052851E-2</v>
      </c>
      <c r="H37" s="19">
        <v>7.2805983059163235E-2</v>
      </c>
      <c r="I37" s="19">
        <v>6.7696945489349736E-2</v>
      </c>
      <c r="J37" s="19">
        <v>6.2600384214184263E-2</v>
      </c>
    </row>
    <row r="38" spans="1:10">
      <c r="A38" t="s">
        <v>482</v>
      </c>
      <c r="B38" t="s">
        <v>271</v>
      </c>
      <c r="C38" s="19">
        <v>0.23011352009091832</v>
      </c>
      <c r="D38" s="19">
        <v>0.26837568980316512</v>
      </c>
      <c r="E38" s="19">
        <v>0.26142411469563742</v>
      </c>
      <c r="F38" s="19">
        <v>0.25303081345496353</v>
      </c>
      <c r="G38" s="19">
        <v>0.24465815996267587</v>
      </c>
      <c r="H38" s="19">
        <v>0.23630605287996356</v>
      </c>
      <c r="I38" s="19">
        <v>0.22797439161226771</v>
      </c>
      <c r="J38" s="19">
        <v>0.21966307630199783</v>
      </c>
    </row>
    <row r="39" spans="1:10">
      <c r="A39" t="s">
        <v>482</v>
      </c>
      <c r="B39" t="s">
        <v>208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</row>
    <row r="40" spans="1:10">
      <c r="A40" t="s">
        <v>482</v>
      </c>
      <c r="B40" t="s">
        <v>145</v>
      </c>
      <c r="C40" s="19"/>
      <c r="D40" s="19"/>
      <c r="E40" s="19"/>
      <c r="F40" s="19"/>
      <c r="G40" s="19"/>
      <c r="H40" s="19"/>
      <c r="I40" s="19"/>
      <c r="J40" s="19"/>
    </row>
    <row r="41" spans="1:10">
      <c r="A41" s="58" t="s">
        <v>482</v>
      </c>
      <c r="B41" s="58" t="s">
        <v>24</v>
      </c>
      <c r="C41" s="59">
        <v>2.1757451210287302</v>
      </c>
      <c r="D41" s="59">
        <v>2.1277889323368018</v>
      </c>
      <c r="E41" s="59">
        <v>2.0297017703636038</v>
      </c>
      <c r="F41" s="59">
        <v>1.911271761977114</v>
      </c>
      <c r="G41" s="59">
        <v>1.7931330946189548</v>
      </c>
      <c r="H41" s="59">
        <v>1.6752843383921305</v>
      </c>
      <c r="I41" s="59">
        <v>1.5577240739010887</v>
      </c>
      <c r="J41" s="59">
        <v>1.4404508921489474</v>
      </c>
    </row>
    <row r="42" spans="1:10">
      <c r="A42" t="s">
        <v>483</v>
      </c>
      <c r="B42" t="s">
        <v>209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</row>
    <row r="43" spans="1:10">
      <c r="A43" t="s">
        <v>483</v>
      </c>
      <c r="B43" t="s">
        <v>207</v>
      </c>
      <c r="C43" s="19">
        <v>3.1409685384791802E-2</v>
      </c>
      <c r="D43" s="19">
        <v>2.7051555644504805E-2</v>
      </c>
      <c r="E43" s="19">
        <v>2.653723567012771E-2</v>
      </c>
      <c r="F43" s="19">
        <v>2.7074099667868647E-2</v>
      </c>
      <c r="G43" s="19">
        <v>2.7615664364414556E-2</v>
      </c>
      <c r="H43" s="19">
        <v>2.8161906688817358E-2</v>
      </c>
      <c r="I43" s="19">
        <v>2.8712803739560359E-2</v>
      </c>
      <c r="J43" s="19">
        <v>2.9268332782903757E-2</v>
      </c>
    </row>
    <row r="44" spans="1:10">
      <c r="A44" t="s">
        <v>483</v>
      </c>
      <c r="B44" t="s">
        <v>271</v>
      </c>
      <c r="C44" s="19">
        <v>8.7599875575328057E-2</v>
      </c>
      <c r="D44" s="19">
        <v>0.11154915832763634</v>
      </c>
      <c r="E44" s="19">
        <v>0.11071042113865216</v>
      </c>
      <c r="F44" s="19">
        <v>0.11158592242727584</v>
      </c>
      <c r="G44" s="19">
        <v>0.11246908947087379</v>
      </c>
      <c r="H44" s="19">
        <v>0.11335988464605372</v>
      </c>
      <c r="I44" s="19">
        <v>0.11425827060572694</v>
      </c>
      <c r="J44" s="19">
        <v>0.11516421027641002</v>
      </c>
    </row>
    <row r="45" spans="1:10">
      <c r="A45" t="s">
        <v>483</v>
      </c>
      <c r="B45" t="s">
        <v>208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</row>
    <row r="46" spans="1:10">
      <c r="A46" t="s">
        <v>483</v>
      </c>
      <c r="B46" t="s">
        <v>145</v>
      </c>
      <c r="C46" s="19"/>
      <c r="D46" s="19"/>
      <c r="E46" s="19"/>
      <c r="F46" s="19"/>
      <c r="G46" s="19"/>
      <c r="H46" s="19"/>
      <c r="I46" s="19"/>
      <c r="J46" s="19"/>
    </row>
    <row r="47" spans="1:10">
      <c r="A47" s="58" t="s">
        <v>483</v>
      </c>
      <c r="B47" s="58" t="s">
        <v>24</v>
      </c>
      <c r="C47" s="59">
        <v>0.62168386831569644</v>
      </c>
      <c r="D47" s="59">
        <v>0.62246323167637474</v>
      </c>
      <c r="E47" s="59">
        <v>0.61062859718904128</v>
      </c>
      <c r="F47" s="59">
        <v>0.62298197543449541</v>
      </c>
      <c r="G47" s="59">
        <v>0.63544351796475951</v>
      </c>
      <c r="H47" s="59">
        <v>0.64801269391140248</v>
      </c>
      <c r="I47" s="59">
        <v>0.66068897630465295</v>
      </c>
      <c r="J47" s="59">
        <v>0.67347184203532895</v>
      </c>
    </row>
    <row r="48" spans="1:10">
      <c r="A48" t="s">
        <v>484</v>
      </c>
      <c r="B48" t="s">
        <v>209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</row>
    <row r="49" spans="1:10">
      <c r="A49" t="s">
        <v>484</v>
      </c>
      <c r="B49" t="s">
        <v>207</v>
      </c>
      <c r="C49" s="19">
        <v>3.9458508547652593E-2</v>
      </c>
      <c r="D49" s="19">
        <v>3.8111819409588805E-2</v>
      </c>
      <c r="E49" s="19">
        <v>3.7387215241170633E-2</v>
      </c>
      <c r="F49" s="19">
        <v>3.8143580752947361E-2</v>
      </c>
      <c r="G49" s="19">
        <v>3.8906568885112652E-2</v>
      </c>
      <c r="H49" s="19">
        <v>3.9676147133960712E-2</v>
      </c>
      <c r="I49" s="19">
        <v>4.0452283234490558E-2</v>
      </c>
      <c r="J49" s="19">
        <v>4.1234945158075201E-2</v>
      </c>
    </row>
    <row r="50" spans="1:10">
      <c r="A50" t="s">
        <v>484</v>
      </c>
      <c r="B50" t="s">
        <v>271</v>
      </c>
      <c r="C50" s="19">
        <v>0.11217857639216526</v>
      </c>
      <c r="D50" s="19">
        <v>0.13623107699005083</v>
      </c>
      <c r="E50" s="19">
        <v>0.13504941480770735</v>
      </c>
      <c r="F50" s="19">
        <v>0.13628287241152787</v>
      </c>
      <c r="G50" s="19">
        <v>0.13752712998090511</v>
      </c>
      <c r="H50" s="19">
        <v>0.13878213450979579</v>
      </c>
      <c r="I50" s="19">
        <v>0.14004783338142907</v>
      </c>
      <c r="J50" s="19">
        <v>0.14132417436450556</v>
      </c>
    </row>
    <row r="51" spans="1:10">
      <c r="A51" t="s">
        <v>484</v>
      </c>
      <c r="B51" t="s">
        <v>208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</row>
    <row r="52" spans="1:10">
      <c r="A52" t="s">
        <v>484</v>
      </c>
      <c r="B52" t="s">
        <v>145</v>
      </c>
      <c r="C52" s="19"/>
      <c r="D52" s="19"/>
      <c r="E52" s="19"/>
      <c r="F52" s="19"/>
      <c r="G52" s="19"/>
      <c r="H52" s="19"/>
      <c r="I52" s="19"/>
      <c r="J52" s="19"/>
    </row>
    <row r="53" spans="1:10">
      <c r="A53" s="58" t="s">
        <v>484</v>
      </c>
      <c r="B53" s="58" t="s">
        <v>24</v>
      </c>
      <c r="C53" s="59">
        <v>0.90795039924778032</v>
      </c>
      <c r="D53" s="59">
        <v>0.87696273687602544</v>
      </c>
      <c r="E53" s="59">
        <v>0.86028940916478269</v>
      </c>
      <c r="F53" s="59">
        <v>0.87769357353064004</v>
      </c>
      <c r="G53" s="59">
        <v>0.89525012608974608</v>
      </c>
      <c r="H53" s="59">
        <v>0.91295831892349599</v>
      </c>
      <c r="I53" s="59">
        <v>0.93081740960594428</v>
      </c>
      <c r="J53" s="59">
        <v>0.94882666115017156</v>
      </c>
    </row>
    <row r="54" spans="1:10">
      <c r="A54" s="60" t="s">
        <v>482</v>
      </c>
      <c r="B54" s="60" t="s">
        <v>146</v>
      </c>
      <c r="C54" s="60">
        <v>6.4918076280000001</v>
      </c>
      <c r="D54" s="60">
        <v>5.6721738640000003</v>
      </c>
      <c r="E54" s="60">
        <v>5.607641609574328</v>
      </c>
      <c r="F54" s="60">
        <v>5.5611783863878443</v>
      </c>
      <c r="G54" s="60">
        <v>5.5311321687272521</v>
      </c>
      <c r="H54" s="60">
        <v>5.5016868754198711</v>
      </c>
      <c r="I54" s="60">
        <v>5.4728304879786371</v>
      </c>
      <c r="J54" s="60">
        <v>5.4445512282862278</v>
      </c>
    </row>
    <row r="55" spans="1:10">
      <c r="A55" s="60" t="s">
        <v>484</v>
      </c>
      <c r="B55" s="60" t="s">
        <v>146</v>
      </c>
      <c r="C55" s="60">
        <v>1.306387754</v>
      </c>
      <c r="D55" s="60">
        <v>1.7301026269999999</v>
      </c>
      <c r="E55" s="60">
        <v>1.6894437785894496</v>
      </c>
      <c r="F55" s="60">
        <v>1.6601694077338536</v>
      </c>
      <c r="G55" s="60">
        <v>1.6412386479139012</v>
      </c>
      <c r="H55" s="60">
        <v>1.6226865032903481</v>
      </c>
      <c r="I55" s="60">
        <v>1.6045054015592661</v>
      </c>
      <c r="J55" s="60">
        <v>1.5866879218628056</v>
      </c>
    </row>
    <row r="56" spans="1:10">
      <c r="A56" s="60" t="s">
        <v>479</v>
      </c>
      <c r="B56" s="60" t="s">
        <v>146</v>
      </c>
      <c r="C56" s="60">
        <v>2.9785649000000001E-2</v>
      </c>
      <c r="D56" s="60">
        <v>3.9446350999999998E-2</v>
      </c>
      <c r="E56" s="60">
        <v>3.8519328995276839E-2</v>
      </c>
      <c r="F56" s="60">
        <v>3.7851873151876159E-2</v>
      </c>
      <c r="G56" s="60">
        <v>3.7420251706477059E-2</v>
      </c>
      <c r="H56" s="60">
        <v>3.6997262689985932E-2</v>
      </c>
      <c r="I56" s="60">
        <v>3.6582733453824637E-2</v>
      </c>
      <c r="J56" s="60">
        <v>3.6176494802386563E-2</v>
      </c>
    </row>
    <row r="57" spans="1:10">
      <c r="A57" s="60" t="s">
        <v>483</v>
      </c>
      <c r="B57" s="60" t="s">
        <v>146</v>
      </c>
      <c r="C57" s="60">
        <v>1.1892003609999999</v>
      </c>
      <c r="D57" s="60">
        <v>1.5749065790000001</v>
      </c>
      <c r="E57" s="60">
        <v>1.5378949665921433</v>
      </c>
      <c r="F57" s="60">
        <v>1.5112466056584863</v>
      </c>
      <c r="G57" s="60">
        <v>1.4940139989213881</v>
      </c>
      <c r="H57" s="60">
        <v>1.4771260443190317</v>
      </c>
      <c r="I57" s="60">
        <v>1.4605758488087228</v>
      </c>
      <c r="J57" s="60">
        <v>1.4443566572086199</v>
      </c>
    </row>
    <row r="58" spans="1:10">
      <c r="A58" s="60" t="s">
        <v>478</v>
      </c>
      <c r="B58" s="60" t="s">
        <v>146</v>
      </c>
      <c r="C58" s="60">
        <v>0.22162436499999999</v>
      </c>
      <c r="D58" s="60">
        <v>0.29350619300000003</v>
      </c>
      <c r="E58" s="60">
        <v>0.28660855373715605</v>
      </c>
      <c r="F58" s="60">
        <v>0.28164225346790839</v>
      </c>
      <c r="G58" s="60">
        <v>0.27843071262712826</v>
      </c>
      <c r="H58" s="60">
        <v>0.2752834026031637</v>
      </c>
      <c r="I58" s="60">
        <v>0.27219903877967844</v>
      </c>
      <c r="J58" s="60">
        <v>0.26917636223266289</v>
      </c>
    </row>
    <row r="59" spans="1:10">
      <c r="A59" s="60" t="s">
        <v>486</v>
      </c>
      <c r="B59" s="60" t="s">
        <v>146</v>
      </c>
      <c r="C59" s="60">
        <v>1.609881055</v>
      </c>
      <c r="D59" s="60">
        <v>2.132031193</v>
      </c>
      <c r="E59" s="60">
        <v>2.0819266895272408</v>
      </c>
      <c r="F59" s="60">
        <v>2.0458514470268545</v>
      </c>
      <c r="G59" s="60">
        <v>2.0225227902099379</v>
      </c>
      <c r="H59" s="60">
        <v>1.9996607065293592</v>
      </c>
      <c r="I59" s="60">
        <v>1.9772558645223923</v>
      </c>
      <c r="J59" s="60">
        <v>1.9552991193555649</v>
      </c>
    </row>
    <row r="60" spans="1:10">
      <c r="A60" s="60" t="s">
        <v>485</v>
      </c>
      <c r="B60" s="60" t="s">
        <v>146</v>
      </c>
      <c r="C60" s="60">
        <v>1.5795962050000001</v>
      </c>
      <c r="D60" s="60">
        <v>2.09192373</v>
      </c>
      <c r="E60" s="60">
        <v>2.0427617852129512</v>
      </c>
      <c r="F60" s="60">
        <v>2.0073651849662757</v>
      </c>
      <c r="G60" s="60">
        <v>1.9844753834734257</v>
      </c>
      <c r="H60" s="60">
        <v>1.9620433780104327</v>
      </c>
      <c r="I60" s="60">
        <v>1.9400600126566996</v>
      </c>
      <c r="J60" s="60">
        <v>1.918516314610041</v>
      </c>
    </row>
    <row r="61" spans="1:10">
      <c r="A61" s="60" t="s">
        <v>480</v>
      </c>
      <c r="B61" s="60" t="s">
        <v>146</v>
      </c>
      <c r="C61" s="60">
        <v>5.2769687000000003E-2</v>
      </c>
      <c r="D61" s="60">
        <v>6.9885050000000004E-2</v>
      </c>
      <c r="E61" s="60">
        <v>6.8242693292501808E-2</v>
      </c>
      <c r="F61" s="60">
        <v>6.70601964631031E-2</v>
      </c>
      <c r="G61" s="60">
        <v>6.6295515180091941E-2</v>
      </c>
      <c r="H61" s="60">
        <v>6.5546127522740999E-2</v>
      </c>
      <c r="I61" s="60">
        <v>6.4811727618537068E-2</v>
      </c>
      <c r="J61" s="60">
        <v>6.4092015712417225E-2</v>
      </c>
    </row>
  </sheetData>
  <autoFilter ref="A4:J61" xr:uid="{00000000-0001-0000-1500-000000000000}"/>
  <conditionalFormatting sqref="A6:A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A15" sqref="A15"/>
    </sheetView>
  </sheetViews>
  <sheetFormatPr defaultColWidth="11.44140625" defaultRowHeight="14.4"/>
  <cols>
    <col min="1" max="1" width="17.44140625" customWidth="1"/>
  </cols>
  <sheetData>
    <row r="1" spans="1:9">
      <c r="A1" t="s">
        <v>394</v>
      </c>
    </row>
    <row r="2" spans="1:9">
      <c r="A2" t="s">
        <v>340</v>
      </c>
    </row>
    <row r="3" spans="1:9">
      <c r="A3" t="s">
        <v>393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8" t="s">
        <v>478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8" t="s">
        <v>479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8" t="s">
        <v>480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8" t="s">
        <v>486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8" t="s">
        <v>485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8" t="s">
        <v>482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8" t="s">
        <v>483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8" t="s">
        <v>484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4140625" defaultRowHeight="14.4"/>
  <cols>
    <col min="1" max="1" width="15.109375" customWidth="1"/>
  </cols>
  <sheetData>
    <row r="1" spans="1:10">
      <c r="A1" t="s">
        <v>395</v>
      </c>
    </row>
    <row r="2" spans="1:10">
      <c r="A2" t="s">
        <v>9</v>
      </c>
    </row>
    <row r="3" spans="1:10">
      <c r="A3" t="s">
        <v>382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483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4140625" defaultRowHeight="14.4"/>
  <cols>
    <col min="1" max="1" width="17.6640625" customWidth="1"/>
    <col min="2" max="2" width="28.109375" customWidth="1"/>
  </cols>
  <sheetData>
    <row r="1" spans="1:10">
      <c r="A1" t="s">
        <v>396</v>
      </c>
    </row>
    <row r="2" spans="1:10">
      <c r="A2" t="s">
        <v>10</v>
      </c>
    </row>
    <row r="3" spans="1:10" ht="15.75" customHeight="1">
      <c r="A3" t="s">
        <v>383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483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483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483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483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483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483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483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483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483</v>
      </c>
      <c r="B14" t="s">
        <v>327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483</v>
      </c>
      <c r="B15" t="s">
        <v>449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483</v>
      </c>
      <c r="B16" t="s">
        <v>450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483</v>
      </c>
      <c r="B17" t="s">
        <v>451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483</v>
      </c>
      <c r="B18" t="s">
        <v>440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483</v>
      </c>
      <c r="B19" t="s">
        <v>441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483</v>
      </c>
      <c r="B20" t="s">
        <v>442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483</v>
      </c>
      <c r="B21" t="s">
        <v>443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483</v>
      </c>
      <c r="B22" t="s">
        <v>444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483</v>
      </c>
      <c r="B23" t="s">
        <v>445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483</v>
      </c>
      <c r="B24" t="s">
        <v>446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 filterMode="1"/>
  <dimension ref="A1:R230"/>
  <sheetViews>
    <sheetView workbookViewId="0">
      <selection activeCell="G240" sqref="G240"/>
    </sheetView>
  </sheetViews>
  <sheetFormatPr defaultColWidth="11.44140625" defaultRowHeight="14.4"/>
  <cols>
    <col min="1" max="1" width="22.44140625" style="6" customWidth="1"/>
    <col min="2" max="2" width="27.88671875" style="6" bestFit="1" customWidth="1"/>
    <col min="3" max="3" width="24.44140625" style="6" customWidth="1"/>
    <col min="4" max="4" width="19.5546875" style="6" bestFit="1" customWidth="1"/>
    <col min="5" max="5" width="12.44140625" style="6" bestFit="1" customWidth="1"/>
    <col min="6" max="12" width="11.44140625" style="6"/>
    <col min="13" max="13" width="10.44140625" style="6" customWidth="1"/>
    <col min="14" max="16384" width="11.44140625" style="6"/>
  </cols>
  <sheetData>
    <row r="1" spans="1:18">
      <c r="A1" t="s">
        <v>397</v>
      </c>
    </row>
    <row r="2" spans="1:18">
      <c r="A2" t="s">
        <v>342</v>
      </c>
    </row>
    <row r="3" spans="1:18">
      <c r="A3" t="s">
        <v>383</v>
      </c>
    </row>
    <row r="5" spans="1:18">
      <c r="A5" t="s">
        <v>20</v>
      </c>
      <c r="B5" t="s">
        <v>26</v>
      </c>
      <c r="C5" t="s">
        <v>21</v>
      </c>
      <c r="D5" t="s">
        <v>341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 hidden="1">
      <c r="A6" t="s">
        <v>483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 hidden="1">
      <c r="A7" t="s">
        <v>483</v>
      </c>
      <c r="B7" s="6" t="s">
        <v>436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452</v>
      </c>
      <c r="Q7" s="6" t="s">
        <v>453</v>
      </c>
    </row>
    <row r="8" spans="1:18" hidden="1">
      <c r="A8" t="s">
        <v>483</v>
      </c>
      <c r="B8" s="6" t="s">
        <v>436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452</v>
      </c>
      <c r="Q8" s="6" t="s">
        <v>455</v>
      </c>
    </row>
    <row r="9" spans="1:18" hidden="1">
      <c r="A9" t="s">
        <v>483</v>
      </c>
      <c r="B9" s="6" t="s">
        <v>437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452</v>
      </c>
      <c r="Q9" s="6" t="s">
        <v>453</v>
      </c>
      <c r="R9" s="6" t="s">
        <v>454</v>
      </c>
    </row>
    <row r="10" spans="1:18" hidden="1">
      <c r="A10" t="s">
        <v>483</v>
      </c>
      <c r="B10" s="6" t="s">
        <v>437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452</v>
      </c>
      <c r="Q10" s="6" t="s">
        <v>455</v>
      </c>
      <c r="R10" s="6" t="s">
        <v>454</v>
      </c>
    </row>
    <row r="11" spans="1:18" hidden="1">
      <c r="A11" t="s">
        <v>483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452</v>
      </c>
      <c r="Q11" s="6" t="s">
        <v>453</v>
      </c>
    </row>
    <row r="12" spans="1:18" hidden="1">
      <c r="A12" t="s">
        <v>483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452</v>
      </c>
      <c r="Q12" s="6" t="s">
        <v>455</v>
      </c>
    </row>
    <row r="13" spans="1:18" hidden="1">
      <c r="A13" t="s">
        <v>483</v>
      </c>
      <c r="B13" s="6" t="s">
        <v>438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452</v>
      </c>
      <c r="Q13" s="6" t="s">
        <v>453</v>
      </c>
      <c r="R13" s="6" t="s">
        <v>454</v>
      </c>
    </row>
    <row r="14" spans="1:18" hidden="1">
      <c r="A14" t="s">
        <v>483</v>
      </c>
      <c r="B14" s="6" t="s">
        <v>438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452</v>
      </c>
      <c r="Q14" s="6" t="s">
        <v>455</v>
      </c>
      <c r="R14" s="6" t="s">
        <v>454</v>
      </c>
    </row>
    <row r="15" spans="1:18" hidden="1">
      <c r="A15" t="s">
        <v>483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452</v>
      </c>
      <c r="Q15" s="6" t="s">
        <v>453</v>
      </c>
    </row>
    <row r="16" spans="1:18" hidden="1">
      <c r="A16" t="s">
        <v>483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452</v>
      </c>
      <c r="Q16" s="6" t="s">
        <v>455</v>
      </c>
    </row>
    <row r="17" spans="1:18" hidden="1">
      <c r="A17" t="s">
        <v>483</v>
      </c>
      <c r="B17" s="6" t="s">
        <v>439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452</v>
      </c>
      <c r="Q17" s="6" t="s">
        <v>453</v>
      </c>
      <c r="R17" s="6" t="s">
        <v>454</v>
      </c>
    </row>
    <row r="18" spans="1:18" hidden="1">
      <c r="A18" t="s">
        <v>483</v>
      </c>
      <c r="B18" s="6" t="s">
        <v>439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452</v>
      </c>
      <c r="Q18" s="6" t="s">
        <v>455</v>
      </c>
      <c r="R18" s="6" t="s">
        <v>454</v>
      </c>
    </row>
    <row r="19" spans="1:18" hidden="1">
      <c r="A19" t="s">
        <v>483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 hidden="1">
      <c r="A20" t="s">
        <v>483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 hidden="1">
      <c r="A21" t="s">
        <v>483</v>
      </c>
      <c r="B21" s="6" t="s">
        <v>440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452</v>
      </c>
      <c r="Q21" s="6" t="s">
        <v>453</v>
      </c>
    </row>
    <row r="22" spans="1:18" hidden="1">
      <c r="A22" t="s">
        <v>483</v>
      </c>
      <c r="B22" s="6" t="s">
        <v>440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452</v>
      </c>
      <c r="Q22" s="6" t="s">
        <v>455</v>
      </c>
    </row>
    <row r="23" spans="1:18" hidden="1">
      <c r="A23" t="s">
        <v>483</v>
      </c>
      <c r="B23" s="6" t="s">
        <v>441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452</v>
      </c>
      <c r="Q23" s="6" t="s">
        <v>453</v>
      </c>
      <c r="R23" s="6" t="s">
        <v>454</v>
      </c>
    </row>
    <row r="24" spans="1:18" hidden="1">
      <c r="A24" t="s">
        <v>483</v>
      </c>
      <c r="B24" s="6" t="s">
        <v>441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452</v>
      </c>
      <c r="Q24" s="6" t="s">
        <v>455</v>
      </c>
      <c r="R24" s="6" t="s">
        <v>454</v>
      </c>
    </row>
    <row r="25" spans="1:18" hidden="1">
      <c r="A25" t="s">
        <v>483</v>
      </c>
      <c r="B25" s="6" t="s">
        <v>442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452</v>
      </c>
      <c r="Q25" s="6" t="s">
        <v>453</v>
      </c>
    </row>
    <row r="26" spans="1:18" hidden="1">
      <c r="A26" t="s">
        <v>483</v>
      </c>
      <c r="B26" s="6" t="s">
        <v>442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452</v>
      </c>
      <c r="Q26" s="6" t="s">
        <v>455</v>
      </c>
    </row>
    <row r="27" spans="1:18" hidden="1">
      <c r="A27" t="s">
        <v>483</v>
      </c>
      <c r="B27" s="6" t="s">
        <v>443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452</v>
      </c>
      <c r="Q27" s="6" t="s">
        <v>453</v>
      </c>
      <c r="R27" s="6" t="s">
        <v>454</v>
      </c>
    </row>
    <row r="28" spans="1:18" hidden="1">
      <c r="A28" t="s">
        <v>483</v>
      </c>
      <c r="B28" s="6" t="s">
        <v>443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452</v>
      </c>
      <c r="Q28" s="6" t="s">
        <v>455</v>
      </c>
      <c r="R28" s="6" t="s">
        <v>454</v>
      </c>
    </row>
    <row r="29" spans="1:18" hidden="1">
      <c r="A29" t="s">
        <v>483</v>
      </c>
      <c r="B29" s="6" t="s">
        <v>444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452</v>
      </c>
      <c r="Q29" s="6" t="s">
        <v>453</v>
      </c>
    </row>
    <row r="30" spans="1:18" hidden="1">
      <c r="A30" t="s">
        <v>483</v>
      </c>
      <c r="B30" s="6" t="s">
        <v>444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452</v>
      </c>
      <c r="Q30" s="6" t="s">
        <v>455</v>
      </c>
    </row>
    <row r="31" spans="1:18" hidden="1">
      <c r="A31" t="s">
        <v>483</v>
      </c>
      <c r="B31" s="6" t="s">
        <v>445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456</v>
      </c>
      <c r="Q31" s="6" t="s">
        <v>455</v>
      </c>
    </row>
    <row r="32" spans="1:18" hidden="1">
      <c r="A32" t="s">
        <v>483</v>
      </c>
      <c r="B32" s="6" t="s">
        <v>446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457</v>
      </c>
    </row>
    <row r="33" spans="1:16" hidden="1">
      <c r="A33" t="s">
        <v>483</v>
      </c>
      <c r="B33" s="6" t="s">
        <v>446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457</v>
      </c>
    </row>
    <row r="34" spans="1:16" hidden="1">
      <c r="A34" t="s">
        <v>483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 hidden="1">
      <c r="A35" t="s">
        <v>483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 hidden="1">
      <c r="A36" t="s">
        <v>483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 hidden="1">
      <c r="A37" t="s">
        <v>483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 hidden="1">
      <c r="A38" t="s">
        <v>483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 hidden="1">
      <c r="A39" t="s">
        <v>483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 hidden="1">
      <c r="A40" t="s">
        <v>483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>
      <c r="A41" t="s">
        <v>483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>
      <c r="A42" t="s">
        <v>483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 hidden="1">
      <c r="A43" t="s">
        <v>483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 hidden="1">
      <c r="A44" t="s">
        <v>483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 hidden="1">
      <c r="A45" t="s">
        <v>483</v>
      </c>
      <c r="B45" s="13" t="s">
        <v>130</v>
      </c>
      <c r="C45" s="6" t="s">
        <v>299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 hidden="1">
      <c r="A46" t="s">
        <v>483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 hidden="1">
      <c r="A47" t="s">
        <v>483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 hidden="1">
      <c r="A48" t="s">
        <v>483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 hidden="1">
      <c r="A49" t="s">
        <v>483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 hidden="1">
      <c r="A50" t="s">
        <v>483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 hidden="1">
      <c r="A51" t="s">
        <v>483</v>
      </c>
      <c r="B51" s="13" t="s">
        <v>126</v>
      </c>
      <c r="C51" s="6" t="s">
        <v>299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 hidden="1">
      <c r="A52" s="6" t="s">
        <v>483</v>
      </c>
      <c r="B52" s="2" t="s">
        <v>316</v>
      </c>
      <c r="C52" t="s">
        <v>312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 hidden="1">
      <c r="A53" t="s">
        <v>483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 hidden="1">
      <c r="A54" t="s">
        <v>483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 hidden="1">
      <c r="A55" t="s">
        <v>483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 hidden="1">
      <c r="A56" t="s">
        <v>483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 hidden="1">
      <c r="A57" t="s">
        <v>483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 hidden="1">
      <c r="A58" t="s">
        <v>483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 hidden="1">
      <c r="A59" t="s">
        <v>483</v>
      </c>
      <c r="B59" s="6" t="s">
        <v>127</v>
      </c>
      <c r="C59" s="6" t="s">
        <v>299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 hidden="1">
      <c r="A60" t="s">
        <v>483</v>
      </c>
      <c r="B60" s="6" t="s">
        <v>493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 hidden="1">
      <c r="A61" t="s">
        <v>483</v>
      </c>
      <c r="B61" s="6" t="s">
        <v>494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 hidden="1">
      <c r="A62" t="s">
        <v>483</v>
      </c>
      <c r="B62" s="6" t="s">
        <v>494</v>
      </c>
      <c r="C62" s="6" t="s">
        <v>299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 hidden="1">
      <c r="A63" s="6" t="s">
        <v>483</v>
      </c>
      <c r="B63" s="2" t="s">
        <v>495</v>
      </c>
      <c r="C63" t="s">
        <v>312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 hidden="1">
      <c r="A64" t="s">
        <v>483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 hidden="1">
      <c r="A65" t="s">
        <v>483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 hidden="1">
      <c r="A66" t="s">
        <v>483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 hidden="1">
      <c r="A67" t="s">
        <v>483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 hidden="1">
      <c r="A68" t="s">
        <v>483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 hidden="1">
      <c r="A69" t="s">
        <v>483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 hidden="1">
      <c r="A70" t="s">
        <v>483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 hidden="1">
      <c r="A71" s="11" t="s">
        <v>483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 hidden="1">
      <c r="A72" s="11" t="s">
        <v>483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 hidden="1">
      <c r="A73" s="11" t="s">
        <v>483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 hidden="1">
      <c r="A74" s="11" t="s">
        <v>483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 hidden="1">
      <c r="A75" s="11" t="s">
        <v>483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 hidden="1">
      <c r="A76" s="11" t="s">
        <v>483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 hidden="1">
      <c r="A77" s="11" t="s">
        <v>483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 hidden="1">
      <c r="A78" s="11" t="s">
        <v>483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 hidden="1">
      <c r="A79" s="11" t="s">
        <v>483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 hidden="1">
      <c r="A80" s="11" t="s">
        <v>483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 hidden="1">
      <c r="A81" s="11" t="s">
        <v>483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 hidden="1">
      <c r="A82" s="11" t="s">
        <v>483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 hidden="1">
      <c r="A83" s="11" t="s">
        <v>483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 hidden="1">
      <c r="A84" t="s">
        <v>483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 hidden="1">
      <c r="A85" t="s">
        <v>483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 hidden="1">
      <c r="A86" t="s">
        <v>483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 hidden="1">
      <c r="A87" t="s">
        <v>483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 hidden="1">
      <c r="A88" s="11" t="s">
        <v>483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 hidden="1">
      <c r="A89" s="11" t="s">
        <v>483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 hidden="1">
      <c r="A90" s="11" t="s">
        <v>483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 hidden="1">
      <c r="A91" s="11" t="s">
        <v>483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 hidden="1">
      <c r="A92" s="11" t="s">
        <v>483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 hidden="1">
      <c r="A93" s="11" t="s">
        <v>483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 hidden="1">
      <c r="A94" s="11" t="s">
        <v>483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 hidden="1">
      <c r="A95" s="11" t="s">
        <v>483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 hidden="1">
      <c r="A96" t="s">
        <v>483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 hidden="1">
      <c r="A97" t="s">
        <v>483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 hidden="1">
      <c r="A98" t="s">
        <v>483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 hidden="1">
      <c r="A99" t="s">
        <v>483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 hidden="1">
      <c r="A100" s="11" t="s">
        <v>483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 hidden="1">
      <c r="A101" t="s">
        <v>483</v>
      </c>
      <c r="B101" s="6" t="s">
        <v>447</v>
      </c>
      <c r="C101" s="6" t="s">
        <v>434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 hidden="1">
      <c r="A102" t="s">
        <v>483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 hidden="1">
      <c r="A103" t="s">
        <v>483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 hidden="1">
      <c r="A104" t="s">
        <v>483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 hidden="1">
      <c r="A105" t="s">
        <v>483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 hidden="1">
      <c r="A106" t="s">
        <v>483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 hidden="1">
      <c r="A107" t="s">
        <v>483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 hidden="1">
      <c r="A108" t="s">
        <v>483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 hidden="1">
      <c r="A109" t="s">
        <v>483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 hidden="1">
      <c r="A110" t="s">
        <v>483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 hidden="1">
      <c r="A111" t="s">
        <v>483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 hidden="1">
      <c r="A112" s="6" t="s">
        <v>483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 hidden="1">
      <c r="A113" t="s">
        <v>483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 hidden="1">
      <c r="A114" t="s">
        <v>483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 hidden="1">
      <c r="A115" s="11" t="s">
        <v>483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 hidden="1">
      <c r="A116" t="s">
        <v>483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 hidden="1">
      <c r="A117" t="s">
        <v>483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 hidden="1">
      <c r="A118" s="11" t="s">
        <v>483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 hidden="1">
      <c r="A119" t="s">
        <v>483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 hidden="1">
      <c r="A120" t="s">
        <v>483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 hidden="1">
      <c r="A121" t="s">
        <v>483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 hidden="1">
      <c r="A122" t="s">
        <v>483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 hidden="1">
      <c r="A123" t="s">
        <v>483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 hidden="1">
      <c r="A124" s="11" t="s">
        <v>483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 hidden="1">
      <c r="A125" t="s">
        <v>483</v>
      </c>
      <c r="B125" s="6" t="s">
        <v>448</v>
      </c>
      <c r="C125" s="6" t="s">
        <v>434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 hidden="1">
      <c r="A126" t="s">
        <v>483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 hidden="1">
      <c r="A127" t="s">
        <v>483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 hidden="1">
      <c r="A128" t="s">
        <v>483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 hidden="1">
      <c r="A129" t="s">
        <v>483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 hidden="1">
      <c r="A130" t="s">
        <v>483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 hidden="1">
      <c r="A131" t="s">
        <v>483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 hidden="1">
      <c r="A132" t="s">
        <v>483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 hidden="1">
      <c r="A133" t="s">
        <v>483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 hidden="1">
      <c r="A134" s="6" t="s">
        <v>483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 hidden="1">
      <c r="A135" t="s">
        <v>483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 hidden="1">
      <c r="A136" t="s">
        <v>483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 hidden="1">
      <c r="A137" s="11" t="s">
        <v>483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 hidden="1">
      <c r="A138" t="s">
        <v>483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 hidden="1">
      <c r="A139" t="s">
        <v>483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 hidden="1">
      <c r="A140" t="s">
        <v>483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 hidden="1">
      <c r="A141" t="s">
        <v>483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 hidden="1">
      <c r="A142" s="11" t="s">
        <v>483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 hidden="1">
      <c r="A143" t="s">
        <v>483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 hidden="1">
      <c r="A144" t="s">
        <v>483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 hidden="1">
      <c r="A145" t="s">
        <v>483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 hidden="1">
      <c r="A146" t="s">
        <v>483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 hidden="1">
      <c r="A147" t="s">
        <v>483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 hidden="1">
      <c r="A148" t="s">
        <v>483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 hidden="1">
      <c r="A149" t="s">
        <v>483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 hidden="1">
      <c r="A150" t="s">
        <v>483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 hidden="1">
      <c r="A151" s="11" t="s">
        <v>483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 hidden="1">
      <c r="A152" t="s">
        <v>483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 hidden="1">
      <c r="A153" t="s">
        <v>483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 hidden="1">
      <c r="A154" s="11" t="s">
        <v>483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 hidden="1">
      <c r="A155" t="s">
        <v>483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 hidden="1">
      <c r="A156" t="s">
        <v>483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 hidden="1">
      <c r="A157" t="s">
        <v>483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 hidden="1">
      <c r="A158" t="s">
        <v>483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 hidden="1">
      <c r="A159" t="s">
        <v>483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 hidden="1">
      <c r="A160" s="11" t="s">
        <v>483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 hidden="1">
      <c r="A161" t="s">
        <v>483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 hidden="1">
      <c r="A162" s="11" t="s">
        <v>483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 hidden="1">
      <c r="A163" t="s">
        <v>483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 hidden="1">
      <c r="A164" t="s">
        <v>483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 hidden="1">
      <c r="A165" t="s">
        <v>483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 hidden="1">
      <c r="A166" t="s">
        <v>483</v>
      </c>
      <c r="B166" s="6" t="s">
        <v>449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458</v>
      </c>
    </row>
    <row r="167" spans="1:16" hidden="1">
      <c r="A167" t="s">
        <v>483</v>
      </c>
      <c r="B167" s="6" t="s">
        <v>449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458</v>
      </c>
    </row>
    <row r="168" spans="1:16" hidden="1">
      <c r="A168" t="s">
        <v>483</v>
      </c>
      <c r="B168" s="6" t="s">
        <v>449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458</v>
      </c>
    </row>
    <row r="169" spans="1:16" hidden="1">
      <c r="A169" s="11" t="s">
        <v>483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 hidden="1">
      <c r="A170" s="11" t="s">
        <v>483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 hidden="1">
      <c r="A171" s="11" t="s">
        <v>483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 hidden="1">
      <c r="A172" t="s">
        <v>483</v>
      </c>
      <c r="B172" s="6" t="s">
        <v>450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 hidden="1">
      <c r="A173" t="s">
        <v>483</v>
      </c>
      <c r="B173" s="6" t="s">
        <v>450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 hidden="1">
      <c r="A174" t="s">
        <v>483</v>
      </c>
      <c r="B174" s="6" t="s">
        <v>450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 hidden="1">
      <c r="A175" t="s">
        <v>483</v>
      </c>
      <c r="B175" s="6" t="s">
        <v>451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 hidden="1">
      <c r="A176" t="s">
        <v>483</v>
      </c>
      <c r="B176" s="6" t="s">
        <v>451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 hidden="1">
      <c r="A177" t="s">
        <v>483</v>
      </c>
      <c r="B177" s="6" t="s">
        <v>451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 hidden="1">
      <c r="A178" s="11" t="s">
        <v>483</v>
      </c>
      <c r="B178" t="s">
        <v>327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 hidden="1">
      <c r="A179" t="s">
        <v>483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 hidden="1">
      <c r="A180" t="s">
        <v>483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 hidden="1">
      <c r="A181" t="s">
        <v>483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 hidden="1">
      <c r="A182" t="s">
        <v>483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 hidden="1">
      <c r="A183" t="s">
        <v>483</v>
      </c>
      <c r="B183" s="13" t="s">
        <v>58</v>
      </c>
      <c r="C183" t="s">
        <v>299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 hidden="1">
      <c r="A184" t="s">
        <v>483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 hidden="1">
      <c r="A185" t="s">
        <v>483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 hidden="1">
      <c r="A186" t="s">
        <v>483</v>
      </c>
      <c r="B186" s="13" t="s">
        <v>128</v>
      </c>
      <c r="C186" s="6" t="s">
        <v>299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 hidden="1">
      <c r="A187" t="s">
        <v>483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 hidden="1">
      <c r="A188" t="s">
        <v>483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 hidden="1">
      <c r="A189" t="s">
        <v>483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 hidden="1">
      <c r="A190" t="s">
        <v>483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 hidden="1">
      <c r="A191" t="s">
        <v>483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 hidden="1">
      <c r="A192" t="s">
        <v>483</v>
      </c>
      <c r="B192" s="6" t="s">
        <v>59</v>
      </c>
      <c r="C192" s="6" t="s">
        <v>299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 hidden="1">
      <c r="A193" t="s">
        <v>483</v>
      </c>
      <c r="B193" s="6" t="s">
        <v>317</v>
      </c>
      <c r="C193" s="6" t="s">
        <v>312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 hidden="1">
      <c r="A194" s="6" t="s">
        <v>483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 hidden="1">
      <c r="A195" t="s">
        <v>483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 hidden="1">
      <c r="A196" t="s">
        <v>483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 hidden="1">
      <c r="A197" t="s">
        <v>483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 hidden="1">
      <c r="A198" t="s">
        <v>483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 hidden="1">
      <c r="A199" t="s">
        <v>483</v>
      </c>
      <c r="B199" t="s">
        <v>124</v>
      </c>
      <c r="C199" t="s">
        <v>299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 hidden="1">
      <c r="A200" t="s">
        <v>483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 hidden="1">
      <c r="A201" t="s">
        <v>483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 hidden="1">
      <c r="A202" t="s">
        <v>483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 hidden="1">
      <c r="A203" s="6" t="s">
        <v>483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 hidden="1">
      <c r="A204" t="s">
        <v>483</v>
      </c>
      <c r="B204" s="2" t="s">
        <v>330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 hidden="1">
      <c r="A205" s="6" t="s">
        <v>483</v>
      </c>
      <c r="B205" s="2" t="s">
        <v>330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 hidden="1">
      <c r="A206" t="s">
        <v>483</v>
      </c>
      <c r="B206" s="2" t="s">
        <v>329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 hidden="1">
      <c r="A207" s="6" t="s">
        <v>483</v>
      </c>
      <c r="B207" s="2" t="s">
        <v>329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 hidden="1">
      <c r="A208" s="6" t="s">
        <v>483</v>
      </c>
      <c r="B208" s="2" t="s">
        <v>329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 hidden="1">
      <c r="A209" t="s">
        <v>483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 hidden="1">
      <c r="A210" t="s">
        <v>483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 hidden="1">
      <c r="A211" t="s">
        <v>483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 hidden="1">
      <c r="A212" s="6" t="s">
        <v>483</v>
      </c>
      <c r="B212" s="2" t="s">
        <v>310</v>
      </c>
      <c r="C212" t="s">
        <v>314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 hidden="1">
      <c r="A213" s="6" t="s">
        <v>483</v>
      </c>
      <c r="B213" s="2" t="s">
        <v>310</v>
      </c>
      <c r="C213" t="s">
        <v>315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 hidden="1">
      <c r="A214" s="6" t="s">
        <v>483</v>
      </c>
      <c r="B214" s="2" t="s">
        <v>310</v>
      </c>
      <c r="C214" t="s">
        <v>313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 hidden="1">
      <c r="A215" s="6" t="s">
        <v>483</v>
      </c>
      <c r="B215" s="2" t="s">
        <v>310</v>
      </c>
      <c r="C215" t="s">
        <v>312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 hidden="1">
      <c r="A216" s="6" t="s">
        <v>483</v>
      </c>
      <c r="B216" s="2" t="s">
        <v>311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 hidden="1">
      <c r="A217" s="6" t="s">
        <v>483</v>
      </c>
      <c r="B217" s="2" t="s">
        <v>311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 hidden="1">
      <c r="A218" s="6" t="s">
        <v>483</v>
      </c>
      <c r="B218" s="2" t="s">
        <v>311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 hidden="1">
      <c r="A219" s="6" t="s">
        <v>483</v>
      </c>
      <c r="B219" s="2" t="s">
        <v>311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 hidden="1">
      <c r="A220" t="s">
        <v>483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 hidden="1">
      <c r="A221" t="s">
        <v>483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 hidden="1">
      <c r="A222" s="6" t="s">
        <v>483</v>
      </c>
      <c r="B222" s="6" t="s">
        <v>300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 hidden="1">
      <c r="A223" s="6" t="s">
        <v>483</v>
      </c>
      <c r="B223" s="6" t="s">
        <v>300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 hidden="1">
      <c r="A224" s="6" t="s">
        <v>483</v>
      </c>
      <c r="B224" s="6" t="s">
        <v>300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 hidden="1">
      <c r="A225" s="6" t="s">
        <v>483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 hidden="1">
      <c r="A226" s="6" t="s">
        <v>483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 hidden="1">
      <c r="A227" s="6" t="s">
        <v>483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 hidden="1">
      <c r="A228" s="6" t="s">
        <v>483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 hidden="1">
      <c r="A229" s="5" t="s">
        <v>483</v>
      </c>
      <c r="B229" t="s">
        <v>332</v>
      </c>
      <c r="C229" t="s">
        <v>334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 hidden="1">
      <c r="A230" t="s">
        <v>483</v>
      </c>
      <c r="B230" t="s">
        <v>333</v>
      </c>
      <c r="C230" t="s">
        <v>335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230" xr:uid="{00000000-0001-0000-1900-000000000000}">
    <filterColumn colId="1">
      <filters>
        <filter val="D_PHS"/>
        <filter val="D_PHS_Residual"/>
      </filters>
    </filterColumn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/>
  <dimension ref="A1:S288"/>
  <sheetViews>
    <sheetView zoomScaleNormal="100" zoomScalePageLayoutView="90" workbookViewId="0">
      <selection activeCell="B14" sqref="B14:C15"/>
    </sheetView>
  </sheetViews>
  <sheetFormatPr defaultColWidth="11.44140625" defaultRowHeight="14.4"/>
  <cols>
    <col min="1" max="1" width="17" customWidth="1"/>
    <col min="2" max="2" width="23.5546875" customWidth="1"/>
    <col min="3" max="3" width="23.44140625" bestFit="1" customWidth="1"/>
    <col min="4" max="4" width="19.5546875" bestFit="1" customWidth="1"/>
  </cols>
  <sheetData>
    <row r="1" spans="1:14">
      <c r="A1" t="s">
        <v>398</v>
      </c>
    </row>
    <row r="2" spans="1:14">
      <c r="A2" t="s">
        <v>343</v>
      </c>
    </row>
    <row r="3" spans="1:14">
      <c r="A3" t="s">
        <v>383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341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>
      <c r="A6" t="s">
        <v>483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>
      <c r="A7" t="s">
        <v>483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483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483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>
      <c r="A10" t="s">
        <v>483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>
      <c r="A11" t="s">
        <v>483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>
      <c r="A12" t="s">
        <v>483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>
      <c r="A13" t="s">
        <v>483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483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483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483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t="s">
        <v>483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t="s">
        <v>483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t="s">
        <v>483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t="s">
        <v>483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t="s">
        <v>483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t="s">
        <v>483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t="s">
        <v>483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t="s">
        <v>483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t="s">
        <v>483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t="s">
        <v>483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t="s">
        <v>483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t="s">
        <v>483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t="s">
        <v>483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t="s">
        <v>483</v>
      </c>
      <c r="B30" t="s">
        <v>493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>
      <c r="A31" t="s">
        <v>483</v>
      </c>
      <c r="B31" t="s">
        <v>494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t="s">
        <v>483</v>
      </c>
      <c r="B32" t="s">
        <v>494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483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483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483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483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483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483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t="s">
        <v>483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t="s">
        <v>483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t="s">
        <v>483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t="s">
        <v>483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t="s">
        <v>483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t="s">
        <v>483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t="s">
        <v>483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t="s">
        <v>483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t="s">
        <v>483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t="s">
        <v>483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t="s">
        <v>483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t="s">
        <v>483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t="s">
        <v>483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t="s">
        <v>483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t="s">
        <v>483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t="s">
        <v>483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t="s">
        <v>483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t="s">
        <v>483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t="s">
        <v>483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t="s">
        <v>483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t="s">
        <v>483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483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483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483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483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483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483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483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483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483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483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483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483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483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483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483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483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483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 t="s">
        <v>483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t="s">
        <v>483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483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483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>
      <c r="A81" t="s">
        <v>483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>
      <c r="A82" t="s">
        <v>483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>
      <c r="A83" t="s">
        <v>483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>
      <c r="A85" t="s">
        <v>483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>
      <c r="A86" t="s">
        <v>483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483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483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>
      <c r="A90" t="s">
        <v>483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483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483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>
      <c r="A93" t="s">
        <v>483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 t="s">
        <v>483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>
      <c r="A95" t="s">
        <v>483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483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>
      <c r="A97" t="s">
        <v>483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483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>
      <c r="A99" t="s">
        <v>483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>
      <c r="A101" t="s">
        <v>483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>
      <c r="A102" t="s">
        <v>483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>
      <c r="A103" t="s">
        <v>483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>
      <c r="A104" t="s">
        <v>483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>
      <c r="A105" t="s">
        <v>483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>
      <c r="A106" t="s">
        <v>483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483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>
      <c r="A108" t="s">
        <v>483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483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>
      <c r="A110" t="s">
        <v>483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>
      <c r="A114" t="s">
        <v>483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>
      <c r="A115" t="s">
        <v>483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>
      <c r="A116" t="s">
        <v>483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 t="s">
        <v>483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 t="s">
        <v>483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>
      <c r="A119" t="s">
        <v>483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483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>
      <c r="A121" t="s">
        <v>483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483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>
      <c r="A123" t="s">
        <v>483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483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>
      <c r="A125" t="s">
        <v>483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>
      <c r="A126" t="s">
        <v>483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483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>
      <c r="A128" t="s">
        <v>483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>
      <c r="A129" t="s">
        <v>483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 t="s">
        <v>483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483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>
      <c r="A132" t="s">
        <v>483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483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>
      <c r="A134" t="s">
        <v>483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>
      <c r="A135" t="s">
        <v>483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483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483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>
      <c r="A138" t="s">
        <v>483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>
      <c r="A139" t="s">
        <v>483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>
      <c r="A140" t="s">
        <v>483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>
      <c r="A141" t="s">
        <v>483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483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>
      <c r="A143" t="s">
        <v>483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>
      <c r="A144" t="s">
        <v>483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>
      <c r="A145" t="s">
        <v>483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>
      <c r="A146" t="s">
        <v>483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>
      <c r="A147" t="s">
        <v>483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>
      <c r="A148" t="s">
        <v>483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 t="s">
        <v>483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>
      <c r="A150" t="s">
        <v>483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>
      <c r="A151" t="s">
        <v>483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>
      <c r="A152" t="s">
        <v>483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>
      <c r="A153" t="s">
        <v>483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>
      <c r="A154" t="s">
        <v>483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>
      <c r="A155" t="s">
        <v>483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>
      <c r="A156" t="s">
        <v>483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>
      <c r="A157" t="s">
        <v>483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>
      <c r="A158" t="s">
        <v>483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>
      <c r="A159" t="s">
        <v>483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>
      <c r="A160" t="s">
        <v>483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>
      <c r="A161" t="s">
        <v>483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>
      <c r="A162" t="s">
        <v>483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>
      <c r="A163" t="s">
        <v>483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>
      <c r="A164" t="s">
        <v>483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>
      <c r="A165" t="s">
        <v>483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>
      <c r="A166" t="s">
        <v>483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>
      <c r="A167" t="s">
        <v>483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>
      <c r="A168" t="s">
        <v>483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 t="s">
        <v>483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 t="s">
        <v>483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>
      <c r="A171" t="s">
        <v>483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>
      <c r="A172" t="s">
        <v>483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>
      <c r="A173" t="s">
        <v>483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>
      <c r="A174" t="s">
        <v>483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>
      <c r="A175" t="s">
        <v>483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483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483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483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483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483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483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483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>
      <c r="A183" s="11" t="s">
        <v>483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>
      <c r="A184" t="s">
        <v>483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483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483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483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>
      <c r="A188" t="s">
        <v>483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>
      <c r="A189" t="s">
        <v>483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>
      <c r="A190" t="s">
        <v>483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>
      <c r="A191" t="s">
        <v>483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>
      <c r="A192" t="s">
        <v>483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>
      <c r="A193" t="s">
        <v>483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483</v>
      </c>
      <c r="B194" t="s">
        <v>300</v>
      </c>
      <c r="C194" t="s">
        <v>299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483</v>
      </c>
      <c r="B195" t="s">
        <v>300</v>
      </c>
      <c r="C195" t="s">
        <v>299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>
      <c r="A196" t="s">
        <v>483</v>
      </c>
      <c r="B196" t="s">
        <v>301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>
      <c r="A197" t="s">
        <v>483</v>
      </c>
      <c r="B197" t="s">
        <v>302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>
      <c r="A198" t="s">
        <v>483</v>
      </c>
      <c r="B198" t="s">
        <v>303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 t="s">
        <v>483</v>
      </c>
      <c r="B199" t="s">
        <v>304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>
      <c r="A200" t="s">
        <v>483</v>
      </c>
      <c r="B200" t="s">
        <v>305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>
      <c r="A201" s="6" t="s">
        <v>483</v>
      </c>
      <c r="B201" s="2" t="s">
        <v>306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>
      <c r="A202" s="6" t="s">
        <v>483</v>
      </c>
      <c r="B202" s="2" t="s">
        <v>310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>
      <c r="A203" s="6" t="s">
        <v>483</v>
      </c>
      <c r="B203" s="2" t="s">
        <v>310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 s="6" t="s">
        <v>483</v>
      </c>
      <c r="B204" s="2" t="s">
        <v>310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>
      <c r="A205" s="6" t="s">
        <v>483</v>
      </c>
      <c r="B205" s="2" t="s">
        <v>310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>
      <c r="A206" s="6" t="s">
        <v>483</v>
      </c>
      <c r="B206" s="2" t="s">
        <v>311</v>
      </c>
      <c r="C206" t="s">
        <v>314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>
      <c r="A207" s="6" t="s">
        <v>483</v>
      </c>
      <c r="B207" s="2" t="s">
        <v>311</v>
      </c>
      <c r="C207" t="s">
        <v>315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>
      <c r="A208" s="6" t="s">
        <v>483</v>
      </c>
      <c r="B208" s="2" t="s">
        <v>311</v>
      </c>
      <c r="C208" t="s">
        <v>313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>
      <c r="A209" s="6" t="s">
        <v>483</v>
      </c>
      <c r="B209" s="2" t="s">
        <v>311</v>
      </c>
      <c r="C209" t="s">
        <v>312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>
      <c r="A210" s="6" t="s">
        <v>483</v>
      </c>
      <c r="B210" s="2" t="s">
        <v>316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>
      <c r="A211" s="6" t="s">
        <v>483</v>
      </c>
      <c r="B211" s="2" t="s">
        <v>495</v>
      </c>
      <c r="C211" t="s">
        <v>146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>
      <c r="A212" t="s">
        <v>483</v>
      </c>
      <c r="B212" t="s">
        <v>317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>
      <c r="A213" t="s">
        <v>483</v>
      </c>
      <c r="B213" t="s">
        <v>309</v>
      </c>
      <c r="C213" t="s">
        <v>312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>
      <c r="A214" t="s">
        <v>483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>
      <c r="A215" t="s">
        <v>483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>
      <c r="A216" t="s">
        <v>483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>
      <c r="A217" t="s">
        <v>483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>
      <c r="A218" t="s">
        <v>483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>
      <c r="A219" t="s">
        <v>483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>
      <c r="A220" t="s">
        <v>483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>
      <c r="A221" t="s">
        <v>483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>
      <c r="A222" t="s">
        <v>483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>
      <c r="A223" t="s">
        <v>483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>
      <c r="A224" t="s">
        <v>483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>
      <c r="A225" t="s">
        <v>483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>
      <c r="A226" t="s">
        <v>483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>
      <c r="A227" t="s">
        <v>483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>
      <c r="A228" t="s">
        <v>483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>
      <c r="A229" t="s">
        <v>483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>
      <c r="A230" t="s">
        <v>483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>
      <c r="A231" t="s">
        <v>483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>
      <c r="A232" s="11" t="s">
        <v>483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483</v>
      </c>
      <c r="B233" s="2" t="s">
        <v>327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>
      <c r="A234" s="6" t="s">
        <v>483</v>
      </c>
      <c r="B234" s="2" t="s">
        <v>329</v>
      </c>
      <c r="C234" t="s">
        <v>328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>
      <c r="A235" t="s">
        <v>483</v>
      </c>
      <c r="B235" t="s">
        <v>330</v>
      </c>
      <c r="C235" t="s">
        <v>328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>
      <c r="A236" t="s">
        <v>483</v>
      </c>
      <c r="B236" t="s">
        <v>331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>
      <c r="A237" t="s">
        <v>483</v>
      </c>
      <c r="B237" t="s">
        <v>333</v>
      </c>
      <c r="C237" t="s">
        <v>334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>
      <c r="A238" t="s">
        <v>483</v>
      </c>
      <c r="B238" t="s">
        <v>333</v>
      </c>
      <c r="C238" t="s">
        <v>335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483</v>
      </c>
      <c r="B239" t="s">
        <v>436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452</v>
      </c>
      <c r="Q239" t="s">
        <v>453</v>
      </c>
    </row>
    <row r="240" spans="1:17">
      <c r="A240" t="s">
        <v>483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452</v>
      </c>
      <c r="Q240" t="s">
        <v>453</v>
      </c>
    </row>
    <row r="241" spans="1:17">
      <c r="A241" t="s">
        <v>483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452</v>
      </c>
      <c r="Q241" t="s">
        <v>453</v>
      </c>
    </row>
    <row r="242" spans="1:17">
      <c r="A242" t="s">
        <v>483</v>
      </c>
      <c r="B242" t="s">
        <v>442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452</v>
      </c>
      <c r="Q242" t="s">
        <v>453</v>
      </c>
    </row>
    <row r="243" spans="1:17">
      <c r="A243" t="s">
        <v>483</v>
      </c>
      <c r="B243" t="s">
        <v>440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452</v>
      </c>
      <c r="Q243" t="s">
        <v>453</v>
      </c>
    </row>
    <row r="244" spans="1:17">
      <c r="A244" t="s">
        <v>483</v>
      </c>
      <c r="B244" t="s">
        <v>444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452</v>
      </c>
      <c r="Q244" t="s">
        <v>453</v>
      </c>
    </row>
    <row r="245" spans="1:17">
      <c r="A245" t="s">
        <v>483</v>
      </c>
      <c r="B245" t="s">
        <v>437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452</v>
      </c>
      <c r="Q245" t="s">
        <v>453</v>
      </c>
    </row>
    <row r="246" spans="1:17">
      <c r="A246" t="s">
        <v>483</v>
      </c>
      <c r="B246" t="s">
        <v>438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452</v>
      </c>
      <c r="Q246" t="s">
        <v>453</v>
      </c>
    </row>
    <row r="247" spans="1:17">
      <c r="A247" t="s">
        <v>483</v>
      </c>
      <c r="B247" t="s">
        <v>439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452</v>
      </c>
      <c r="Q247" t="s">
        <v>453</v>
      </c>
    </row>
    <row r="248" spans="1:17">
      <c r="A248" t="s">
        <v>483</v>
      </c>
      <c r="B248" t="s">
        <v>443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452</v>
      </c>
      <c r="Q248" t="s">
        <v>453</v>
      </c>
    </row>
    <row r="249" spans="1:17">
      <c r="A249" t="s">
        <v>483</v>
      </c>
      <c r="B249" t="s">
        <v>441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452</v>
      </c>
      <c r="Q249" t="s">
        <v>453</v>
      </c>
    </row>
    <row r="250" spans="1:17">
      <c r="A250" t="s">
        <v>483</v>
      </c>
      <c r="B250" t="s">
        <v>436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452</v>
      </c>
      <c r="Q250" t="s">
        <v>455</v>
      </c>
    </row>
    <row r="251" spans="1:17">
      <c r="A251" t="s">
        <v>483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452</v>
      </c>
      <c r="Q251" t="s">
        <v>455</v>
      </c>
    </row>
    <row r="252" spans="1:17">
      <c r="A252" t="s">
        <v>483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452</v>
      </c>
      <c r="Q252" t="s">
        <v>455</v>
      </c>
    </row>
    <row r="253" spans="1:17">
      <c r="A253" t="s">
        <v>483</v>
      </c>
      <c r="B253" t="s">
        <v>442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452</v>
      </c>
      <c r="Q253" t="s">
        <v>455</v>
      </c>
    </row>
    <row r="254" spans="1:17">
      <c r="A254" t="s">
        <v>483</v>
      </c>
      <c r="B254" t="s">
        <v>440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452</v>
      </c>
      <c r="Q254" t="s">
        <v>455</v>
      </c>
    </row>
    <row r="255" spans="1:17">
      <c r="A255" t="s">
        <v>483</v>
      </c>
      <c r="B255" t="s">
        <v>444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452</v>
      </c>
      <c r="Q255" t="s">
        <v>455</v>
      </c>
    </row>
    <row r="256" spans="1:17">
      <c r="A256" t="s">
        <v>483</v>
      </c>
      <c r="B256" t="s">
        <v>437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452</v>
      </c>
      <c r="Q256" t="s">
        <v>455</v>
      </c>
    </row>
    <row r="257" spans="1:19">
      <c r="A257" t="s">
        <v>483</v>
      </c>
      <c r="B257" t="s">
        <v>438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452</v>
      </c>
      <c r="Q257" t="s">
        <v>455</v>
      </c>
    </row>
    <row r="258" spans="1:19">
      <c r="A258" t="s">
        <v>483</v>
      </c>
      <c r="B258" t="s">
        <v>439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452</v>
      </c>
      <c r="Q258" t="s">
        <v>455</v>
      </c>
    </row>
    <row r="259" spans="1:19">
      <c r="A259" t="s">
        <v>483</v>
      </c>
      <c r="B259" t="s">
        <v>443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452</v>
      </c>
      <c r="Q259" t="s">
        <v>455</v>
      </c>
    </row>
    <row r="260" spans="1:19">
      <c r="A260" t="s">
        <v>483</v>
      </c>
      <c r="B260" t="s">
        <v>441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452</v>
      </c>
      <c r="Q260" t="s">
        <v>455</v>
      </c>
    </row>
    <row r="261" spans="1:19">
      <c r="A261" t="s">
        <v>483</v>
      </c>
      <c r="B261" t="s">
        <v>445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456</v>
      </c>
      <c r="Q261" t="s">
        <v>455</v>
      </c>
    </row>
    <row r="262" spans="1:19">
      <c r="A262" t="s">
        <v>483</v>
      </c>
      <c r="B262" t="s">
        <v>436</v>
      </c>
      <c r="C262" t="s">
        <v>434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452</v>
      </c>
      <c r="Q262" t="s">
        <v>455</v>
      </c>
      <c r="R262">
        <v>2.5680000000000001</v>
      </c>
      <c r="S262" t="s">
        <v>459</v>
      </c>
    </row>
    <row r="263" spans="1:19">
      <c r="A263" t="s">
        <v>483</v>
      </c>
      <c r="B263" t="s">
        <v>104</v>
      </c>
      <c r="C263" t="s">
        <v>434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452</v>
      </c>
      <c r="Q263" t="s">
        <v>455</v>
      </c>
      <c r="R263">
        <v>1.5309999999999999</v>
      </c>
      <c r="S263" t="s">
        <v>459</v>
      </c>
    </row>
    <row r="264" spans="1:19">
      <c r="A264" t="s">
        <v>483</v>
      </c>
      <c r="B264" t="s">
        <v>105</v>
      </c>
      <c r="C264" t="s">
        <v>434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452</v>
      </c>
      <c r="Q264" t="s">
        <v>455</v>
      </c>
      <c r="R264">
        <v>1.651</v>
      </c>
      <c r="S264" t="s">
        <v>459</v>
      </c>
    </row>
    <row r="265" spans="1:19">
      <c r="A265" t="s">
        <v>483</v>
      </c>
      <c r="B265" t="s">
        <v>442</v>
      </c>
      <c r="C265" t="s">
        <v>434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452</v>
      </c>
      <c r="Q265" t="s">
        <v>455</v>
      </c>
      <c r="R265">
        <v>1.006</v>
      </c>
      <c r="S265" t="s">
        <v>459</v>
      </c>
    </row>
    <row r="266" spans="1:19">
      <c r="A266" t="s">
        <v>483</v>
      </c>
      <c r="B266" t="s">
        <v>440</v>
      </c>
      <c r="C266" t="s">
        <v>434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452</v>
      </c>
      <c r="Q266" t="s">
        <v>455</v>
      </c>
      <c r="R266">
        <v>1.006</v>
      </c>
      <c r="S266" t="s">
        <v>459</v>
      </c>
    </row>
    <row r="267" spans="1:19">
      <c r="A267" t="s">
        <v>483</v>
      </c>
      <c r="B267" t="s">
        <v>444</v>
      </c>
      <c r="C267" t="s">
        <v>434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452</v>
      </c>
      <c r="Q267" t="s">
        <v>455</v>
      </c>
      <c r="R267">
        <v>1.006</v>
      </c>
      <c r="S267" t="s">
        <v>459</v>
      </c>
    </row>
    <row r="268" spans="1:19">
      <c r="A268" t="s">
        <v>483</v>
      </c>
      <c r="B268" t="s">
        <v>437</v>
      </c>
      <c r="C268" t="s">
        <v>434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452</v>
      </c>
      <c r="Q268" t="s">
        <v>455</v>
      </c>
      <c r="R268">
        <v>2.5680000000000001</v>
      </c>
      <c r="S268" t="s">
        <v>459</v>
      </c>
    </row>
    <row r="269" spans="1:19">
      <c r="A269" t="s">
        <v>483</v>
      </c>
      <c r="B269" t="s">
        <v>438</v>
      </c>
      <c r="C269" t="s">
        <v>434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452</v>
      </c>
      <c r="Q269" t="s">
        <v>455</v>
      </c>
      <c r="R269">
        <v>1.8320000000000001</v>
      </c>
      <c r="S269" t="s">
        <v>459</v>
      </c>
    </row>
    <row r="270" spans="1:19">
      <c r="A270" t="s">
        <v>483</v>
      </c>
      <c r="B270" t="s">
        <v>439</v>
      </c>
      <c r="C270" t="s">
        <v>434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452</v>
      </c>
      <c r="Q270" t="s">
        <v>455</v>
      </c>
      <c r="R270">
        <v>1.006</v>
      </c>
      <c r="S270" t="s">
        <v>459</v>
      </c>
    </row>
    <row r="271" spans="1:19">
      <c r="A271" t="s">
        <v>483</v>
      </c>
      <c r="B271" t="s">
        <v>443</v>
      </c>
      <c r="C271" t="s">
        <v>434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452</v>
      </c>
      <c r="Q271" t="s">
        <v>455</v>
      </c>
      <c r="R271">
        <v>1.006</v>
      </c>
      <c r="S271" t="s">
        <v>459</v>
      </c>
    </row>
    <row r="272" spans="1:19">
      <c r="A272" t="s">
        <v>483</v>
      </c>
      <c r="B272" t="s">
        <v>441</v>
      </c>
      <c r="C272" t="s">
        <v>434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452</v>
      </c>
      <c r="Q272" t="s">
        <v>455</v>
      </c>
      <c r="R272">
        <v>1.006</v>
      </c>
      <c r="S272" t="s">
        <v>459</v>
      </c>
    </row>
    <row r="273" spans="1:17">
      <c r="A273" t="s">
        <v>483</v>
      </c>
      <c r="B273" t="s">
        <v>445</v>
      </c>
      <c r="C273" t="s">
        <v>434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456</v>
      </c>
      <c r="Q273" t="s">
        <v>455</v>
      </c>
    </row>
    <row r="274" spans="1:17">
      <c r="A274" t="s">
        <v>483</v>
      </c>
      <c r="B274" t="s">
        <v>447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>
      <c r="A275" t="s">
        <v>483</v>
      </c>
      <c r="B275" t="s">
        <v>448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483</v>
      </c>
      <c r="B276" t="s">
        <v>446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457</v>
      </c>
    </row>
    <row r="277" spans="1:17">
      <c r="A277" t="s">
        <v>483</v>
      </c>
      <c r="B277" t="s">
        <v>446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457</v>
      </c>
    </row>
    <row r="278" spans="1:17">
      <c r="A278" t="s">
        <v>483</v>
      </c>
      <c r="B278" t="s">
        <v>446</v>
      </c>
      <c r="C278" t="s">
        <v>434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457</v>
      </c>
    </row>
    <row r="279" spans="1:17">
      <c r="A279" t="s">
        <v>483</v>
      </c>
      <c r="B279" t="s">
        <v>460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483</v>
      </c>
      <c r="B280" t="s">
        <v>449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483</v>
      </c>
      <c r="B281" t="s">
        <v>451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483</v>
      </c>
      <c r="B282" t="s">
        <v>450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483</v>
      </c>
      <c r="B283" t="s">
        <v>449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483</v>
      </c>
      <c r="B284" t="s">
        <v>451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483</v>
      </c>
      <c r="B285" t="s">
        <v>450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483</v>
      </c>
      <c r="B286" t="s">
        <v>449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483</v>
      </c>
      <c r="B287" t="s">
        <v>451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483</v>
      </c>
      <c r="B288" t="s">
        <v>450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autoFilter ref="A5:S288" xr:uid="{00000000-0001-0000-1A00-000000000000}"/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B40" sqref="B40"/>
    </sheetView>
  </sheetViews>
  <sheetFormatPr defaultColWidth="11.44140625" defaultRowHeight="14.4"/>
  <cols>
    <col min="1" max="1" width="18" customWidth="1"/>
    <col min="2" max="2" width="25.5546875" customWidth="1"/>
    <col min="3" max="9" width="15.44140625" customWidth="1"/>
    <col min="10" max="10" width="13.5546875" bestFit="1" customWidth="1"/>
    <col min="11" max="11" width="2" customWidth="1"/>
    <col min="12" max="12" width="20.44140625" bestFit="1" customWidth="1"/>
    <col min="13" max="13" width="30" bestFit="1" customWidth="1"/>
    <col min="14" max="14" width="26.44140625" bestFit="1" customWidth="1"/>
  </cols>
  <sheetData>
    <row r="1" spans="1:15">
      <c r="A1" t="s">
        <v>399</v>
      </c>
    </row>
    <row r="2" spans="1:15">
      <c r="A2" t="s">
        <v>4</v>
      </c>
    </row>
    <row r="3" spans="1:15">
      <c r="A3" t="s">
        <v>371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483</v>
      </c>
      <c r="B6" t="s">
        <v>300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461</v>
      </c>
      <c r="O6" t="s">
        <v>462</v>
      </c>
    </row>
    <row r="7" spans="1:15">
      <c r="A7" t="s">
        <v>483</v>
      </c>
      <c r="B7" t="s">
        <v>301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461</v>
      </c>
      <c r="O7" t="s">
        <v>462</v>
      </c>
    </row>
    <row r="8" spans="1:15">
      <c r="A8" t="s">
        <v>483</v>
      </c>
      <c r="B8" t="s">
        <v>302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461</v>
      </c>
      <c r="O8" t="s">
        <v>462</v>
      </c>
    </row>
    <row r="9" spans="1:15">
      <c r="A9" t="s">
        <v>483</v>
      </c>
      <c r="B9" t="s">
        <v>303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461</v>
      </c>
      <c r="O9" t="s">
        <v>462</v>
      </c>
    </row>
    <row r="10" spans="1:15">
      <c r="A10" t="s">
        <v>483</v>
      </c>
      <c r="B10" t="s">
        <v>304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461</v>
      </c>
      <c r="O10" t="s">
        <v>462</v>
      </c>
    </row>
    <row r="11" spans="1:15">
      <c r="A11" t="s">
        <v>483</v>
      </c>
      <c r="B11" t="s">
        <v>305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461</v>
      </c>
      <c r="O11" t="s">
        <v>462</v>
      </c>
    </row>
    <row r="12" spans="1:15">
      <c r="A12" t="s">
        <v>483</v>
      </c>
      <c r="B12" t="s">
        <v>306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463</v>
      </c>
      <c r="O12" t="s">
        <v>464</v>
      </c>
    </row>
    <row r="13" spans="1:15">
      <c r="A13" t="s">
        <v>483</v>
      </c>
      <c r="B13" t="s">
        <v>310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463</v>
      </c>
      <c r="O13" t="s">
        <v>464</v>
      </c>
    </row>
    <row r="14" spans="1:15">
      <c r="A14" t="s">
        <v>483</v>
      </c>
      <c r="B14" t="s">
        <v>311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463</v>
      </c>
      <c r="O14" t="s">
        <v>464</v>
      </c>
    </row>
    <row r="15" spans="1:15">
      <c r="A15" t="s">
        <v>483</v>
      </c>
      <c r="B15" t="s">
        <v>316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463</v>
      </c>
      <c r="O15" t="s">
        <v>464</v>
      </c>
    </row>
    <row r="16" spans="1:15">
      <c r="A16" t="s">
        <v>483</v>
      </c>
      <c r="B16" t="s">
        <v>495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463</v>
      </c>
      <c r="O16" t="s">
        <v>464</v>
      </c>
    </row>
    <row r="17" spans="1:25">
      <c r="A17" t="s">
        <v>483</v>
      </c>
      <c r="B17" t="s">
        <v>317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463</v>
      </c>
      <c r="O17" t="s">
        <v>456</v>
      </c>
      <c r="P17" t="s">
        <v>455</v>
      </c>
    </row>
    <row r="18" spans="1:25">
      <c r="A18" t="s">
        <v>483</v>
      </c>
      <c r="B18" t="s">
        <v>327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465</v>
      </c>
    </row>
    <row r="19" spans="1:25">
      <c r="A19" t="s">
        <v>483</v>
      </c>
      <c r="B19" t="s">
        <v>329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465</v>
      </c>
    </row>
    <row r="20" spans="1:25">
      <c r="A20" t="s">
        <v>483</v>
      </c>
      <c r="B20" t="s">
        <v>330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466</v>
      </c>
    </row>
    <row r="21" spans="1:25">
      <c r="A21" t="s">
        <v>483</v>
      </c>
      <c r="B21" t="s">
        <v>436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461</v>
      </c>
      <c r="O21" t="s">
        <v>462</v>
      </c>
    </row>
    <row r="22" spans="1:25" s="33" customFormat="1">
      <c r="A22" t="s">
        <v>483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461</v>
      </c>
      <c r="O22" t="s">
        <v>462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483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461</v>
      </c>
      <c r="O23" t="s">
        <v>462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483</v>
      </c>
      <c r="B24" t="s">
        <v>442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461</v>
      </c>
      <c r="O24" t="s">
        <v>462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483</v>
      </c>
      <c r="B25" t="s">
        <v>440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461</v>
      </c>
      <c r="O25" t="s">
        <v>462</v>
      </c>
    </row>
    <row r="26" spans="1:25">
      <c r="A26" t="s">
        <v>483</v>
      </c>
      <c r="B26" t="s">
        <v>444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461</v>
      </c>
      <c r="O26" t="s">
        <v>462</v>
      </c>
    </row>
    <row r="27" spans="1:25">
      <c r="A27" t="s">
        <v>483</v>
      </c>
      <c r="B27" t="s">
        <v>437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463</v>
      </c>
      <c r="O27" t="s">
        <v>464</v>
      </c>
    </row>
    <row r="28" spans="1:25">
      <c r="A28" t="s">
        <v>483</v>
      </c>
      <c r="B28" t="s">
        <v>438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463</v>
      </c>
      <c r="O28" t="s">
        <v>464</v>
      </c>
    </row>
    <row r="29" spans="1:25">
      <c r="A29" t="s">
        <v>483</v>
      </c>
      <c r="B29" t="s">
        <v>439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463</v>
      </c>
      <c r="O29" t="s">
        <v>464</v>
      </c>
    </row>
    <row r="30" spans="1:25">
      <c r="A30" t="s">
        <v>483</v>
      </c>
      <c r="B30" t="s">
        <v>443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463</v>
      </c>
      <c r="O30" t="s">
        <v>464</v>
      </c>
    </row>
    <row r="31" spans="1:25">
      <c r="A31" t="s">
        <v>483</v>
      </c>
      <c r="B31" t="s">
        <v>441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463</v>
      </c>
      <c r="O31" t="s">
        <v>464</v>
      </c>
    </row>
    <row r="32" spans="1:25">
      <c r="A32" t="s">
        <v>483</v>
      </c>
      <c r="B32" t="s">
        <v>445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463</v>
      </c>
      <c r="O32" t="s">
        <v>456</v>
      </c>
      <c r="P32" t="s">
        <v>455</v>
      </c>
    </row>
    <row r="33" spans="1:14">
      <c r="A33" t="s">
        <v>483</v>
      </c>
      <c r="B33" t="s">
        <v>447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465</v>
      </c>
    </row>
    <row r="34" spans="1:14">
      <c r="A34" t="s">
        <v>483</v>
      </c>
      <c r="B34" t="s">
        <v>448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465</v>
      </c>
    </row>
    <row r="35" spans="1:14">
      <c r="A35" t="s">
        <v>483</v>
      </c>
      <c r="B35" t="s">
        <v>446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466</v>
      </c>
    </row>
    <row r="36" spans="1:14">
      <c r="A36" t="s">
        <v>483</v>
      </c>
      <c r="B36" t="s">
        <v>460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483</v>
      </c>
      <c r="B37" t="s">
        <v>449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476</v>
      </c>
    </row>
    <row r="38" spans="1:14">
      <c r="A38" t="s">
        <v>483</v>
      </c>
      <c r="B38" t="s">
        <v>451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476</v>
      </c>
    </row>
    <row r="39" spans="1:14">
      <c r="A39" t="s">
        <v>483</v>
      </c>
      <c r="B39" t="s">
        <v>450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476</v>
      </c>
    </row>
    <row r="40" spans="1:14">
      <c r="A40" t="s">
        <v>483</v>
      </c>
      <c r="B40" t="s">
        <v>493</v>
      </c>
      <c r="C40" s="16">
        <v>10.303617571059432</v>
      </c>
      <c r="D40" s="16">
        <v>10.46610504666983</v>
      </c>
      <c r="E40" s="16">
        <v>10.605653113958761</v>
      </c>
      <c r="F40" s="16">
        <v>10.722261772926224</v>
      </c>
      <c r="G40" s="16">
        <v>10.815931023572221</v>
      </c>
      <c r="H40" s="16">
        <v>10.886660865896749</v>
      </c>
      <c r="I40" s="16">
        <v>10.934451299899804</v>
      </c>
      <c r="J40" s="16">
        <v>10.959302325581396</v>
      </c>
    </row>
    <row r="41" spans="1:14">
      <c r="A41" t="s">
        <v>483</v>
      </c>
      <c r="B41" t="s">
        <v>494</v>
      </c>
      <c r="C41" s="16">
        <v>10.303617571059432</v>
      </c>
      <c r="D41" s="16">
        <v>10.46610504666983</v>
      </c>
      <c r="E41" s="16">
        <v>10.605653113958761</v>
      </c>
      <c r="F41" s="16">
        <v>10.722261772926224</v>
      </c>
      <c r="G41" s="16">
        <v>10.815931023572221</v>
      </c>
      <c r="H41" s="16">
        <v>10.886660865896749</v>
      </c>
      <c r="I41" s="16">
        <v>10.934451299899804</v>
      </c>
      <c r="J41" s="16">
        <v>10.959302325581396</v>
      </c>
    </row>
    <row r="42" spans="1:14">
      <c r="C42" s="16"/>
      <c r="D42" s="16"/>
      <c r="E42" s="16"/>
      <c r="F42" s="16"/>
      <c r="G42" s="16"/>
      <c r="H42" s="16"/>
      <c r="I42" s="16"/>
      <c r="J42" s="16"/>
    </row>
    <row r="43" spans="1:14">
      <c r="B43" s="2"/>
      <c r="C43" s="16"/>
      <c r="D43" s="16"/>
      <c r="E43" s="16"/>
      <c r="F43" s="16"/>
      <c r="G43" s="16"/>
      <c r="H43" s="16"/>
      <c r="I43" s="16"/>
      <c r="J43" s="16"/>
    </row>
    <row r="44" spans="1:14">
      <c r="B44" s="2"/>
      <c r="C44" s="16"/>
      <c r="D44" s="16"/>
      <c r="E44" s="16"/>
      <c r="F44" s="16"/>
      <c r="G44" s="16"/>
      <c r="H44" s="16"/>
      <c r="I44" s="16"/>
      <c r="J44" s="16"/>
    </row>
    <row r="45" spans="1:14">
      <c r="B45" s="2"/>
      <c r="C45" s="16"/>
      <c r="D45" s="16"/>
      <c r="E45" s="16"/>
      <c r="F45" s="16"/>
      <c r="G45" s="16"/>
      <c r="H45" s="16"/>
      <c r="I45" s="16"/>
      <c r="J45" s="16"/>
    </row>
    <row r="46" spans="1:14">
      <c r="B46" s="2"/>
      <c r="C46" s="16"/>
      <c r="D46" s="16"/>
      <c r="E46" s="16"/>
      <c r="F46" s="16"/>
      <c r="G46" s="16"/>
      <c r="H46" s="16"/>
      <c r="I46" s="16"/>
      <c r="J46" s="16"/>
    </row>
    <row r="47" spans="1:14">
      <c r="B47" s="2"/>
      <c r="C47" s="16"/>
      <c r="D47" s="16"/>
      <c r="E47" s="16"/>
      <c r="F47" s="16"/>
      <c r="G47" s="16"/>
      <c r="H47" s="16"/>
      <c r="I47" s="16"/>
      <c r="J47" s="16"/>
    </row>
    <row r="48" spans="1:14">
      <c r="B48" s="2"/>
      <c r="C48" s="16"/>
      <c r="D48" s="16"/>
      <c r="E48" s="16"/>
      <c r="F48" s="16"/>
      <c r="G48" s="16"/>
      <c r="H48" s="16"/>
      <c r="I48" s="16"/>
      <c r="J48" s="16"/>
    </row>
    <row r="49" spans="2:10">
      <c r="B49" s="2"/>
      <c r="C49" s="16"/>
      <c r="D49" s="16"/>
      <c r="E49" s="16"/>
      <c r="F49" s="16"/>
      <c r="G49" s="16"/>
      <c r="H49" s="16"/>
      <c r="I49" s="16"/>
      <c r="J49" s="16"/>
    </row>
    <row r="50" spans="2:10">
      <c r="B50" s="2"/>
      <c r="C50" s="16"/>
      <c r="D50" s="16"/>
      <c r="E50" s="16"/>
      <c r="F50" s="16"/>
      <c r="G50" s="16"/>
      <c r="H50" s="16"/>
      <c r="I50" s="16"/>
      <c r="J50" s="16"/>
    </row>
    <row r="51" spans="2:10">
      <c r="B51" s="2"/>
      <c r="C51" s="16"/>
      <c r="D51" s="16"/>
      <c r="E51" s="16"/>
      <c r="F51" s="16"/>
      <c r="G51" s="16"/>
      <c r="H51" s="16"/>
      <c r="I51" s="16"/>
      <c r="J51" s="16"/>
    </row>
    <row r="52" spans="2:10">
      <c r="C52" s="42"/>
      <c r="D52" s="42"/>
      <c r="E52" s="42"/>
      <c r="F52" s="42"/>
      <c r="G52" s="42"/>
      <c r="H52" s="42"/>
      <c r="I52" s="42"/>
      <c r="J52" s="42"/>
    </row>
    <row r="53" spans="2:10">
      <c r="C53" s="16"/>
      <c r="D53" s="16"/>
      <c r="E53" s="16"/>
      <c r="F53" s="16"/>
      <c r="G53" s="16"/>
      <c r="H53" s="16"/>
      <c r="I53" s="16"/>
      <c r="J53" s="16"/>
    </row>
    <row r="59" spans="2:10">
      <c r="C59" s="43"/>
      <c r="F59" s="43"/>
      <c r="H59" s="43"/>
      <c r="J59" s="43"/>
    </row>
    <row r="60" spans="2:10">
      <c r="C60" s="43"/>
      <c r="D60" s="43"/>
      <c r="E60" s="43"/>
      <c r="F60" s="43"/>
      <c r="G60" s="43"/>
      <c r="H60" s="43"/>
      <c r="I60" s="43"/>
      <c r="J60" s="43"/>
    </row>
    <row r="65" spans="3:10">
      <c r="C65" s="44"/>
      <c r="D65" s="44"/>
      <c r="E65" s="44"/>
      <c r="F65" s="44"/>
      <c r="G65" s="44"/>
      <c r="H65" s="44"/>
      <c r="I65" s="44"/>
      <c r="J65" s="44"/>
    </row>
    <row r="66" spans="3:10">
      <c r="C66" s="16"/>
      <c r="D66" s="16"/>
      <c r="E66" s="16"/>
      <c r="F66" s="16"/>
      <c r="G66" s="16"/>
      <c r="H66" s="16"/>
      <c r="I66" s="16"/>
      <c r="J66" s="16"/>
    </row>
    <row r="67" spans="3:10">
      <c r="C67" s="16"/>
      <c r="D67" s="16"/>
      <c r="E67" s="16"/>
      <c r="F67" s="16"/>
      <c r="G67" s="16"/>
      <c r="H67" s="16"/>
      <c r="I67" s="16"/>
      <c r="J67" s="16"/>
    </row>
    <row r="68" spans="3:10">
      <c r="C68" s="16"/>
      <c r="D68" s="16"/>
      <c r="E68" s="16"/>
      <c r="F68" s="16"/>
      <c r="G68" s="16"/>
      <c r="H68" s="16"/>
      <c r="I68" s="16"/>
      <c r="J68" s="16"/>
    </row>
    <row r="69" spans="3:10">
      <c r="C69" s="16"/>
      <c r="D69" s="16"/>
      <c r="E69" s="16"/>
      <c r="F69" s="16"/>
      <c r="G69" s="16"/>
      <c r="H69" s="16"/>
      <c r="I69" s="16"/>
      <c r="J69" s="16"/>
    </row>
    <row r="70" spans="3:10">
      <c r="C70" s="16"/>
      <c r="D70" s="16"/>
      <c r="E70" s="16"/>
      <c r="F70" s="16"/>
      <c r="G70" s="16"/>
      <c r="H70" s="16"/>
      <c r="I70" s="16"/>
      <c r="J70" s="16"/>
    </row>
    <row r="71" spans="3:10">
      <c r="C71" s="16"/>
      <c r="D71" s="16"/>
      <c r="E71" s="16"/>
      <c r="F71" s="16"/>
      <c r="G71" s="16"/>
      <c r="H71" s="16"/>
      <c r="I71" s="16"/>
      <c r="J71" s="16"/>
    </row>
    <row r="72" spans="3:10">
      <c r="C72" s="16"/>
      <c r="D72" s="16"/>
      <c r="E72" s="16"/>
      <c r="F72" s="16"/>
      <c r="G72" s="16"/>
      <c r="H72" s="16"/>
      <c r="I72" s="16"/>
      <c r="J72" s="16"/>
    </row>
    <row r="73" spans="3:10">
      <c r="C73" s="44"/>
      <c r="D73" s="44"/>
      <c r="E73" s="44"/>
      <c r="F73" s="44"/>
      <c r="G73" s="44"/>
      <c r="H73" s="44"/>
      <c r="I73" s="44"/>
      <c r="J73" s="44"/>
    </row>
    <row r="74" spans="3:10">
      <c r="C74" s="44"/>
      <c r="D74" s="44"/>
      <c r="E74" s="44"/>
      <c r="F74" s="44"/>
      <c r="G74" s="44"/>
      <c r="H74" s="44"/>
      <c r="I74" s="44"/>
      <c r="J74" s="44"/>
    </row>
    <row r="75" spans="3:10">
      <c r="C75" s="16"/>
      <c r="D75" s="16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4"/>
      <c r="D118" s="44"/>
      <c r="E118" s="44"/>
      <c r="F118" s="44"/>
      <c r="G118" s="44"/>
      <c r="H118" s="44"/>
      <c r="I118" s="44"/>
      <c r="J118" s="44"/>
    </row>
    <row r="119" spans="3:10">
      <c r="C119" s="44"/>
      <c r="D119" s="44"/>
      <c r="E119" s="44"/>
      <c r="F119" s="44"/>
      <c r="G119" s="44"/>
      <c r="H119" s="44"/>
      <c r="I119" s="44"/>
      <c r="J119" s="44"/>
    </row>
    <row r="120" spans="3:10">
      <c r="C120" s="44"/>
      <c r="D120" s="44"/>
      <c r="E120" s="44"/>
      <c r="F120" s="44"/>
      <c r="G120" s="44"/>
      <c r="H120" s="44"/>
      <c r="I120" s="44"/>
      <c r="J120" s="44"/>
    </row>
    <row r="121" spans="3:10">
      <c r="C121" s="44"/>
      <c r="D121" s="44"/>
      <c r="E121" s="44"/>
      <c r="F121" s="44"/>
      <c r="G121" s="44"/>
      <c r="H121" s="44"/>
      <c r="I121" s="44"/>
      <c r="J121" s="44"/>
    </row>
    <row r="122" spans="3:10">
      <c r="C122" s="44"/>
      <c r="D122" s="44"/>
      <c r="E122" s="44"/>
      <c r="F122" s="44"/>
      <c r="G122" s="44"/>
      <c r="H122" s="44"/>
      <c r="I122" s="44"/>
      <c r="J122" s="44"/>
    </row>
    <row r="123" spans="3:10">
      <c r="C123" s="44"/>
      <c r="D123" s="44"/>
      <c r="E123" s="44"/>
      <c r="F123" s="44"/>
      <c r="G123" s="44"/>
      <c r="H123" s="44"/>
      <c r="I123" s="44"/>
      <c r="J123" s="44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4"/>
      <c r="D126" s="16"/>
      <c r="E126" s="16"/>
      <c r="F126" s="16"/>
      <c r="G126" s="16"/>
      <c r="H126" s="16"/>
      <c r="I126" s="16"/>
      <c r="J126" s="44"/>
    </row>
    <row r="127" spans="3:10">
      <c r="C127" s="44"/>
      <c r="D127" s="44"/>
      <c r="E127" s="44"/>
      <c r="F127" s="44"/>
      <c r="G127" s="44"/>
      <c r="H127" s="44"/>
      <c r="I127" s="44"/>
      <c r="J127" s="44"/>
    </row>
    <row r="128" spans="3:10">
      <c r="C128" s="44"/>
      <c r="D128" s="44"/>
      <c r="E128" s="44"/>
      <c r="F128" s="44"/>
      <c r="G128" s="44"/>
      <c r="H128" s="44"/>
      <c r="I128" s="44"/>
      <c r="J128" s="44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5"/>
      <c r="D138" s="45"/>
      <c r="E138" s="45"/>
      <c r="F138" s="45"/>
      <c r="G138" s="45"/>
      <c r="H138" s="45"/>
      <c r="I138" s="45"/>
      <c r="J138" s="45"/>
    </row>
    <row r="139" spans="1:10">
      <c r="A139" s="5"/>
      <c r="B139" s="2"/>
      <c r="C139" s="45"/>
      <c r="D139" s="45"/>
      <c r="E139" s="45"/>
      <c r="F139" s="45"/>
      <c r="G139" s="45"/>
      <c r="H139" s="45"/>
      <c r="I139" s="45"/>
      <c r="J139" s="45"/>
    </row>
    <row r="140" spans="1:10">
      <c r="A140" s="5"/>
      <c r="B140" s="2"/>
      <c r="C140" s="45"/>
      <c r="D140" s="45"/>
      <c r="E140" s="45"/>
      <c r="F140" s="45"/>
      <c r="G140" s="45"/>
      <c r="H140" s="45"/>
      <c r="I140" s="45"/>
      <c r="J140" s="45"/>
    </row>
    <row r="141" spans="1:10">
      <c r="A141" s="5"/>
      <c r="B141" s="2"/>
      <c r="C141" s="45"/>
      <c r="D141" s="45"/>
      <c r="E141" s="45"/>
      <c r="F141" s="45"/>
      <c r="G141" s="45"/>
      <c r="H141" s="45"/>
      <c r="I141" s="45"/>
      <c r="J141" s="45"/>
    </row>
    <row r="142" spans="1:10">
      <c r="A142" s="5"/>
      <c r="B142" s="2"/>
      <c r="C142" s="45"/>
      <c r="D142" s="45"/>
      <c r="E142" s="45"/>
      <c r="F142" s="45"/>
      <c r="G142" s="45"/>
      <c r="H142" s="45"/>
      <c r="I142" s="45"/>
      <c r="J142" s="45"/>
    </row>
    <row r="144" spans="1:10">
      <c r="A144" s="5"/>
      <c r="B144" s="2"/>
      <c r="C144" s="44"/>
      <c r="D144" s="16"/>
      <c r="E144" s="16"/>
      <c r="F144" s="16"/>
      <c r="G144" s="16"/>
      <c r="H144" s="16"/>
      <c r="I144" s="16"/>
      <c r="J144" s="44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4"/>
    </row>
  </sheetData>
  <autoFilter ref="A5:Y41" xr:uid="{00000000-0001-0000-1B00-000000000000}"/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 filterMode="1"/>
  <dimension ref="A1:P221"/>
  <sheetViews>
    <sheetView workbookViewId="0">
      <selection activeCell="G47" sqref="G47"/>
    </sheetView>
  </sheetViews>
  <sheetFormatPr defaultColWidth="11.44140625" defaultRowHeight="14.4"/>
  <cols>
    <col min="2" max="2" width="20.44140625" customWidth="1"/>
    <col min="3" max="3" width="19.5546875" bestFit="1" customWidth="1"/>
    <col min="12" max="12" width="2.109375" customWidth="1"/>
  </cols>
  <sheetData>
    <row r="1" spans="1:11">
      <c r="A1" t="s">
        <v>400</v>
      </c>
    </row>
    <row r="2" spans="1:11">
      <c r="A2" t="s">
        <v>344</v>
      </c>
    </row>
    <row r="3" spans="1:11">
      <c r="A3" t="s">
        <v>363</v>
      </c>
    </row>
    <row r="5" spans="1:11">
      <c r="A5" t="s">
        <v>20</v>
      </c>
      <c r="B5" t="s">
        <v>26</v>
      </c>
      <c r="C5" t="s">
        <v>341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 hidden="1">
      <c r="A6" t="s">
        <v>483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idden="1">
      <c r="A7" t="s">
        <v>483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hidden="1">
      <c r="A8" t="s">
        <v>483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hidden="1">
      <c r="A9" t="s">
        <v>483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hidden="1">
      <c r="A10" t="s">
        <v>483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hidden="1">
      <c r="A11" t="s">
        <v>483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idden="1">
      <c r="A12" t="s">
        <v>483</v>
      </c>
      <c r="B12" t="s">
        <v>493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idden="1">
      <c r="A13" t="s">
        <v>483</v>
      </c>
      <c r="B13" t="s">
        <v>494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idden="1">
      <c r="A14" t="s">
        <v>483</v>
      </c>
      <c r="B14" t="s">
        <v>498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idden="1">
      <c r="A15" t="s">
        <v>483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idden="1">
      <c r="A16" t="s">
        <v>483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idden="1">
      <c r="A17" t="s">
        <v>483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hidden="1">
      <c r="A18" t="s">
        <v>483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idden="1">
      <c r="A19" t="s">
        <v>483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idden="1">
      <c r="A20" t="s">
        <v>483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idden="1">
      <c r="A21" t="s">
        <v>483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idden="1">
      <c r="A22" t="s">
        <v>483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hidden="1">
      <c r="A23" t="s">
        <v>483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hidden="1">
      <c r="A24" t="s">
        <v>483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hidden="1">
      <c r="A25" t="s">
        <v>483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hidden="1">
      <c r="A26" t="s">
        <v>483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hidden="1">
      <c r="A27" t="s">
        <v>483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idden="1">
      <c r="A28" t="s">
        <v>483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hidden="1">
      <c r="A29" t="s">
        <v>483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idden="1">
      <c r="A30" t="s">
        <v>483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 hidden="1">
      <c r="A31" t="s">
        <v>483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 hidden="1">
      <c r="A32" t="s">
        <v>483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483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483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483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483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483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483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483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483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483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483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483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483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483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483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483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483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483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 hidden="1">
      <c r="A50" t="s">
        <v>483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 hidden="1">
      <c r="A51" t="s">
        <v>483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 hidden="1">
      <c r="A52" t="s">
        <v>483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 hidden="1">
      <c r="A53" t="s">
        <v>483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 hidden="1">
      <c r="A54" t="s">
        <v>483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 hidden="1">
      <c r="A55" t="s">
        <v>483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 hidden="1">
      <c r="A56" t="s">
        <v>483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 hidden="1">
      <c r="A57" t="s">
        <v>483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 hidden="1">
      <c r="A58" t="s">
        <v>483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hidden="1">
      <c r="A59" t="s">
        <v>483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hidden="1">
      <c r="A60" t="s">
        <v>483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 hidden="1">
      <c r="A61" t="s">
        <v>483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 hidden="1">
      <c r="A62" t="s">
        <v>483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 hidden="1">
      <c r="A63" t="s">
        <v>483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 hidden="1">
      <c r="A64" t="s">
        <v>483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 hidden="1">
      <c r="A65" t="s">
        <v>483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 hidden="1">
      <c r="A66" t="s">
        <v>483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 hidden="1">
      <c r="A67" t="s">
        <v>483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 hidden="1">
      <c r="A68" t="s">
        <v>483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 hidden="1">
      <c r="A69" t="s">
        <v>483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 hidden="1">
      <c r="A70" t="s">
        <v>483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 hidden="1">
      <c r="A71" t="s">
        <v>483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 hidden="1">
      <c r="A72" t="s">
        <v>483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 hidden="1">
      <c r="A73" t="s">
        <v>483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 hidden="1">
      <c r="A74" t="s">
        <v>483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 hidden="1">
      <c r="A75" t="s">
        <v>483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 hidden="1">
      <c r="A76" t="s">
        <v>483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 hidden="1">
      <c r="A77" t="s">
        <v>483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 hidden="1">
      <c r="A78" t="s">
        <v>483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 hidden="1">
      <c r="A79" t="s">
        <v>483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 hidden="1">
      <c r="A80" t="s">
        <v>483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 hidden="1">
      <c r="A81" t="s">
        <v>483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 hidden="1">
      <c r="A82" t="s">
        <v>483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 hidden="1">
      <c r="A83" t="s">
        <v>483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483</v>
      </c>
      <c r="B84" t="s">
        <v>306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483</v>
      </c>
      <c r="B85" t="s">
        <v>301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483</v>
      </c>
      <c r="B86" t="s">
        <v>304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483</v>
      </c>
      <c r="B87" t="s">
        <v>303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483</v>
      </c>
      <c r="B88" t="s">
        <v>305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483</v>
      </c>
      <c r="B89" t="s">
        <v>302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 hidden="1">
      <c r="A90" t="s">
        <v>483</v>
      </c>
      <c r="B90" t="s">
        <v>309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 hidden="1">
      <c r="A91" t="s">
        <v>483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 hidden="1">
      <c r="A92" t="s">
        <v>280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 hidden="1">
      <c r="A93" t="s">
        <v>278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 hidden="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 hidden="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 hidden="1">
      <c r="A96" t="s">
        <v>483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 hidden="1">
      <c r="A97" t="s">
        <v>282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 hidden="1">
      <c r="A98" t="s">
        <v>281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 hidden="1">
      <c r="A99" t="s">
        <v>280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 hidden="1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 hidden="1">
      <c r="A101" s="5" t="s">
        <v>483</v>
      </c>
      <c r="B101" s="2" t="s">
        <v>329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 hidden="1">
      <c r="A102" s="5" t="s">
        <v>483</v>
      </c>
      <c r="B102" s="2" t="s">
        <v>330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 hidden="1">
      <c r="A103" t="s">
        <v>483</v>
      </c>
      <c r="B103" t="s">
        <v>331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 hidden="1">
      <c r="A104" t="s">
        <v>483</v>
      </c>
      <c r="B104" t="s">
        <v>447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467</v>
      </c>
      <c r="P104">
        <v>1.4733516980271617</v>
      </c>
    </row>
    <row r="105" spans="1:16" hidden="1">
      <c r="A105" t="s">
        <v>483</v>
      </c>
      <c r="B105" t="s">
        <v>448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autoFilter ref="A5:P105" xr:uid="{00000000-0001-0000-1C00-000000000000}">
    <filterColumn colId="1">
      <filters>
        <filter val="RES_Biogas"/>
        <filter val="RES_Biomass"/>
        <filter val="RES_CSP"/>
        <filter val="RES_CSP_Storage"/>
        <filter val="RES_Geothermal"/>
        <filter val="RES_Grass"/>
        <filter val="RES_Hydro_Large"/>
        <filter val="RES_Hydro_Small"/>
        <filter val="RES_Ocean"/>
        <filter val="RES_Paper_Cardboard"/>
        <filter val="RES_PV_Rooftop"/>
        <filter val="RES_PV_Utility_Avg"/>
        <filter val="RES_PV_Utility_Inf"/>
        <filter val="RES_PV_Utility_Opt"/>
        <filter val="RES_Residues"/>
        <filter val="RES_Roundwood"/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  <filter val="RES_Wood"/>
      </filters>
    </filterColumn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G41" sqref="G41"/>
    </sheetView>
  </sheetViews>
  <sheetFormatPr defaultColWidth="11.44140625" defaultRowHeight="14.4"/>
  <cols>
    <col min="1" max="1" width="11.44140625" style="5"/>
    <col min="2" max="2" width="24.109375" style="5" customWidth="1"/>
    <col min="3" max="3" width="11.44140625" style="5"/>
    <col min="4" max="9" width="15.5546875" style="5" customWidth="1"/>
    <col min="10" max="10" width="11.44140625" style="5"/>
    <col min="11" max="11" width="2" style="5" customWidth="1"/>
    <col min="12" max="12" width="23.44140625" style="5" customWidth="1"/>
    <col min="13" max="13" width="46.88671875" style="5" customWidth="1"/>
    <col min="14" max="14" width="26.109375" style="5" bestFit="1" customWidth="1"/>
    <col min="15" max="16384" width="11.44140625" style="5"/>
  </cols>
  <sheetData>
    <row r="1" spans="1:15">
      <c r="A1" t="s">
        <v>401</v>
      </c>
    </row>
    <row r="2" spans="1:15">
      <c r="A2" s="5" t="s">
        <v>3</v>
      </c>
    </row>
    <row r="3" spans="1:15">
      <c r="A3" t="s">
        <v>371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483</v>
      </c>
      <c r="B6" s="5" t="s">
        <v>300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483</v>
      </c>
      <c r="B7" s="5" t="s">
        <v>301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483</v>
      </c>
      <c r="B8" s="5" t="s">
        <v>302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483</v>
      </c>
      <c r="B9" s="5" t="s">
        <v>303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483</v>
      </c>
      <c r="B10" s="5" t="s">
        <v>304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483</v>
      </c>
      <c r="B11" s="5" t="s">
        <v>305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483</v>
      </c>
      <c r="B12" s="5" t="s">
        <v>306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483</v>
      </c>
      <c r="B13" s="5" t="s">
        <v>310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483</v>
      </c>
      <c r="B14" s="5" t="s">
        <v>311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483</v>
      </c>
      <c r="B15" s="5" t="s">
        <v>316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483</v>
      </c>
      <c r="B16" s="5" t="s">
        <v>495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483</v>
      </c>
      <c r="B17" s="5" t="s">
        <v>317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483</v>
      </c>
      <c r="B18" s="5" t="s">
        <v>327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483</v>
      </c>
      <c r="B19" s="5" t="s">
        <v>329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483</v>
      </c>
      <c r="B20" s="5" t="s">
        <v>330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483</v>
      </c>
      <c r="B21" s="5" t="s">
        <v>449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483</v>
      </c>
      <c r="B22" s="5" t="s">
        <v>451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483</v>
      </c>
      <c r="B23" s="5" t="s">
        <v>450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483</v>
      </c>
      <c r="B24" s="5" t="s">
        <v>436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483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483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483</v>
      </c>
      <c r="B27" s="5" t="s">
        <v>442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483</v>
      </c>
      <c r="B28" s="5" t="s">
        <v>440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483</v>
      </c>
      <c r="B29" s="5" t="s">
        <v>444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483</v>
      </c>
      <c r="B30" s="5" t="s">
        <v>437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461</v>
      </c>
    </row>
    <row r="31" spans="1:14">
      <c r="A31" s="5" t="s">
        <v>483</v>
      </c>
      <c r="B31" s="5" t="s">
        <v>438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461</v>
      </c>
    </row>
    <row r="32" spans="1:14">
      <c r="A32" s="5" t="s">
        <v>483</v>
      </c>
      <c r="B32" s="5" t="s">
        <v>439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461</v>
      </c>
    </row>
    <row r="33" spans="1:14">
      <c r="A33" s="5" t="s">
        <v>483</v>
      </c>
      <c r="B33" s="5" t="s">
        <v>443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461</v>
      </c>
    </row>
    <row r="34" spans="1:14">
      <c r="A34" s="5" t="s">
        <v>483</v>
      </c>
      <c r="B34" s="5" t="s">
        <v>441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461</v>
      </c>
    </row>
    <row r="35" spans="1:14">
      <c r="A35" s="5" t="s">
        <v>483</v>
      </c>
      <c r="B35" s="5" t="s">
        <v>445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461</v>
      </c>
    </row>
    <row r="36" spans="1:14">
      <c r="A36" s="5" t="s">
        <v>483</v>
      </c>
      <c r="B36" s="5" t="s">
        <v>447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463</v>
      </c>
    </row>
    <row r="37" spans="1:14">
      <c r="A37" s="5" t="s">
        <v>483</v>
      </c>
      <c r="B37" s="5" t="s">
        <v>448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463</v>
      </c>
    </row>
    <row r="38" spans="1:14">
      <c r="A38" s="5" t="s">
        <v>483</v>
      </c>
      <c r="B38" s="5" t="s">
        <v>446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468</v>
      </c>
    </row>
    <row r="39" spans="1:14">
      <c r="A39" s="5" t="s">
        <v>483</v>
      </c>
      <c r="B39" s="5" t="s">
        <v>460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>
    <tabColor theme="5" tint="0.79998168889431442"/>
  </sheetPr>
  <dimension ref="A1:AB1096"/>
  <sheetViews>
    <sheetView zoomScale="85" zoomScaleNormal="85" zoomScalePageLayoutView="90" workbookViewId="0">
      <selection activeCell="J25" sqref="J25"/>
    </sheetView>
  </sheetViews>
  <sheetFormatPr defaultColWidth="11.44140625" defaultRowHeight="14.4"/>
  <cols>
    <col min="1" max="1" width="19" customWidth="1"/>
    <col min="2" max="2" width="28.44140625" customWidth="1"/>
    <col min="3" max="3" width="9.5546875" bestFit="1" customWidth="1"/>
    <col min="11" max="11" width="8.77734375" customWidth="1"/>
    <col min="12" max="12" width="13" bestFit="1" customWidth="1"/>
  </cols>
  <sheetData>
    <row r="1" spans="1:10">
      <c r="A1" t="s">
        <v>402</v>
      </c>
    </row>
    <row r="2" spans="1:10">
      <c r="A2" t="s">
        <v>5</v>
      </c>
    </row>
    <row r="3" spans="1:10">
      <c r="A3" t="s">
        <v>365</v>
      </c>
    </row>
    <row r="5" spans="1:10">
      <c r="C5" s="46">
        <v>2018</v>
      </c>
      <c r="D5" s="46">
        <v>2021</v>
      </c>
      <c r="E5" s="46">
        <v>2025</v>
      </c>
      <c r="F5" s="46">
        <v>2030</v>
      </c>
      <c r="G5" s="46">
        <v>2035</v>
      </c>
      <c r="H5" s="46">
        <v>2040</v>
      </c>
      <c r="I5" s="46">
        <v>2045</v>
      </c>
      <c r="J5" s="46">
        <v>2050</v>
      </c>
    </row>
    <row r="6" spans="1:10" ht="14.4" customHeight="1">
      <c r="A6" s="48" t="s">
        <v>478</v>
      </c>
      <c r="B6" s="48" t="s">
        <v>93</v>
      </c>
      <c r="C6" s="74">
        <f>0.00386</f>
        <v>3.8600000000000001E-3</v>
      </c>
      <c r="D6" s="75">
        <v>3.8999999999999998E-3</v>
      </c>
      <c r="E6" s="76">
        <v>3.8999999999999998E-3</v>
      </c>
      <c r="F6" s="76">
        <v>3.8999999999999998E-3</v>
      </c>
      <c r="G6" s="76">
        <v>3.8999999999999998E-3</v>
      </c>
      <c r="H6" s="76">
        <v>3.8999999999999998E-3</v>
      </c>
      <c r="I6" s="76">
        <v>0</v>
      </c>
      <c r="J6" s="76">
        <v>0</v>
      </c>
    </row>
    <row r="7" spans="1:10" ht="14.4" customHeight="1">
      <c r="A7" s="48" t="s">
        <v>478</v>
      </c>
      <c r="B7" s="48" t="s">
        <v>90</v>
      </c>
      <c r="C7" s="74">
        <f>0.00222</f>
        <v>2.2200000000000002E-3</v>
      </c>
      <c r="D7" s="75">
        <v>2.1299999999999999E-3</v>
      </c>
      <c r="E7" s="76">
        <v>2.1299999999999999E-3</v>
      </c>
      <c r="F7" s="76">
        <v>2.1299999999999999E-3</v>
      </c>
      <c r="G7" s="76">
        <v>2.1299999999999999E-3</v>
      </c>
      <c r="H7" s="76">
        <v>0</v>
      </c>
      <c r="I7" s="76">
        <v>0</v>
      </c>
      <c r="J7" s="76">
        <v>0</v>
      </c>
    </row>
    <row r="8" spans="1:10" ht="14.4" customHeight="1">
      <c r="A8" s="48" t="s">
        <v>478</v>
      </c>
      <c r="B8" s="48" t="s">
        <v>56</v>
      </c>
      <c r="C8" s="74">
        <v>7.1000000000000004E-3</v>
      </c>
      <c r="D8" s="75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</row>
    <row r="9" spans="1:10" ht="14.4" customHeight="1">
      <c r="A9" s="48" t="s">
        <v>479</v>
      </c>
      <c r="B9" s="48" t="s">
        <v>93</v>
      </c>
      <c r="C9" s="74">
        <v>3.5999999999999999E-3</v>
      </c>
      <c r="D9" s="74">
        <v>8.8999999999999999E-3</v>
      </c>
      <c r="E9" s="77">
        <v>8.8999999999999999E-3</v>
      </c>
      <c r="F9" s="77">
        <v>8.8999999999999999E-3</v>
      </c>
      <c r="G9" s="77">
        <v>8.8999999999999999E-3</v>
      </c>
      <c r="H9" s="77">
        <v>0</v>
      </c>
      <c r="I9" s="77">
        <v>0</v>
      </c>
      <c r="J9" s="77">
        <v>0</v>
      </c>
    </row>
    <row r="10" spans="1:10" ht="14.4" customHeight="1">
      <c r="A10" s="48" t="s">
        <v>479</v>
      </c>
      <c r="B10" s="48" t="s">
        <v>90</v>
      </c>
      <c r="C10" s="74">
        <v>0</v>
      </c>
      <c r="D10" s="74">
        <v>2.5699999999999998E-3</v>
      </c>
      <c r="E10" s="77">
        <v>2.5699999999999998E-3</v>
      </c>
      <c r="F10" s="77">
        <v>2.5699999999999998E-3</v>
      </c>
      <c r="G10" s="77">
        <v>2.5699999999999998E-3</v>
      </c>
      <c r="H10" s="77">
        <v>0</v>
      </c>
      <c r="I10" s="77">
        <v>0</v>
      </c>
      <c r="J10" s="77">
        <v>0</v>
      </c>
    </row>
    <row r="11" spans="1:10" ht="14.4" customHeight="1">
      <c r="A11" s="48" t="s">
        <v>480</v>
      </c>
      <c r="B11" s="48" t="s">
        <v>93</v>
      </c>
      <c r="C11" s="74">
        <v>1.9300000000000001E-3</v>
      </c>
      <c r="D11" s="74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</row>
    <row r="12" spans="1:10" ht="14.4" customHeight="1">
      <c r="A12" s="48" t="s">
        <v>480</v>
      </c>
      <c r="B12" s="48" t="s">
        <v>90</v>
      </c>
      <c r="C12" s="74">
        <v>0</v>
      </c>
      <c r="D12" s="74">
        <v>2.8600000000000001E-3</v>
      </c>
      <c r="E12" s="77">
        <v>2.8600000000000001E-3</v>
      </c>
      <c r="F12" s="77">
        <v>2.8600000000000001E-3</v>
      </c>
      <c r="G12" s="77">
        <v>2.8600000000000001E-3</v>
      </c>
      <c r="H12" s="77">
        <v>0</v>
      </c>
      <c r="I12" s="77">
        <v>0</v>
      </c>
      <c r="J12" s="77">
        <v>0</v>
      </c>
    </row>
    <row r="13" spans="1:10" ht="14.4" customHeight="1">
      <c r="A13" s="48" t="s">
        <v>480</v>
      </c>
      <c r="B13" s="48" t="s">
        <v>56</v>
      </c>
      <c r="C13" s="74">
        <v>1.5E-3</v>
      </c>
      <c r="D13" s="74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0</v>
      </c>
    </row>
    <row r="14" spans="1:10" ht="14.4" customHeight="1">
      <c r="A14" s="48" t="s">
        <v>486</v>
      </c>
      <c r="B14" s="48" t="s">
        <v>93</v>
      </c>
      <c r="C14" s="74">
        <v>0</v>
      </c>
      <c r="D14" s="74">
        <v>1.6E-2</v>
      </c>
      <c r="E14" s="77">
        <v>1.6E-2</v>
      </c>
      <c r="F14" s="77">
        <v>1.6E-2</v>
      </c>
      <c r="G14" s="77">
        <v>1.6E-2</v>
      </c>
      <c r="H14" s="77">
        <v>0</v>
      </c>
      <c r="I14" s="77">
        <v>0</v>
      </c>
      <c r="J14" s="77">
        <v>0</v>
      </c>
    </row>
    <row r="15" spans="1:10" ht="14.4" customHeight="1">
      <c r="A15" s="48" t="s">
        <v>486</v>
      </c>
      <c r="B15" s="48" t="s">
        <v>90</v>
      </c>
      <c r="C15" s="78">
        <v>6.0099999999999997E-3</v>
      </c>
      <c r="D15" s="74">
        <v>7.8399999999999997E-3</v>
      </c>
      <c r="E15" s="77">
        <v>7.8399999999999997E-3</v>
      </c>
      <c r="F15" s="77">
        <v>7.8399999999999997E-3</v>
      </c>
      <c r="G15" s="77">
        <v>6.2719999999999998E-3</v>
      </c>
      <c r="H15" s="77">
        <v>0</v>
      </c>
      <c r="I15" s="77">
        <v>0</v>
      </c>
      <c r="J15" s="77">
        <v>0</v>
      </c>
    </row>
    <row r="16" spans="1:10" ht="14.4" customHeight="1">
      <c r="A16" s="48" t="s">
        <v>486</v>
      </c>
      <c r="B16" s="48" t="s">
        <v>99</v>
      </c>
      <c r="C16" s="74">
        <v>2.3999999999999998E-3</v>
      </c>
      <c r="D16" s="74">
        <v>2.3999999999999998E-3</v>
      </c>
      <c r="E16" s="77">
        <v>2.3999999999999998E-3</v>
      </c>
      <c r="F16" s="77">
        <v>2.3999999999999998E-3</v>
      </c>
      <c r="G16" s="77">
        <v>2.3999999999999998E-3</v>
      </c>
      <c r="H16" s="77">
        <v>2.3999999999999998E-3</v>
      </c>
      <c r="I16" s="77">
        <v>2.3999999999999998E-3</v>
      </c>
      <c r="J16" s="77">
        <v>2.3999999999999998E-3</v>
      </c>
    </row>
    <row r="17" spans="1:15" ht="14.4" customHeight="1">
      <c r="A17" s="48" t="s">
        <v>486</v>
      </c>
      <c r="B17" s="48" t="s">
        <v>158</v>
      </c>
      <c r="C17" s="74">
        <v>2.1199999999999999E-3</v>
      </c>
      <c r="D17" s="74">
        <v>1.4E-3</v>
      </c>
      <c r="E17" s="77">
        <v>1.4E-3</v>
      </c>
      <c r="F17" s="77">
        <v>1.4E-3</v>
      </c>
      <c r="G17" s="77">
        <v>1.4E-3</v>
      </c>
      <c r="H17" s="77">
        <v>1.4E-3</v>
      </c>
      <c r="I17" s="77">
        <v>1.1200000000000001E-3</v>
      </c>
      <c r="J17" s="77">
        <v>0</v>
      </c>
    </row>
    <row r="18" spans="1:15" ht="14.4" customHeight="1">
      <c r="A18" s="48" t="s">
        <v>485</v>
      </c>
      <c r="B18" s="48" t="s">
        <v>93</v>
      </c>
      <c r="C18" s="74">
        <v>5.7800000000000004E-3</v>
      </c>
      <c r="D18" s="74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</row>
    <row r="19" spans="1:15" ht="14.4" customHeight="1">
      <c r="A19" s="48" t="s">
        <v>485</v>
      </c>
      <c r="B19" s="48" t="s">
        <v>90</v>
      </c>
      <c r="C19" s="74">
        <v>6.4000000000000003E-3</v>
      </c>
      <c r="D19" s="74">
        <v>6.3699999999999998E-3</v>
      </c>
      <c r="E19" s="77">
        <v>6.3699999999999998E-3</v>
      </c>
      <c r="F19" s="77">
        <v>6.3699999999999998E-3</v>
      </c>
      <c r="G19" s="77">
        <v>6.3699999999999998E-3</v>
      </c>
      <c r="H19" s="77">
        <v>0</v>
      </c>
      <c r="I19" s="77">
        <v>0</v>
      </c>
      <c r="J19" s="77">
        <v>0</v>
      </c>
    </row>
    <row r="20" spans="1:15" ht="14.4" customHeight="1">
      <c r="A20" s="48" t="s">
        <v>485</v>
      </c>
      <c r="B20" s="48" t="s">
        <v>99</v>
      </c>
      <c r="C20" s="74">
        <v>7.9699999999999997E-3</v>
      </c>
      <c r="D20" s="74">
        <v>7.9699999999999997E-3</v>
      </c>
      <c r="E20" s="77">
        <v>7.9699999999999997E-3</v>
      </c>
      <c r="F20" s="77">
        <v>7.9699999999999997E-3</v>
      </c>
      <c r="G20" s="77">
        <v>7.9699999999999997E-3</v>
      </c>
      <c r="H20" s="77">
        <v>7.9699999999999997E-3</v>
      </c>
      <c r="I20" s="77">
        <v>7.9699999999999997E-3</v>
      </c>
      <c r="J20" s="77">
        <v>0</v>
      </c>
      <c r="O20" s="4"/>
    </row>
    <row r="21" spans="1:15" ht="14.4" customHeight="1">
      <c r="A21" s="48" t="s">
        <v>485</v>
      </c>
      <c r="B21" s="48" t="s">
        <v>101</v>
      </c>
      <c r="C21" s="74">
        <v>1.4500000000000001E-2</v>
      </c>
      <c r="D21" s="74">
        <v>1.4500000000000001E-2</v>
      </c>
      <c r="E21" s="77">
        <v>1.21E-2</v>
      </c>
      <c r="F21" s="77">
        <v>1.0500000000000001E-2</v>
      </c>
      <c r="G21" s="77">
        <v>1.0500000000000001E-2</v>
      </c>
      <c r="H21" s="77">
        <v>1.0500000000000001E-2</v>
      </c>
      <c r="I21" s="77">
        <v>0</v>
      </c>
      <c r="J21" s="77">
        <v>0</v>
      </c>
      <c r="O21" s="4"/>
    </row>
    <row r="22" spans="1:15" ht="14.4" customHeight="1">
      <c r="A22" s="48" t="s">
        <v>485</v>
      </c>
      <c r="B22" s="48" t="s">
        <v>158</v>
      </c>
      <c r="C22" s="74">
        <v>7.7999999999999999E-4</v>
      </c>
      <c r="D22" s="74">
        <v>7.7999999999999999E-4</v>
      </c>
      <c r="E22" s="77">
        <v>7.7999999999999999E-4</v>
      </c>
      <c r="F22" s="77">
        <v>7.7999999999999999E-4</v>
      </c>
      <c r="G22" s="77">
        <v>7.7999999999999999E-4</v>
      </c>
      <c r="H22" s="77">
        <v>7.7999999999999999E-4</v>
      </c>
      <c r="I22" s="77">
        <v>0</v>
      </c>
      <c r="J22" s="77">
        <v>0</v>
      </c>
      <c r="O22" s="4"/>
    </row>
    <row r="23" spans="1:15" ht="14.4" customHeight="1">
      <c r="A23" s="48" t="s">
        <v>482</v>
      </c>
      <c r="B23" s="48" t="s">
        <v>93</v>
      </c>
      <c r="C23" s="74">
        <v>0</v>
      </c>
      <c r="D23" s="74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O23" s="4"/>
    </row>
    <row r="24" spans="1:15" ht="14.4" customHeight="1">
      <c r="A24" s="48" t="s">
        <v>482</v>
      </c>
      <c r="B24" s="48" t="s">
        <v>90</v>
      </c>
      <c r="C24" s="74">
        <v>2.1940000000000001E-2</v>
      </c>
      <c r="D24" s="74">
        <v>2.5649999999999999E-2</v>
      </c>
      <c r="E24" s="77">
        <v>2.5649999999999999E-2</v>
      </c>
      <c r="F24" s="77">
        <v>2.5649999999999999E-2</v>
      </c>
      <c r="G24" s="77">
        <v>2.052E-2</v>
      </c>
      <c r="H24" s="77">
        <v>0</v>
      </c>
      <c r="I24" s="77">
        <v>0</v>
      </c>
      <c r="J24" s="77">
        <v>0</v>
      </c>
      <c r="O24" s="4"/>
    </row>
    <row r="25" spans="1:15" ht="14.4" customHeight="1">
      <c r="A25" s="48" t="s">
        <v>482</v>
      </c>
      <c r="B25" s="48" t="s">
        <v>56</v>
      </c>
      <c r="C25" s="74">
        <v>0.3276</v>
      </c>
      <c r="D25" s="74">
        <v>0.30120000000000002</v>
      </c>
      <c r="E25" s="77">
        <v>0.251</v>
      </c>
      <c r="F25" s="77">
        <v>0.251</v>
      </c>
      <c r="G25" s="77">
        <v>0.21099999999999999</v>
      </c>
      <c r="H25" s="77">
        <v>0.21099999999999999</v>
      </c>
      <c r="I25" s="77">
        <v>0</v>
      </c>
      <c r="J25" s="77">
        <v>0</v>
      </c>
      <c r="O25" s="4"/>
    </row>
    <row r="26" spans="1:15" ht="14.4" customHeight="1">
      <c r="A26" s="48" t="s">
        <v>482</v>
      </c>
      <c r="B26" s="48" t="s">
        <v>158</v>
      </c>
      <c r="C26" s="74">
        <v>2.2599999999999999E-3</v>
      </c>
      <c r="D26" s="78">
        <v>2.3E-3</v>
      </c>
      <c r="E26" s="79">
        <v>2.3E-3</v>
      </c>
      <c r="F26" s="79">
        <v>2.3E-3</v>
      </c>
      <c r="G26" s="79">
        <v>2.3E-3</v>
      </c>
      <c r="H26" s="77">
        <v>2.3E-3</v>
      </c>
      <c r="I26" s="77">
        <v>1.8400000000000001E-3</v>
      </c>
      <c r="J26" s="77">
        <v>0</v>
      </c>
      <c r="O26" s="4"/>
    </row>
    <row r="27" spans="1:15" ht="14.4" customHeight="1">
      <c r="A27" s="48" t="s">
        <v>483</v>
      </c>
      <c r="B27" s="48" t="s">
        <v>99</v>
      </c>
      <c r="C27" s="74">
        <v>2.0000000000000001E-4</v>
      </c>
      <c r="D27" s="74">
        <v>2.0000000000000001E-4</v>
      </c>
      <c r="E27" s="77">
        <v>2.0000000000000001E-4</v>
      </c>
      <c r="F27" s="77">
        <v>2.0000000000000001E-4</v>
      </c>
      <c r="G27" s="77">
        <v>2.0000000000000001E-4</v>
      </c>
      <c r="H27" s="77">
        <v>2.0000000000000001E-4</v>
      </c>
      <c r="I27" s="77">
        <v>2.0000000000000001E-4</v>
      </c>
      <c r="J27" s="77">
        <v>2.0000000000000001E-4</v>
      </c>
      <c r="O27" s="4"/>
    </row>
    <row r="28" spans="1:15" ht="14.4" customHeight="1">
      <c r="A28" s="48" t="s">
        <v>483</v>
      </c>
      <c r="B28" s="48" t="s">
        <v>93</v>
      </c>
      <c r="C28" s="74">
        <v>6.77E-3</v>
      </c>
      <c r="D28" s="74">
        <v>1.34E-2</v>
      </c>
      <c r="E28" s="77">
        <v>1.34E-2</v>
      </c>
      <c r="F28" s="77">
        <v>1.34E-2</v>
      </c>
      <c r="G28" s="77">
        <v>1.34E-2</v>
      </c>
      <c r="H28" s="77">
        <v>2.6800000000000001E-3</v>
      </c>
      <c r="I28" s="77">
        <v>0</v>
      </c>
      <c r="J28" s="77">
        <v>0</v>
      </c>
      <c r="O28" s="4"/>
    </row>
    <row r="29" spans="1:15" ht="14.4" customHeight="1">
      <c r="A29" s="48" t="s">
        <v>483</v>
      </c>
      <c r="B29" s="48" t="s">
        <v>90</v>
      </c>
      <c r="C29" s="74">
        <v>2.445E-2</v>
      </c>
      <c r="D29" s="74">
        <v>2.4639999999999999E-2</v>
      </c>
      <c r="E29" s="77">
        <v>2.4639999999999999E-2</v>
      </c>
      <c r="F29" s="77">
        <v>2.4639999999999999E-2</v>
      </c>
      <c r="G29" s="77">
        <v>0</v>
      </c>
      <c r="H29" s="77">
        <v>0</v>
      </c>
      <c r="I29" s="77">
        <v>0</v>
      </c>
      <c r="J29" s="77">
        <v>0</v>
      </c>
      <c r="O29" s="4"/>
    </row>
    <row r="30" spans="1:15" ht="14.4" customHeight="1">
      <c r="A30" s="48" t="s">
        <v>483</v>
      </c>
      <c r="B30" s="48" t="s">
        <v>103</v>
      </c>
      <c r="C30" s="80">
        <v>5.1700000000000003E-2</v>
      </c>
      <c r="D30" s="80">
        <v>5.1700000000000003E-2</v>
      </c>
      <c r="E30" s="77">
        <v>5.1700000000000003E-2</v>
      </c>
      <c r="F30" s="77">
        <v>5.1700000000000003E-2</v>
      </c>
      <c r="G30" s="77">
        <v>5.1700000000000003E-2</v>
      </c>
      <c r="H30" s="77">
        <v>0</v>
      </c>
      <c r="I30" s="77">
        <v>0</v>
      </c>
      <c r="J30" s="77">
        <v>0</v>
      </c>
      <c r="O30" s="4"/>
    </row>
    <row r="31" spans="1:15" ht="14.4" customHeight="1">
      <c r="A31" s="48" t="s">
        <v>483</v>
      </c>
      <c r="B31" s="48" t="s">
        <v>158</v>
      </c>
      <c r="C31" s="80">
        <v>4.1300000000000003E-2</v>
      </c>
      <c r="D31" s="80">
        <v>4.1300000000000003E-2</v>
      </c>
      <c r="E31" s="77">
        <v>4.1300000000000003E-2</v>
      </c>
      <c r="F31" s="77">
        <v>4.1300000000000003E-2</v>
      </c>
      <c r="G31" s="77">
        <v>4.1300000000000003E-2</v>
      </c>
      <c r="H31" s="77">
        <v>0</v>
      </c>
      <c r="I31" s="77">
        <v>0</v>
      </c>
      <c r="J31" s="77">
        <v>0</v>
      </c>
      <c r="O31" s="4"/>
    </row>
    <row r="32" spans="1:15" ht="14.4" customHeight="1">
      <c r="A32" s="48" t="s">
        <v>484</v>
      </c>
      <c r="B32" s="48" t="s">
        <v>93</v>
      </c>
      <c r="C32" s="74">
        <v>4.3400000000000001E-3</v>
      </c>
      <c r="D32" s="74">
        <v>9.9000000000000008E-3</v>
      </c>
      <c r="E32" s="77">
        <v>9.9000000000000008E-3</v>
      </c>
      <c r="F32" s="77">
        <v>9.9000000000000008E-3</v>
      </c>
      <c r="G32" s="77">
        <v>9.9000000000000008E-3</v>
      </c>
      <c r="H32" s="77">
        <v>0</v>
      </c>
      <c r="I32" s="77">
        <v>0</v>
      </c>
      <c r="J32" s="77">
        <v>0</v>
      </c>
      <c r="O32" s="4"/>
    </row>
    <row r="33" spans="1:15" ht="14.4" customHeight="1">
      <c r="A33" s="48" t="s">
        <v>484</v>
      </c>
      <c r="B33" s="48" t="s">
        <v>90</v>
      </c>
      <c r="C33" s="74">
        <v>9.3900000000000008E-3</v>
      </c>
      <c r="D33" s="74">
        <v>1.511E-2</v>
      </c>
      <c r="E33" s="77">
        <v>1.511E-2</v>
      </c>
      <c r="F33" s="77">
        <v>1.511E-2</v>
      </c>
      <c r="G33" s="77">
        <v>1.511E-2</v>
      </c>
      <c r="H33" s="77">
        <v>0</v>
      </c>
      <c r="I33" s="77">
        <v>0</v>
      </c>
      <c r="J33" s="77">
        <v>0</v>
      </c>
      <c r="O33" s="4"/>
    </row>
    <row r="34" spans="1:15" s="4" customFormat="1">
      <c r="A34" s="62" t="s">
        <v>478</v>
      </c>
      <c r="B34" s="63" t="s">
        <v>212</v>
      </c>
      <c r="C34" s="81">
        <v>2.613405405405405E-2</v>
      </c>
      <c r="D34" s="81">
        <v>2.613405405405405E-2</v>
      </c>
      <c r="E34" s="81">
        <v>2.090724324324324E-2</v>
      </c>
      <c r="F34" s="81">
        <v>1.045362162162162E-2</v>
      </c>
      <c r="G34" s="81">
        <v>2.6134054054054051E-3</v>
      </c>
      <c r="H34" s="81">
        <v>0</v>
      </c>
      <c r="I34" s="81">
        <v>0</v>
      </c>
      <c r="J34" s="81">
        <v>0</v>
      </c>
      <c r="M34" s="61"/>
      <c r="N34" s="61"/>
    </row>
    <row r="35" spans="1:15" s="4" customFormat="1">
      <c r="A35" s="62" t="s">
        <v>479</v>
      </c>
      <c r="B35" s="63" t="s">
        <v>212</v>
      </c>
      <c r="C35" s="81">
        <v>0</v>
      </c>
      <c r="D35" s="81">
        <v>0</v>
      </c>
      <c r="E35" s="81">
        <v>0</v>
      </c>
      <c r="F35" s="81">
        <v>0</v>
      </c>
      <c r="G35" s="81">
        <v>0</v>
      </c>
      <c r="H35" s="81">
        <v>0</v>
      </c>
      <c r="I35" s="81">
        <v>0</v>
      </c>
      <c r="J35" s="81">
        <v>0</v>
      </c>
      <c r="M35" s="46"/>
      <c r="N35" s="46"/>
    </row>
    <row r="36" spans="1:15" s="4" customFormat="1">
      <c r="A36" s="62" t="s">
        <v>480</v>
      </c>
      <c r="B36" s="63" t="s">
        <v>212</v>
      </c>
      <c r="C36" s="81">
        <v>0</v>
      </c>
      <c r="D36" s="81">
        <v>0</v>
      </c>
      <c r="E36" s="81">
        <v>0</v>
      </c>
      <c r="F36" s="81">
        <v>0</v>
      </c>
      <c r="G36" s="81">
        <v>0</v>
      </c>
      <c r="H36" s="81">
        <v>0</v>
      </c>
      <c r="I36" s="81">
        <v>0</v>
      </c>
      <c r="J36" s="81">
        <v>0</v>
      </c>
      <c r="M36" s="46"/>
      <c r="N36" s="46"/>
    </row>
    <row r="37" spans="1:15" s="4" customFormat="1">
      <c r="A37" s="62" t="s">
        <v>486</v>
      </c>
      <c r="B37" s="63" t="s">
        <v>212</v>
      </c>
      <c r="C37" s="81">
        <v>2.8747459459459463E-3</v>
      </c>
      <c r="D37" s="81">
        <v>2.8747459459459463E-3</v>
      </c>
      <c r="E37" s="81">
        <v>2.2997967567567573E-3</v>
      </c>
      <c r="F37" s="81">
        <v>1.1498983783783787E-3</v>
      </c>
      <c r="G37" s="81">
        <v>2.8747459459459466E-4</v>
      </c>
      <c r="H37" s="81">
        <v>0</v>
      </c>
      <c r="I37" s="81">
        <v>0</v>
      </c>
      <c r="J37" s="81">
        <v>0</v>
      </c>
      <c r="M37" s="46"/>
      <c r="N37" s="46"/>
    </row>
    <row r="38" spans="1:15" s="4" customFormat="1">
      <c r="A38" s="62" t="s">
        <v>485</v>
      </c>
      <c r="B38" s="63" t="s">
        <v>212</v>
      </c>
      <c r="C38" s="81">
        <v>0</v>
      </c>
      <c r="D38" s="81">
        <v>0</v>
      </c>
      <c r="E38" s="81">
        <v>0</v>
      </c>
      <c r="F38" s="81">
        <v>0</v>
      </c>
      <c r="G38" s="81">
        <v>0</v>
      </c>
      <c r="H38" s="81">
        <v>0</v>
      </c>
      <c r="I38" s="81">
        <v>0</v>
      </c>
      <c r="J38" s="81">
        <v>0</v>
      </c>
      <c r="M38" s="46"/>
      <c r="N38" s="46"/>
    </row>
    <row r="39" spans="1:15" s="4" customFormat="1">
      <c r="A39" s="62" t="s">
        <v>482</v>
      </c>
      <c r="B39" s="63" t="s">
        <v>212</v>
      </c>
      <c r="C39" s="81">
        <v>0</v>
      </c>
      <c r="D39" s="81">
        <v>0</v>
      </c>
      <c r="E39" s="81">
        <v>0</v>
      </c>
      <c r="F39" s="81">
        <v>0</v>
      </c>
      <c r="G39" s="81">
        <v>0</v>
      </c>
      <c r="H39" s="81">
        <v>0</v>
      </c>
      <c r="I39" s="81">
        <v>0</v>
      </c>
      <c r="J39" s="81">
        <v>0</v>
      </c>
      <c r="M39" s="46"/>
      <c r="N39" s="46"/>
    </row>
    <row r="40" spans="1:15" s="4" customFormat="1">
      <c r="A40" s="62" t="s">
        <v>483</v>
      </c>
      <c r="B40" s="63" t="s">
        <v>212</v>
      </c>
      <c r="C40" s="81">
        <v>0</v>
      </c>
      <c r="D40" s="81">
        <v>0</v>
      </c>
      <c r="E40" s="81">
        <v>0</v>
      </c>
      <c r="F40" s="81">
        <v>0</v>
      </c>
      <c r="G40" s="81">
        <v>0</v>
      </c>
      <c r="H40" s="81">
        <v>0</v>
      </c>
      <c r="I40" s="81">
        <v>0</v>
      </c>
      <c r="J40" s="81">
        <v>0</v>
      </c>
      <c r="M40" s="46"/>
      <c r="N40" s="46"/>
    </row>
    <row r="41" spans="1:15" s="4" customFormat="1">
      <c r="A41" s="62" t="s">
        <v>484</v>
      </c>
      <c r="B41" s="63" t="s">
        <v>212</v>
      </c>
      <c r="C41" s="81">
        <v>0</v>
      </c>
      <c r="D41" s="81">
        <v>0</v>
      </c>
      <c r="E41" s="81">
        <v>0</v>
      </c>
      <c r="F41" s="81">
        <v>0</v>
      </c>
      <c r="G41" s="81">
        <v>0</v>
      </c>
      <c r="H41" s="81">
        <v>0</v>
      </c>
      <c r="I41" s="81">
        <v>0</v>
      </c>
      <c r="J41" s="81">
        <v>0</v>
      </c>
      <c r="M41" s="46"/>
      <c r="N41" s="46"/>
    </row>
    <row r="42" spans="1:15" s="4" customFormat="1">
      <c r="A42" s="64" t="s">
        <v>478</v>
      </c>
      <c r="B42" s="65" t="s">
        <v>232</v>
      </c>
      <c r="C42" s="74">
        <v>2.8246118546199945E-4</v>
      </c>
      <c r="D42" s="74">
        <v>2.8246118546199945E-4</v>
      </c>
      <c r="E42" s="74">
        <v>2.2596894836959957E-4</v>
      </c>
      <c r="F42" s="74">
        <v>1.1298447418479978E-4</v>
      </c>
      <c r="G42" s="74">
        <v>2.8246118546199946E-5</v>
      </c>
      <c r="H42" s="74">
        <v>0</v>
      </c>
      <c r="I42" s="74">
        <v>0</v>
      </c>
      <c r="J42" s="74">
        <v>0</v>
      </c>
      <c r="M42" s="46"/>
      <c r="N42" s="46"/>
    </row>
    <row r="43" spans="1:15" s="4" customFormat="1">
      <c r="A43" s="64" t="s">
        <v>479</v>
      </c>
      <c r="B43" s="65" t="s">
        <v>232</v>
      </c>
      <c r="C43" s="74">
        <v>3.4107353778538857E-5</v>
      </c>
      <c r="D43" s="74">
        <v>3.4107353778538857E-5</v>
      </c>
      <c r="E43" s="74">
        <v>2.7285883022831088E-5</v>
      </c>
      <c r="F43" s="74">
        <v>1.3642941511415544E-5</v>
      </c>
      <c r="G43" s="74">
        <v>3.410735377853886E-6</v>
      </c>
      <c r="H43" s="74">
        <v>0</v>
      </c>
      <c r="I43" s="74">
        <v>0</v>
      </c>
      <c r="J43" s="74">
        <v>0</v>
      </c>
      <c r="M43" s="46"/>
      <c r="N43" s="46"/>
    </row>
    <row r="44" spans="1:15" s="4" customFormat="1">
      <c r="A44" s="64" t="s">
        <v>480</v>
      </c>
      <c r="B44" s="65" t="s">
        <v>232</v>
      </c>
      <c r="C44" s="74">
        <v>7.5926626709800962E-5</v>
      </c>
      <c r="D44" s="74">
        <v>7.5926626709800962E-5</v>
      </c>
      <c r="E44" s="74">
        <v>6.0741301367840771E-5</v>
      </c>
      <c r="F44" s="74">
        <v>3.0370650683920386E-5</v>
      </c>
      <c r="G44" s="74">
        <v>7.5926626709800964E-6</v>
      </c>
      <c r="H44" s="74">
        <v>0</v>
      </c>
      <c r="I44" s="74">
        <v>0</v>
      </c>
      <c r="J44" s="74">
        <v>0</v>
      </c>
      <c r="M44" s="46"/>
      <c r="N44" s="46"/>
    </row>
    <row r="45" spans="1:15" s="4" customFormat="1">
      <c r="A45" s="64" t="s">
        <v>486</v>
      </c>
      <c r="B45" s="65" t="s">
        <v>232</v>
      </c>
      <c r="C45" s="74">
        <v>1.9187926221798566E-3</v>
      </c>
      <c r="D45" s="74">
        <v>1.9187926221798566E-3</v>
      </c>
      <c r="E45" s="74">
        <v>1.5350340977438853E-3</v>
      </c>
      <c r="F45" s="74">
        <v>7.6751704887194263E-4</v>
      </c>
      <c r="G45" s="74">
        <v>1.9187926221798566E-4</v>
      </c>
      <c r="H45" s="74">
        <v>0</v>
      </c>
      <c r="I45" s="74">
        <v>0</v>
      </c>
      <c r="J45" s="74">
        <v>0</v>
      </c>
      <c r="M45" s="46"/>
      <c r="N45" s="46"/>
    </row>
    <row r="46" spans="1:15" s="4" customFormat="1">
      <c r="A46" s="64" t="s">
        <v>485</v>
      </c>
      <c r="B46" s="65" t="s">
        <v>232</v>
      </c>
      <c r="C46" s="74">
        <v>1.7608440374711604E-3</v>
      </c>
      <c r="D46" s="74">
        <v>1.7608440374711604E-3</v>
      </c>
      <c r="E46" s="74">
        <v>1.4086752299769284E-3</v>
      </c>
      <c r="F46" s="74">
        <v>7.0433761498846421E-4</v>
      </c>
      <c r="G46" s="74">
        <v>1.7608440374711605E-4</v>
      </c>
      <c r="H46" s="74">
        <v>0</v>
      </c>
      <c r="I46" s="74">
        <v>0</v>
      </c>
      <c r="J46" s="74">
        <v>0</v>
      </c>
      <c r="M46" s="46"/>
      <c r="N46" s="46"/>
    </row>
    <row r="47" spans="1:15" s="4" customFormat="1">
      <c r="A47" s="64" t="s">
        <v>482</v>
      </c>
      <c r="B47" s="65" t="s">
        <v>232</v>
      </c>
      <c r="C47" s="74">
        <v>4.9828891597670077E-3</v>
      </c>
      <c r="D47" s="74">
        <v>4.9828891597670077E-3</v>
      </c>
      <c r="E47" s="74">
        <v>3.9863113278136063E-3</v>
      </c>
      <c r="F47" s="74">
        <v>1.9931556639068032E-3</v>
      </c>
      <c r="G47" s="74">
        <v>4.9828891597670079E-4</v>
      </c>
      <c r="H47" s="74">
        <v>0</v>
      </c>
      <c r="I47" s="74">
        <v>0</v>
      </c>
      <c r="J47" s="74">
        <v>0</v>
      </c>
      <c r="M47" s="46"/>
      <c r="N47" s="46"/>
    </row>
    <row r="48" spans="1:15" s="4" customFormat="1">
      <c r="A48" s="64" t="s">
        <v>483</v>
      </c>
      <c r="B48" s="65" t="s">
        <v>232</v>
      </c>
      <c r="C48" s="74">
        <v>1.4576940608800912E-3</v>
      </c>
      <c r="D48" s="74">
        <v>1.4576940608800912E-3</v>
      </c>
      <c r="E48" s="74">
        <v>1.1661552487040731E-3</v>
      </c>
      <c r="F48" s="74">
        <v>5.8307762435203653E-4</v>
      </c>
      <c r="G48" s="74">
        <v>1.4576940608800913E-4</v>
      </c>
      <c r="H48" s="74">
        <v>0</v>
      </c>
      <c r="I48" s="74">
        <v>0</v>
      </c>
      <c r="J48" s="74">
        <v>0</v>
      </c>
      <c r="M48" s="46"/>
      <c r="N48" s="46"/>
    </row>
    <row r="49" spans="1:14" s="4" customFormat="1">
      <c r="A49" s="64" t="s">
        <v>484</v>
      </c>
      <c r="B49" s="65" t="s">
        <v>232</v>
      </c>
      <c r="C49" s="74">
        <v>2.0536849537515444E-3</v>
      </c>
      <c r="D49" s="74">
        <v>2.0536849537515444E-3</v>
      </c>
      <c r="E49" s="74">
        <v>1.6429479630012357E-3</v>
      </c>
      <c r="F49" s="74">
        <v>8.2147398150061784E-4</v>
      </c>
      <c r="G49" s="74">
        <v>2.0536849537515446E-4</v>
      </c>
      <c r="H49" s="74">
        <v>0</v>
      </c>
      <c r="I49" s="74">
        <v>0</v>
      </c>
      <c r="J49" s="74">
        <v>0</v>
      </c>
      <c r="M49" s="46"/>
      <c r="N49" s="46"/>
    </row>
    <row r="50" spans="1:14" s="4" customFormat="1">
      <c r="A50" s="60" t="s">
        <v>478</v>
      </c>
      <c r="B50" s="63" t="s">
        <v>229</v>
      </c>
      <c r="C50" s="81">
        <v>2.218597558490206E-3</v>
      </c>
      <c r="D50" s="81">
        <v>2.218597558490206E-3</v>
      </c>
      <c r="E50" s="81">
        <v>1.7748780467921649E-3</v>
      </c>
      <c r="F50" s="81">
        <v>8.8743902339608245E-4</v>
      </c>
      <c r="G50" s="81">
        <v>2.2185975584902061E-4</v>
      </c>
      <c r="H50" s="81">
        <v>0</v>
      </c>
      <c r="I50" s="81">
        <v>0</v>
      </c>
      <c r="J50" s="81">
        <v>0</v>
      </c>
      <c r="M50" s="56"/>
      <c r="N50" s="56"/>
    </row>
    <row r="51" spans="1:14" s="4" customFormat="1">
      <c r="A51" s="60" t="s">
        <v>479</v>
      </c>
      <c r="B51" s="63" t="s">
        <v>229</v>
      </c>
      <c r="C51" s="81">
        <v>2.98172848780664E-4</v>
      </c>
      <c r="D51" s="81">
        <v>2.98172848780664E-4</v>
      </c>
      <c r="E51" s="81">
        <v>2.3853827902453121E-4</v>
      </c>
      <c r="F51" s="81">
        <v>1.192691395122656E-4</v>
      </c>
      <c r="G51" s="81">
        <v>2.9817284878066401E-5</v>
      </c>
      <c r="H51" s="81">
        <v>0</v>
      </c>
      <c r="I51" s="81">
        <v>0</v>
      </c>
      <c r="J51" s="81">
        <v>0</v>
      </c>
      <c r="M51" s="56"/>
      <c r="N51" s="56"/>
    </row>
    <row r="52" spans="1:14" s="4" customFormat="1">
      <c r="A52" s="60" t="s">
        <v>480</v>
      </c>
      <c r="B52" s="63" t="s">
        <v>229</v>
      </c>
      <c r="C52" s="81">
        <v>5.2825734452272672E-4</v>
      </c>
      <c r="D52" s="81">
        <v>5.2825734452272672E-4</v>
      </c>
      <c r="E52" s="81">
        <v>4.2260587561818142E-4</v>
      </c>
      <c r="F52" s="81">
        <v>2.1130293780909071E-4</v>
      </c>
      <c r="G52" s="81">
        <v>5.2825734452272677E-5</v>
      </c>
      <c r="H52" s="81">
        <v>0</v>
      </c>
      <c r="I52" s="81">
        <v>0</v>
      </c>
      <c r="J52" s="81">
        <v>0</v>
      </c>
      <c r="M52" s="56"/>
      <c r="N52" s="56"/>
    </row>
    <row r="53" spans="1:14" s="4" customFormat="1">
      <c r="A53" s="60" t="s">
        <v>486</v>
      </c>
      <c r="B53" s="63" t="s">
        <v>229</v>
      </c>
      <c r="C53" s="81">
        <v>1.6115909322573913E-2</v>
      </c>
      <c r="D53" s="81">
        <v>1.6115909322573913E-2</v>
      </c>
      <c r="E53" s="81">
        <v>1.2892727458059132E-2</v>
      </c>
      <c r="F53" s="81">
        <v>6.446363729029566E-3</v>
      </c>
      <c r="G53" s="81">
        <v>1.6115909322573915E-3</v>
      </c>
      <c r="H53" s="81">
        <v>0</v>
      </c>
      <c r="I53" s="81">
        <v>0</v>
      </c>
      <c r="J53" s="81">
        <v>0</v>
      </c>
      <c r="M53" s="56"/>
      <c r="N53" s="56"/>
    </row>
    <row r="54" spans="1:14" s="4" customFormat="1">
      <c r="A54" s="60" t="s">
        <v>485</v>
      </c>
      <c r="B54" s="63" t="s">
        <v>229</v>
      </c>
      <c r="C54" s="81">
        <v>1.5812739163478483E-2</v>
      </c>
      <c r="D54" s="81">
        <v>1.5812739163478483E-2</v>
      </c>
      <c r="E54" s="81">
        <v>1.2650191330782788E-2</v>
      </c>
      <c r="F54" s="81">
        <v>6.3250956653913941E-3</v>
      </c>
      <c r="G54" s="81">
        <v>1.5812739163478485E-3</v>
      </c>
      <c r="H54" s="81">
        <v>0</v>
      </c>
      <c r="I54" s="81">
        <v>0</v>
      </c>
      <c r="J54" s="81">
        <v>0</v>
      </c>
      <c r="M54" s="56"/>
      <c r="N54" s="56"/>
    </row>
    <row r="55" spans="1:14" s="4" customFormat="1">
      <c r="A55" s="60" t="s">
        <v>482</v>
      </c>
      <c r="B55" s="63" t="s">
        <v>229</v>
      </c>
      <c r="C55" s="81">
        <v>2.0756536613617663E-2</v>
      </c>
      <c r="D55" s="81">
        <v>2.0756536613617663E-2</v>
      </c>
      <c r="E55" s="81">
        <v>1.6605229290894131E-2</v>
      </c>
      <c r="F55" s="81">
        <v>8.3026146454470654E-3</v>
      </c>
      <c r="G55" s="81">
        <v>2.0756536613617664E-3</v>
      </c>
      <c r="H55" s="81">
        <v>0</v>
      </c>
      <c r="I55" s="81">
        <v>0</v>
      </c>
      <c r="J55" s="81">
        <v>0</v>
      </c>
      <c r="M55" s="56"/>
      <c r="N55" s="56"/>
    </row>
    <row r="56" spans="1:14" s="4" customFormat="1">
      <c r="A56" s="60" t="s">
        <v>483</v>
      </c>
      <c r="B56" s="63" t="s">
        <v>229</v>
      </c>
      <c r="C56" s="81">
        <v>1.1904634276073257E-2</v>
      </c>
      <c r="D56" s="81">
        <v>1.1904634276073257E-2</v>
      </c>
      <c r="E56" s="81">
        <v>9.523707420858606E-3</v>
      </c>
      <c r="F56" s="81">
        <v>4.761853710429303E-3</v>
      </c>
      <c r="G56" s="81">
        <v>1.1904634276073257E-3</v>
      </c>
      <c r="H56" s="81">
        <v>0</v>
      </c>
      <c r="I56" s="81">
        <v>0</v>
      </c>
      <c r="J56" s="81">
        <v>0</v>
      </c>
      <c r="M56" s="56"/>
      <c r="N56" s="56"/>
    </row>
    <row r="57" spans="1:14" s="4" customFormat="1">
      <c r="A57" s="60" t="s">
        <v>484</v>
      </c>
      <c r="B57" s="63" t="s">
        <v>229</v>
      </c>
      <c r="C57" s="81">
        <v>1.3077752872463103E-2</v>
      </c>
      <c r="D57" s="81">
        <v>1.3077752872463103E-2</v>
      </c>
      <c r="E57" s="81">
        <v>1.0462202297970484E-2</v>
      </c>
      <c r="F57" s="81">
        <v>5.2311011489852418E-3</v>
      </c>
      <c r="G57" s="81">
        <v>1.3077752872463105E-3</v>
      </c>
      <c r="H57" s="81">
        <v>0</v>
      </c>
      <c r="I57" s="81">
        <v>0</v>
      </c>
      <c r="J57" s="81">
        <v>0</v>
      </c>
      <c r="M57" s="56"/>
      <c r="N57" s="56"/>
    </row>
    <row r="58" spans="1:14" s="4" customFormat="1">
      <c r="A58" s="64" t="s">
        <v>478</v>
      </c>
      <c r="B58" s="65" t="s">
        <v>228</v>
      </c>
      <c r="C58" s="82">
        <v>4.3836508652868761E-4</v>
      </c>
      <c r="D58" s="82">
        <v>4.3836508652868761E-4</v>
      </c>
      <c r="E58" s="74">
        <v>3.5069206922295012E-4</v>
      </c>
      <c r="F58" s="74">
        <v>1.7534603461147506E-4</v>
      </c>
      <c r="G58" s="74">
        <v>4.3836508652868765E-5</v>
      </c>
      <c r="H58" s="74">
        <v>0</v>
      </c>
      <c r="I58" s="74">
        <v>0</v>
      </c>
      <c r="J58" s="74">
        <v>0</v>
      </c>
    </row>
    <row r="59" spans="1:14" s="4" customFormat="1">
      <c r="A59" s="48" t="s">
        <v>479</v>
      </c>
      <c r="B59" s="65" t="s">
        <v>228</v>
      </c>
      <c r="C59" s="82">
        <v>5.293284125370642E-5</v>
      </c>
      <c r="D59" s="82">
        <v>5.293284125370642E-5</v>
      </c>
      <c r="E59" s="74">
        <v>4.2346273002965141E-5</v>
      </c>
      <c r="F59" s="74">
        <v>2.1173136501482571E-5</v>
      </c>
      <c r="G59" s="74">
        <v>5.2932841253706427E-6</v>
      </c>
      <c r="H59" s="74">
        <v>0</v>
      </c>
      <c r="I59" s="74">
        <v>0</v>
      </c>
      <c r="J59" s="74">
        <v>0</v>
      </c>
    </row>
    <row r="60" spans="1:14" s="4" customFormat="1">
      <c r="A60" s="48" t="s">
        <v>480</v>
      </c>
      <c r="B60" s="65" t="s">
        <v>228</v>
      </c>
      <c r="C60" s="82">
        <v>1.1783418041326253E-4</v>
      </c>
      <c r="D60" s="82">
        <v>1.1783418041326253E-4</v>
      </c>
      <c r="E60" s="74">
        <v>9.4267344330610029E-5</v>
      </c>
      <c r="F60" s="74">
        <v>4.7133672165305014E-5</v>
      </c>
      <c r="G60" s="74">
        <v>1.1783418041326254E-5</v>
      </c>
      <c r="H60" s="74">
        <v>0</v>
      </c>
      <c r="I60" s="74">
        <v>0</v>
      </c>
      <c r="J60" s="74">
        <v>0</v>
      </c>
    </row>
    <row r="61" spans="1:14" s="4" customFormat="1">
      <c r="A61" s="48" t="s">
        <v>486</v>
      </c>
      <c r="B61" s="65" t="s">
        <v>228</v>
      </c>
      <c r="C61" s="82">
        <v>2.9778664720843235E-3</v>
      </c>
      <c r="D61" s="82">
        <v>2.9778664720843235E-3</v>
      </c>
      <c r="E61" s="74">
        <v>2.382293177667459E-3</v>
      </c>
      <c r="F61" s="74">
        <v>1.1911465888337295E-3</v>
      </c>
      <c r="G61" s="74">
        <v>2.9778664720843238E-4</v>
      </c>
      <c r="H61" s="74">
        <v>0</v>
      </c>
      <c r="I61" s="74">
        <v>0</v>
      </c>
      <c r="J61" s="74">
        <v>0</v>
      </c>
    </row>
    <row r="62" spans="1:14" s="4" customFormat="1">
      <c r="A62" s="48" t="s">
        <v>485</v>
      </c>
      <c r="B62" s="65" t="s">
        <v>228</v>
      </c>
      <c r="C62" s="82">
        <v>2.7327384737377107E-3</v>
      </c>
      <c r="D62" s="82">
        <v>2.7327384737377107E-3</v>
      </c>
      <c r="E62" s="74">
        <v>2.1861907789901686E-3</v>
      </c>
      <c r="F62" s="74">
        <v>1.0930953894950843E-3</v>
      </c>
      <c r="G62" s="74">
        <v>2.7327384737377107E-4</v>
      </c>
      <c r="H62" s="74">
        <v>0</v>
      </c>
      <c r="I62" s="74">
        <v>0</v>
      </c>
      <c r="J62" s="74">
        <v>0</v>
      </c>
    </row>
    <row r="63" spans="1:14" s="4" customFormat="1">
      <c r="A63" s="48" t="s">
        <v>482</v>
      </c>
      <c r="B63" s="65" t="s">
        <v>228</v>
      </c>
      <c r="C63" s="82">
        <v>7.733185124573474E-3</v>
      </c>
      <c r="D63" s="82">
        <v>7.733185124573474E-3</v>
      </c>
      <c r="E63" s="74">
        <v>6.1865480996587795E-3</v>
      </c>
      <c r="F63" s="74">
        <v>3.0932740498293898E-3</v>
      </c>
      <c r="G63" s="74">
        <v>7.7331851245734744E-4</v>
      </c>
      <c r="H63" s="74">
        <v>0</v>
      </c>
      <c r="I63" s="74">
        <v>0</v>
      </c>
      <c r="J63" s="74">
        <v>0</v>
      </c>
    </row>
    <row r="64" spans="1:14" s="4" customFormat="1">
      <c r="A64" s="48" t="s">
        <v>483</v>
      </c>
      <c r="B64" s="65" t="s">
        <v>228</v>
      </c>
      <c r="C64" s="82">
        <v>2.2622654581191033E-3</v>
      </c>
      <c r="D64" s="82">
        <v>2.2622654581191033E-3</v>
      </c>
      <c r="E64" s="74">
        <v>1.8098123664952827E-3</v>
      </c>
      <c r="F64" s="74">
        <v>9.0490618324764137E-4</v>
      </c>
      <c r="G64" s="74">
        <v>2.2622654581191034E-4</v>
      </c>
      <c r="H64" s="74">
        <v>0</v>
      </c>
      <c r="I64" s="74">
        <v>0</v>
      </c>
      <c r="J64" s="74">
        <v>0</v>
      </c>
    </row>
    <row r="65" spans="1:12" s="4" customFormat="1">
      <c r="A65" s="48" t="s">
        <v>484</v>
      </c>
      <c r="B65" s="65" t="s">
        <v>228</v>
      </c>
      <c r="C65" s="82">
        <v>3.1872123632897356E-3</v>
      </c>
      <c r="D65" s="82">
        <v>3.1872123632897356E-3</v>
      </c>
      <c r="E65" s="74">
        <v>2.5497698906317887E-3</v>
      </c>
      <c r="F65" s="74">
        <v>1.2748849453158944E-3</v>
      </c>
      <c r="G65" s="74">
        <v>3.1872123632897359E-4</v>
      </c>
      <c r="H65" s="74">
        <v>0</v>
      </c>
      <c r="I65" s="74">
        <v>0</v>
      </c>
      <c r="J65" s="74">
        <v>0</v>
      </c>
    </row>
    <row r="66" spans="1:12" ht="14.4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2" ht="14.4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2" ht="14.4" customHeight="1">
      <c r="A68" s="37"/>
      <c r="B68" s="5"/>
      <c r="C68" s="5"/>
      <c r="D68" s="5"/>
      <c r="E68" s="5"/>
      <c r="F68" s="5"/>
      <c r="G68" s="5"/>
      <c r="H68" s="5"/>
      <c r="I68" s="5"/>
      <c r="J68" s="5"/>
    </row>
    <row r="69" spans="1:12" ht="14.4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2" ht="14.4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12" ht="14.4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12" ht="14.4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12" ht="14.4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12" ht="14.4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12" ht="14.4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2" ht="14.4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2" ht="14.4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L77" s="16"/>
    </row>
    <row r="78" spans="1:12" ht="14.4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2" ht="14.4" customHeight="1">
      <c r="A79" s="37"/>
      <c r="B79" s="5"/>
      <c r="C79" s="5"/>
      <c r="D79" s="5"/>
      <c r="E79" s="5"/>
      <c r="F79" s="5"/>
      <c r="G79" s="5"/>
      <c r="H79" s="5"/>
      <c r="I79" s="5"/>
      <c r="J79" s="5"/>
    </row>
    <row r="80" spans="1:12" ht="14.4" customHeight="1">
      <c r="A80" s="9"/>
    </row>
    <row r="81" spans="1:10" ht="14.4" customHeight="1">
      <c r="A81" s="9"/>
    </row>
    <row r="82" spans="1:10" ht="14.4" customHeight="1">
      <c r="A82" s="9"/>
    </row>
    <row r="83" spans="1:10" ht="14.4" customHeight="1">
      <c r="A83" s="9"/>
    </row>
    <row r="84" spans="1:10" ht="14.4" customHeight="1"/>
    <row r="85" spans="1:10" ht="14.4" customHeight="1"/>
    <row r="86" spans="1:10" ht="14.4" customHeight="1">
      <c r="A86" s="9"/>
    </row>
    <row r="87" spans="1:10" ht="14.4" customHeight="1">
      <c r="A87" s="9"/>
    </row>
    <row r="88" spans="1:10" ht="14.4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4.4" customHeight="1">
      <c r="A89" s="9"/>
    </row>
    <row r="90" spans="1:10" ht="14.4" customHeight="1">
      <c r="A90" s="9"/>
    </row>
    <row r="91" spans="1:10" ht="14.4" customHeight="1">
      <c r="A91" s="9"/>
    </row>
    <row r="92" spans="1:10" ht="14.4" customHeight="1">
      <c r="A92" s="9"/>
    </row>
    <row r="93" spans="1:10" ht="14.4" customHeight="1">
      <c r="A93" s="15"/>
      <c r="B93" s="15"/>
      <c r="C93" s="15"/>
    </row>
    <row r="94" spans="1:10" ht="14.4" customHeight="1">
      <c r="A94" s="9"/>
    </row>
    <row r="95" spans="1:10" ht="14.4" customHeight="1">
      <c r="A95" s="37"/>
      <c r="B95" s="5"/>
      <c r="C95" s="5"/>
      <c r="D95" s="5"/>
      <c r="E95" s="5"/>
      <c r="F95" s="5"/>
      <c r="G95" s="5"/>
      <c r="H95" s="5"/>
      <c r="I95" s="5"/>
      <c r="J95" s="5"/>
    </row>
    <row r="96" spans="1:10" ht="14.4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4.4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4.4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4.4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4.4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4.4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4.4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4.4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10" ht="14.4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10" ht="14.4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10" ht="14.4" customHeight="1">
      <c r="A106" s="37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4.4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4.4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4.4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4.4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4.4" customHeight="1">
      <c r="A111" s="9"/>
    </row>
    <row r="112" spans="1:10" ht="14.4" customHeight="1">
      <c r="A112" s="9"/>
    </row>
    <row r="113" spans="1:10" ht="14.4" customHeight="1">
      <c r="A113" s="9"/>
    </row>
    <row r="114" spans="1:10" ht="14.4" customHeight="1">
      <c r="A114" s="9"/>
    </row>
    <row r="115" spans="1:10" ht="14.4" customHeight="1">
      <c r="A115" s="32"/>
    </row>
    <row r="116" spans="1:10" ht="14.4" customHeight="1">
      <c r="A116" s="9"/>
    </row>
    <row r="117" spans="1:10" ht="14.4" customHeight="1">
      <c r="A117" s="9"/>
    </row>
    <row r="118" spans="1:10" ht="14.4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4.4" customHeight="1">
      <c r="A119" s="9"/>
    </row>
    <row r="120" spans="1:10" ht="14.4" customHeight="1">
      <c r="A120" s="9"/>
    </row>
    <row r="121" spans="1:10" ht="14.4" customHeight="1">
      <c r="A121" s="9"/>
    </row>
    <row r="122" spans="1:10" ht="14.4" customHeight="1">
      <c r="A122" s="9"/>
    </row>
    <row r="123" spans="1:10" ht="14.4" customHeight="1">
      <c r="A123" s="9"/>
    </row>
    <row r="124" spans="1:10" ht="14.4" customHeight="1"/>
    <row r="125" spans="1:10" ht="14.4" customHeight="1"/>
    <row r="126" spans="1:10" ht="14.4" customHeight="1"/>
    <row r="127" spans="1:10" ht="14.4" customHeight="1">
      <c r="A127" s="32"/>
    </row>
    <row r="128" spans="1:10" ht="14.4" customHeight="1"/>
    <row r="129" spans="1:10" ht="14.4" customHeight="1">
      <c r="A129" s="9"/>
    </row>
    <row r="130" spans="1:10" ht="14.4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4.4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4.4" customHeight="1">
      <c r="A134" s="37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4.4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4.4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4.4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4.4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4.4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10" ht="14.4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10" ht="14.4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10" ht="14.4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10" ht="14.4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10" ht="14.4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4.4" customHeight="1">
      <c r="A145" s="37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4.4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4.4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4.4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4.4" customHeight="1">
      <c r="A149" s="9"/>
    </row>
    <row r="150" spans="1:10" ht="14.4" customHeight="1">
      <c r="A150" s="9"/>
    </row>
    <row r="151" spans="1:10" ht="14.4" customHeight="1">
      <c r="A151" s="9"/>
    </row>
    <row r="152" spans="1:10" ht="14.4" customHeight="1">
      <c r="A152" s="9"/>
    </row>
    <row r="153" spans="1:10" ht="14.4" customHeight="1"/>
    <row r="154" spans="1:10" ht="14.4" customHeight="1"/>
    <row r="155" spans="1:10" ht="14.4" customHeight="1"/>
    <row r="156" spans="1:10" ht="14.4" customHeight="1"/>
    <row r="157" spans="1:10" ht="14.4" customHeight="1">
      <c r="A157" s="9"/>
    </row>
    <row r="158" spans="1:10" ht="14.4" customHeight="1">
      <c r="A158" s="9"/>
    </row>
    <row r="159" spans="1:10" ht="14.4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4.4" customHeight="1">
      <c r="A160" s="29"/>
    </row>
    <row r="161" spans="1:10" ht="14.4" customHeight="1">
      <c r="A161" s="9"/>
    </row>
    <row r="162" spans="1:10" ht="14.4" customHeight="1">
      <c r="A162" s="9"/>
    </row>
    <row r="163" spans="1:10" ht="14.4" customHeight="1">
      <c r="A163" s="9"/>
    </row>
    <row r="164" spans="1:10" ht="14.4" customHeight="1"/>
    <row r="165" spans="1:10" ht="14.4" customHeight="1"/>
    <row r="166" spans="1:10" ht="14.4" customHeight="1"/>
    <row r="167" spans="1:10" ht="14.4" customHeight="1"/>
    <row r="168" spans="1:10" ht="14.4" customHeight="1"/>
    <row r="169" spans="1:10" ht="14.4" customHeight="1">
      <c r="A169" s="9"/>
    </row>
    <row r="170" spans="1:10" ht="14.4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4.4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4.4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4.4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4.4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4.4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4.4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4.4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4.4" customHeight="1">
      <c r="A178" s="37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4.4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10" ht="14.4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10" ht="14.4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10" ht="14.4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10" ht="14.4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10" ht="14.4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10" ht="14.4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10" ht="14.4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4.4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4.4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4.4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4.4" customHeight="1">
      <c r="A190" s="37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4.4" customHeight="1">
      <c r="A191" s="9"/>
      <c r="C191" s="5"/>
      <c r="D191" s="5"/>
      <c r="E191" s="5"/>
      <c r="F191" s="5"/>
      <c r="G191" s="5"/>
      <c r="H191" s="5"/>
      <c r="I191" s="5"/>
      <c r="J191" s="5"/>
    </row>
    <row r="192" spans="1:10" ht="14.4" customHeight="1">
      <c r="A192" s="9"/>
    </row>
    <row r="193" spans="1:10" ht="14.4" customHeight="1">
      <c r="A193" s="9"/>
    </row>
    <row r="194" spans="1:10" ht="14.4" customHeight="1">
      <c r="A194" s="9"/>
    </row>
    <row r="195" spans="1:10" ht="14.4" customHeight="1"/>
    <row r="196" spans="1:10" ht="14.4" customHeight="1"/>
    <row r="197" spans="1:10" ht="14.4" customHeight="1"/>
    <row r="198" spans="1:10" ht="14.4" customHeight="1">
      <c r="A198" s="9"/>
    </row>
    <row r="199" spans="1:10" ht="14.4" customHeight="1">
      <c r="A199" s="29"/>
    </row>
    <row r="200" spans="1:10" ht="14.4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4.4" customHeight="1">
      <c r="A201" s="9"/>
    </row>
    <row r="202" spans="1:10" ht="14.4" customHeight="1">
      <c r="A202" s="9"/>
    </row>
    <row r="203" spans="1:10" ht="14.4" customHeight="1">
      <c r="A203" s="9"/>
    </row>
    <row r="204" spans="1:10" ht="14.4" customHeight="1">
      <c r="A204" s="9"/>
    </row>
    <row r="205" spans="1:10" ht="14.4" customHeight="1">
      <c r="A205" s="9"/>
    </row>
    <row r="206" spans="1:10" ht="14.4" customHeight="1">
      <c r="A206" s="38"/>
      <c r="B206" s="2"/>
    </row>
    <row r="207" spans="1:10" ht="14.4" customHeight="1"/>
    <row r="208" spans="1:10" ht="14.4" customHeight="1"/>
    <row r="209" spans="1:10" ht="14.4" customHeight="1"/>
    <row r="210" spans="1:10" ht="14.4" customHeight="1"/>
    <row r="211" spans="1:10" ht="14.4" customHeight="1">
      <c r="A211" s="9"/>
    </row>
    <row r="212" spans="1:10" ht="14.4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4.4" customHeight="1">
      <c r="A213" s="37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4.4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4.4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4.4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4.4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4.4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4.4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4.4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10" ht="14.4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10" ht="14.4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10" ht="14.4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10" ht="14.4" customHeight="1">
      <c r="A224" s="37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4.4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4.4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4.4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4.4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4.4" customHeight="1">
      <c r="A229" s="9"/>
    </row>
    <row r="230" spans="1:10" ht="14.4" customHeight="1">
      <c r="A230" s="9"/>
    </row>
    <row r="231" spans="1:10" ht="14.4" customHeight="1">
      <c r="A231" s="9"/>
    </row>
    <row r="232" spans="1:10" ht="14.4" customHeight="1">
      <c r="A232" s="9"/>
    </row>
    <row r="233" spans="1:10" ht="14.4" customHeight="1"/>
    <row r="234" spans="1:10" ht="14.4" customHeight="1">
      <c r="A234" s="29"/>
    </row>
    <row r="235" spans="1:10" ht="14.4" customHeight="1">
      <c r="A235" s="9"/>
    </row>
    <row r="236" spans="1:10" ht="14.4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4" customHeight="1">
      <c r="A237" s="9"/>
    </row>
    <row r="238" spans="1:10" ht="14.4" customHeight="1">
      <c r="A238" s="9"/>
    </row>
    <row r="239" spans="1:10" ht="14.4" customHeight="1">
      <c r="A239" s="9"/>
    </row>
    <row r="240" spans="1:10" ht="14.4" customHeight="1">
      <c r="A240" s="9"/>
    </row>
    <row r="241" spans="1:10" ht="14.4" customHeight="1">
      <c r="A241" s="32"/>
    </row>
    <row r="242" spans="1:10" ht="14.4" customHeight="1"/>
    <row r="243" spans="1:10" ht="14.4" customHeight="1"/>
    <row r="244" spans="1:10" ht="14.4" customHeight="1"/>
    <row r="245" spans="1:10" ht="14.4" customHeight="1">
      <c r="A245" s="9"/>
    </row>
    <row r="246" spans="1:10" ht="14.4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4.4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4.4" customHeight="1">
      <c r="A248" s="37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4.4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10" ht="14.4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10" ht="14.4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10" ht="14.4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10" ht="14.4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4.4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4.4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4.4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4.4" customHeight="1">
      <c r="A260" s="9"/>
    </row>
    <row r="261" spans="1:10" ht="14.4" customHeight="1">
      <c r="A261" s="9"/>
    </row>
    <row r="262" spans="1:10" ht="14.4" customHeight="1">
      <c r="A262" s="9"/>
    </row>
    <row r="263" spans="1:10" ht="14.4" customHeight="1">
      <c r="A263" s="9"/>
    </row>
    <row r="264" spans="1:10" ht="14.4" customHeight="1"/>
    <row r="265" spans="1:10" ht="14.4" customHeight="1"/>
    <row r="266" spans="1:10" ht="14.4" customHeight="1">
      <c r="A266" s="9"/>
    </row>
    <row r="267" spans="1:10" ht="14.4" customHeight="1">
      <c r="A267" s="9"/>
    </row>
    <row r="268" spans="1:10" ht="14.4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4.4" customHeight="1">
      <c r="A269" s="9"/>
    </row>
    <row r="270" spans="1:10" ht="14.4" customHeight="1">
      <c r="A270" s="9"/>
    </row>
    <row r="271" spans="1:10" ht="14.4" customHeight="1">
      <c r="A271" s="9"/>
    </row>
    <row r="272" spans="1:10" ht="14.4" customHeight="1">
      <c r="A272" s="9"/>
    </row>
    <row r="273" spans="1:10" ht="14.4" customHeight="1">
      <c r="A273" s="17"/>
      <c r="B273" s="2"/>
    </row>
    <row r="274" spans="1:10" ht="14.4" customHeight="1"/>
    <row r="275" spans="1:10" ht="14.4" customHeight="1"/>
    <row r="276" spans="1:10" ht="14.4" customHeight="1"/>
    <row r="277" spans="1:10" ht="14.4" customHeight="1"/>
    <row r="278" spans="1:10" ht="14.4" customHeight="1">
      <c r="A278" s="9"/>
    </row>
    <row r="279" spans="1:10" ht="14.4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4.4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4.4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4.4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4.4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4.4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4.4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10" ht="14.4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10" ht="14.4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10" ht="14.4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10" ht="14.4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4.4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4.4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4.4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4.4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4.4" customHeight="1">
      <c r="A296" s="9"/>
    </row>
    <row r="297" spans="1:10" ht="14.4" customHeight="1">
      <c r="A297" s="9"/>
    </row>
    <row r="298" spans="1:10" ht="14.4" customHeight="1">
      <c r="A298" s="9"/>
    </row>
    <row r="299" spans="1:10" ht="14.4" customHeight="1">
      <c r="A299" s="9"/>
    </row>
    <row r="300" spans="1:10" ht="14.4" customHeight="1"/>
    <row r="301" spans="1:10" ht="14.4" customHeight="1"/>
    <row r="302" spans="1:10" ht="14.4" customHeight="1">
      <c r="A302" s="9"/>
    </row>
    <row r="303" spans="1:10" ht="14.4" customHeight="1">
      <c r="A303" s="9"/>
    </row>
    <row r="304" spans="1:10" ht="14.4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4" customHeight="1">
      <c r="A305" s="9"/>
    </row>
    <row r="306" spans="1:10" ht="14.4" customHeight="1">
      <c r="A306" s="9"/>
    </row>
    <row r="307" spans="1:10" ht="14.4" customHeight="1">
      <c r="A307" s="9"/>
    </row>
    <row r="308" spans="1:10" ht="14.4" customHeight="1">
      <c r="A308" s="9"/>
    </row>
    <row r="309" spans="1:10" ht="14.4" customHeight="1">
      <c r="A309" s="17"/>
      <c r="B309" s="2"/>
    </row>
    <row r="310" spans="1:10" ht="14.4" customHeight="1"/>
    <row r="311" spans="1:10" ht="14.4" customHeight="1"/>
    <row r="312" spans="1:10" ht="14.4" customHeight="1"/>
    <row r="313" spans="1:10" ht="14.4" customHeight="1"/>
    <row r="314" spans="1:10" ht="14.4" customHeight="1">
      <c r="A314" s="9"/>
    </row>
    <row r="315" spans="1:10" ht="14.4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4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4.4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4.4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4.4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4.4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4.4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10" ht="14.4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10" ht="14.4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10" ht="14.4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10" ht="14.4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4.4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4.4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4.4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4.4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4.4" customHeight="1">
      <c r="A332" s="9"/>
    </row>
    <row r="333" spans="1:10" ht="14.4" customHeight="1">
      <c r="A333" s="9"/>
    </row>
    <row r="334" spans="1:10" ht="14.4" customHeight="1">
      <c r="A334" s="9"/>
    </row>
    <row r="335" spans="1:10" ht="14.4" customHeight="1">
      <c r="A335" s="9"/>
    </row>
    <row r="336" spans="1:10" ht="14.4" customHeight="1"/>
    <row r="337" spans="1:10" ht="14.4" customHeight="1"/>
    <row r="338" spans="1:10" ht="14.4" customHeight="1">
      <c r="A338" s="9"/>
    </row>
    <row r="339" spans="1:10" ht="14.4" customHeight="1">
      <c r="A339" s="9"/>
    </row>
    <row r="340" spans="1:10" ht="14.4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4" customHeight="1">
      <c r="A341" s="9"/>
    </row>
    <row r="342" spans="1:10" ht="14.4" customHeight="1">
      <c r="A342" s="9"/>
    </row>
    <row r="343" spans="1:10" ht="14.4" customHeight="1">
      <c r="A343" s="9"/>
    </row>
    <row r="344" spans="1:10" ht="14.4" customHeight="1">
      <c r="A344" s="9"/>
    </row>
    <row r="345" spans="1:10" ht="14.4" customHeight="1">
      <c r="A345" s="17"/>
      <c r="B345" s="2"/>
    </row>
    <row r="346" spans="1:10" ht="14.4" customHeight="1"/>
    <row r="347" spans="1:10" ht="14.4" customHeight="1"/>
    <row r="348" spans="1:10" ht="14.4" customHeight="1"/>
    <row r="349" spans="1:10" ht="14.4" customHeight="1"/>
    <row r="350" spans="1:10">
      <c r="A350" s="9"/>
    </row>
    <row r="351" spans="1:10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2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2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2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2" ht="14.4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>
        <v>2</v>
      </c>
      <c r="L356">
        <v>2</v>
      </c>
    </row>
    <row r="357" spans="1:12" ht="14.4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2" ht="14.4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2" ht="14.4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12" ht="14.4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12" ht="14.4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12" ht="14.4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12" ht="14.4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12" ht="14.4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2" ht="14.4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2" ht="14.4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2" ht="14.4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2" ht="14.4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4.4" customHeight="1">
      <c r="A369" s="9"/>
      <c r="C369" s="5"/>
      <c r="D369" s="5"/>
      <c r="E369" s="5"/>
      <c r="F369" s="5"/>
      <c r="G369" s="5"/>
      <c r="H369" s="5"/>
      <c r="I369" s="5"/>
      <c r="J369" s="5"/>
    </row>
    <row r="370" spans="1:10" ht="14.4" customHeight="1">
      <c r="A370" s="9"/>
    </row>
    <row r="371" spans="1:10">
      <c r="A371" s="9"/>
    </row>
    <row r="372" spans="1:10">
      <c r="A372" s="9"/>
    </row>
    <row r="376" spans="1:10">
      <c r="A376" s="9"/>
    </row>
    <row r="377" spans="1:10">
      <c r="A377" s="9"/>
    </row>
    <row r="378" spans="1:10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>
      <c r="A379" s="9"/>
    </row>
    <row r="380" spans="1:10">
      <c r="A380" s="9"/>
    </row>
    <row r="381" spans="1:10">
      <c r="A381" s="9"/>
    </row>
    <row r="382" spans="1:10">
      <c r="A382" s="9"/>
    </row>
    <row r="383" spans="1:10">
      <c r="A383" s="17"/>
      <c r="B383" s="2"/>
    </row>
    <row r="388" spans="1:10">
      <c r="A388" s="9"/>
    </row>
    <row r="389" spans="1:10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>
      <c r="A396" s="5"/>
      <c r="B396" s="5"/>
      <c r="C396" s="5"/>
      <c r="D396" s="5"/>
      <c r="E396" s="5"/>
      <c r="F396" s="5"/>
      <c r="G396" s="5"/>
      <c r="H396" s="5"/>
      <c r="I396" s="5"/>
    </row>
    <row r="397" spans="1:10">
      <c r="A397" s="5"/>
      <c r="B397" s="5"/>
      <c r="C397" s="5"/>
      <c r="D397" s="5"/>
      <c r="E397" s="5"/>
      <c r="F397" s="5"/>
      <c r="G397" s="5"/>
      <c r="H397" s="5"/>
      <c r="I397" s="5"/>
    </row>
    <row r="398" spans="1:10">
      <c r="A398" s="5"/>
      <c r="B398" s="5"/>
      <c r="C398" s="5"/>
      <c r="D398" s="5"/>
      <c r="E398" s="5"/>
      <c r="F398" s="5"/>
      <c r="G398" s="5"/>
      <c r="H398" s="5"/>
      <c r="I398" s="5"/>
    </row>
    <row r="399" spans="1:10">
      <c r="A399" s="5"/>
      <c r="B399" s="5"/>
      <c r="C399" s="5"/>
      <c r="D399" s="5"/>
      <c r="E399" s="5"/>
      <c r="F399" s="5"/>
      <c r="G399" s="5"/>
      <c r="H399" s="5"/>
      <c r="I399" s="5"/>
    </row>
    <row r="400" spans="1:10">
      <c r="A400" s="5"/>
      <c r="B400" s="5"/>
      <c r="C400" s="5"/>
      <c r="D400" s="5"/>
      <c r="E400" s="5"/>
      <c r="F400" s="5"/>
      <c r="G400" s="5"/>
      <c r="H400" s="5"/>
      <c r="I400" s="5"/>
    </row>
    <row r="401" spans="1:10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>
      <c r="A405" s="9"/>
    </row>
    <row r="406" spans="1:10">
      <c r="A406" s="9"/>
    </row>
    <row r="407" spans="1:10">
      <c r="A407" s="9"/>
    </row>
    <row r="408" spans="1:10">
      <c r="A408" s="9"/>
    </row>
    <row r="411" spans="1:10">
      <c r="A411" s="9"/>
    </row>
    <row r="412" spans="1:10">
      <c r="A412" s="9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9"/>
    </row>
    <row r="415" spans="1:10">
      <c r="A415" s="9"/>
    </row>
    <row r="416" spans="1:10">
      <c r="A416" s="9"/>
    </row>
    <row r="417" spans="1:28">
      <c r="A417" s="9"/>
    </row>
    <row r="418" spans="1:28">
      <c r="A418" s="17"/>
      <c r="B418" s="2"/>
    </row>
    <row r="419" spans="1:28">
      <c r="S419" t="s">
        <v>276</v>
      </c>
      <c r="T419" t="s">
        <v>308</v>
      </c>
      <c r="U419">
        <v>8.2040000000000006</v>
      </c>
      <c r="V419">
        <v>8.2040000000000006</v>
      </c>
      <c r="W419">
        <v>8.2040000000000006</v>
      </c>
      <c r="X419">
        <v>8.2040000000000006</v>
      </c>
      <c r="Y419">
        <v>8.2040000000000006</v>
      </c>
      <c r="Z419">
        <v>8.2040000000000006</v>
      </c>
      <c r="AA419">
        <v>8.2040000000000006</v>
      </c>
      <c r="AB419">
        <v>8.2040000000000006</v>
      </c>
    </row>
    <row r="421" spans="1:28">
      <c r="S421" t="s">
        <v>272</v>
      </c>
      <c r="T421" t="s">
        <v>308</v>
      </c>
      <c r="U421">
        <v>4.6710000000000003</v>
      </c>
      <c r="V421">
        <v>4.6710000000000003</v>
      </c>
      <c r="W421">
        <v>4.6710000000000003</v>
      </c>
      <c r="X421">
        <v>4.6710000000000003</v>
      </c>
      <c r="Y421">
        <v>4.6710000000000003</v>
      </c>
      <c r="Z421">
        <v>4.6710000000000003</v>
      </c>
      <c r="AA421">
        <v>4.6710000000000003</v>
      </c>
      <c r="AB421">
        <v>4.6710000000000003</v>
      </c>
    </row>
    <row r="423" spans="1:28">
      <c r="A423" s="9"/>
    </row>
    <row r="424" spans="1:28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28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28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28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28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28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28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28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28">
      <c r="A433" s="5"/>
      <c r="B433" s="5"/>
      <c r="C433" s="5"/>
      <c r="D433" s="5"/>
      <c r="E433" s="5"/>
      <c r="F433" s="5"/>
      <c r="G433" s="5"/>
      <c r="H433" s="5"/>
      <c r="I433" s="5"/>
    </row>
    <row r="434" spans="1:28">
      <c r="A434" s="5"/>
      <c r="B434" s="5"/>
      <c r="C434" s="5"/>
      <c r="D434" s="5"/>
      <c r="E434" s="5"/>
      <c r="F434" s="5"/>
      <c r="G434" s="5"/>
      <c r="H434" s="5"/>
      <c r="I434" s="5"/>
    </row>
    <row r="435" spans="1:28">
      <c r="A435" s="5"/>
      <c r="B435" s="5"/>
      <c r="C435" s="5"/>
      <c r="D435" s="5"/>
      <c r="E435" s="5"/>
      <c r="F435" s="5"/>
      <c r="G435" s="5"/>
      <c r="H435" s="5"/>
      <c r="I435" s="5"/>
    </row>
    <row r="436" spans="1:28">
      <c r="A436" s="5"/>
      <c r="B436" s="5"/>
      <c r="C436" s="5"/>
      <c r="D436" s="5"/>
      <c r="E436" s="5"/>
      <c r="F436" s="5"/>
      <c r="G436" s="5"/>
      <c r="H436" s="5"/>
      <c r="I436" s="5"/>
    </row>
    <row r="437" spans="1:28">
      <c r="A437" s="5"/>
      <c r="B437" s="5"/>
      <c r="C437" s="5"/>
      <c r="D437" s="5"/>
      <c r="E437" s="5"/>
      <c r="F437" s="5"/>
      <c r="G437" s="5"/>
      <c r="H437" s="5"/>
      <c r="I437" s="5"/>
      <c r="S437" t="s">
        <v>279</v>
      </c>
      <c r="T437" t="s">
        <v>308</v>
      </c>
      <c r="U437">
        <v>23.4</v>
      </c>
      <c r="V437">
        <v>23.4</v>
      </c>
      <c r="W437">
        <v>23.4</v>
      </c>
      <c r="X437">
        <v>23.4</v>
      </c>
      <c r="Y437">
        <v>23.4</v>
      </c>
      <c r="Z437">
        <v>23.4</v>
      </c>
      <c r="AA437">
        <v>23.4</v>
      </c>
      <c r="AB437">
        <v>23.4</v>
      </c>
    </row>
    <row r="438" spans="1:2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28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28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28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28">
      <c r="A442" s="5"/>
      <c r="B442" s="5"/>
      <c r="C442" s="5"/>
      <c r="D442" s="5"/>
      <c r="E442" s="5"/>
      <c r="F442" s="5"/>
      <c r="G442" s="5"/>
      <c r="H442" s="5"/>
      <c r="I442" s="5"/>
      <c r="J442" s="5"/>
      <c r="S442" t="s">
        <v>281</v>
      </c>
      <c r="T442" t="s">
        <v>308</v>
      </c>
      <c r="U442">
        <v>4.55</v>
      </c>
      <c r="V442">
        <v>4.55</v>
      </c>
      <c r="W442">
        <v>4.55</v>
      </c>
      <c r="X442">
        <v>4.55</v>
      </c>
      <c r="Y442">
        <v>4.55</v>
      </c>
      <c r="Z442">
        <v>4.55</v>
      </c>
      <c r="AA442">
        <v>4.55</v>
      </c>
      <c r="AB442">
        <v>4.55</v>
      </c>
    </row>
    <row r="443" spans="1:28">
      <c r="A443" s="9"/>
    </row>
    <row r="444" spans="1:28">
      <c r="A444" s="9"/>
    </row>
    <row r="445" spans="1:28">
      <c r="A445" s="9"/>
    </row>
    <row r="446" spans="1:28">
      <c r="A446" s="9"/>
    </row>
    <row r="449" spans="1:10">
      <c r="A449" s="9"/>
    </row>
    <row r="450" spans="1:10">
      <c r="A450" s="9"/>
    </row>
    <row r="451" spans="1:10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>
      <c r="A452" s="9"/>
    </row>
    <row r="453" spans="1:10">
      <c r="A453" s="9"/>
    </row>
    <row r="454" spans="1:10">
      <c r="A454" s="9"/>
    </row>
    <row r="455" spans="1:10">
      <c r="A455" s="9"/>
    </row>
    <row r="456" spans="1:10">
      <c r="A456" s="17"/>
      <c r="B456" s="2"/>
    </row>
    <row r="461" spans="1:10">
      <c r="A461" s="9"/>
    </row>
    <row r="462" spans="1:10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>
      <c r="A471" s="5"/>
      <c r="B471" s="5"/>
      <c r="C471" s="5"/>
      <c r="D471" s="5"/>
      <c r="E471" s="5"/>
      <c r="F471" s="5"/>
      <c r="G471" s="5"/>
      <c r="H471" s="5"/>
      <c r="I471" s="5"/>
    </row>
    <row r="472" spans="1:10">
      <c r="A472" s="5"/>
      <c r="B472" s="5"/>
      <c r="C472" s="5"/>
      <c r="D472" s="5"/>
      <c r="E472" s="5"/>
      <c r="F472" s="5"/>
      <c r="G472" s="5"/>
      <c r="H472" s="5"/>
      <c r="I472" s="5"/>
    </row>
    <row r="473" spans="1:10">
      <c r="A473" s="5"/>
      <c r="B473" s="5"/>
      <c r="C473" s="5"/>
      <c r="D473" s="5"/>
      <c r="E473" s="5"/>
      <c r="F473" s="5"/>
      <c r="G473" s="5"/>
      <c r="H473" s="5"/>
      <c r="I473" s="5"/>
    </row>
    <row r="474" spans="1:10">
      <c r="A474" s="5"/>
      <c r="B474" s="5"/>
      <c r="C474" s="5"/>
      <c r="D474" s="5"/>
      <c r="E474" s="5"/>
      <c r="F474" s="5"/>
      <c r="G474" s="5"/>
      <c r="H474" s="5"/>
      <c r="I474" s="5"/>
    </row>
    <row r="475" spans="1:10">
      <c r="A475" s="5"/>
      <c r="B475" s="5"/>
      <c r="C475" s="5"/>
      <c r="D475" s="5"/>
      <c r="E475" s="5"/>
      <c r="F475" s="5"/>
      <c r="G475" s="5"/>
      <c r="H475" s="5"/>
      <c r="I475" s="5"/>
    </row>
    <row r="476" spans="1:10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>
      <c r="A481" s="9"/>
    </row>
    <row r="482" spans="1:10">
      <c r="A482" s="9"/>
    </row>
    <row r="483" spans="1:10">
      <c r="A483" s="9"/>
    </row>
    <row r="484" spans="1:10">
      <c r="A484" s="9"/>
    </row>
    <row r="488" spans="1:10">
      <c r="A488" s="9"/>
    </row>
    <row r="489" spans="1:10">
      <c r="A489" s="9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>
      <c r="A491" s="9"/>
    </row>
    <row r="492" spans="1:10">
      <c r="A492" s="9"/>
    </row>
    <row r="493" spans="1:10">
      <c r="A493" s="9"/>
    </row>
    <row r="494" spans="1:10">
      <c r="A494" s="9"/>
    </row>
    <row r="498" spans="1:10">
      <c r="A498" s="9"/>
    </row>
    <row r="499" spans="1:10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>
      <c r="A507" s="5"/>
      <c r="B507" s="5"/>
      <c r="C507" s="5"/>
      <c r="D507" s="5"/>
      <c r="E507" s="5"/>
      <c r="F507" s="5"/>
      <c r="G507" s="5"/>
      <c r="H507" s="5"/>
      <c r="I507" s="5"/>
    </row>
    <row r="508" spans="1:10">
      <c r="A508" s="5"/>
      <c r="B508" s="5"/>
      <c r="C508" s="5"/>
      <c r="D508" s="5"/>
      <c r="E508" s="5"/>
      <c r="F508" s="5"/>
      <c r="G508" s="5"/>
      <c r="H508" s="5"/>
      <c r="I508" s="5"/>
    </row>
    <row r="509" spans="1:10">
      <c r="A509" s="5"/>
      <c r="B509" s="5"/>
      <c r="C509" s="5"/>
      <c r="D509" s="5"/>
      <c r="E509" s="5"/>
      <c r="F509" s="5"/>
      <c r="G509" s="5"/>
      <c r="H509" s="5"/>
      <c r="I509" s="5"/>
    </row>
    <row r="510" spans="1:10">
      <c r="A510" s="5"/>
      <c r="B510" s="5"/>
      <c r="C510" s="5"/>
      <c r="D510" s="5"/>
      <c r="E510" s="5"/>
      <c r="F510" s="5"/>
      <c r="G510" s="5"/>
      <c r="H510" s="5"/>
      <c r="I510" s="5"/>
    </row>
    <row r="511" spans="1:10">
      <c r="A511" s="5"/>
      <c r="B511" s="5"/>
      <c r="C511" s="5"/>
      <c r="D511" s="5"/>
      <c r="E511" s="5"/>
      <c r="F511" s="5"/>
      <c r="G511" s="5"/>
      <c r="H511" s="5"/>
      <c r="I511" s="5"/>
    </row>
    <row r="512" spans="1:10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>
      <c r="A517" s="9"/>
    </row>
    <row r="518" spans="1:10">
      <c r="A518" s="9"/>
    </row>
    <row r="519" spans="1:10">
      <c r="A519" s="9"/>
    </row>
    <row r="520" spans="1:10">
      <c r="A520" s="9"/>
    </row>
    <row r="524" spans="1:10">
      <c r="A524" s="9"/>
    </row>
    <row r="525" spans="1:10">
      <c r="A525" s="9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>
      <c r="A527" s="9"/>
    </row>
    <row r="528" spans="1:10">
      <c r="A528" s="9"/>
    </row>
    <row r="529" spans="1:10">
      <c r="A529" s="9"/>
    </row>
    <row r="530" spans="1:10">
      <c r="A530" s="9"/>
    </row>
    <row r="531" spans="1:10">
      <c r="A531" s="17"/>
      <c r="B531" s="2"/>
    </row>
    <row r="532" spans="1:10">
      <c r="A532" s="17"/>
      <c r="B532" s="17"/>
      <c r="D532" s="5"/>
      <c r="E532" s="5"/>
      <c r="F532" s="5"/>
      <c r="G532" s="5"/>
      <c r="H532" s="5"/>
      <c r="I532" s="5"/>
    </row>
    <row r="537" spans="1:10">
      <c r="A537" s="9"/>
    </row>
    <row r="538" spans="1:10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>
      <c r="A546" s="5"/>
      <c r="B546" s="5"/>
      <c r="C546" s="5"/>
      <c r="D546" s="5"/>
      <c r="E546" s="5"/>
      <c r="F546" s="5"/>
      <c r="G546" s="5"/>
      <c r="H546" s="5"/>
      <c r="I546" s="5"/>
    </row>
    <row r="547" spans="1:10">
      <c r="A547" s="5"/>
      <c r="B547" s="5"/>
      <c r="C547" s="5"/>
      <c r="D547" s="5"/>
      <c r="E547" s="5"/>
      <c r="F547" s="5"/>
      <c r="G547" s="5"/>
      <c r="H547" s="5"/>
      <c r="I547" s="5"/>
    </row>
    <row r="548" spans="1:10">
      <c r="A548" s="5"/>
      <c r="B548" s="5"/>
      <c r="C548" s="5"/>
      <c r="D548" s="5"/>
      <c r="E548" s="5"/>
      <c r="F548" s="5"/>
      <c r="G548" s="5"/>
      <c r="H548" s="5"/>
      <c r="I548" s="5"/>
    </row>
    <row r="549" spans="1:10">
      <c r="A549" s="5"/>
      <c r="B549" s="5"/>
      <c r="C549" s="5"/>
      <c r="D549" s="5"/>
      <c r="E549" s="5"/>
      <c r="F549" s="5"/>
      <c r="G549" s="5"/>
      <c r="H549" s="5"/>
      <c r="I549" s="5"/>
    </row>
    <row r="550" spans="1:1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>
      <c r="A555" s="9"/>
    </row>
    <row r="556" spans="1:10">
      <c r="A556" s="9"/>
    </row>
    <row r="557" spans="1:10">
      <c r="A557" s="9"/>
    </row>
    <row r="558" spans="1:10">
      <c r="A558" s="9"/>
    </row>
    <row r="562" spans="1:10">
      <c r="A562" s="9"/>
    </row>
    <row r="563" spans="1:10">
      <c r="A563" s="9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>
      <c r="A565" s="9"/>
    </row>
    <row r="566" spans="1:10">
      <c r="A566" s="9"/>
    </row>
    <row r="567" spans="1:10">
      <c r="A567" s="9"/>
    </row>
    <row r="568" spans="1:10">
      <c r="A568" s="9"/>
    </row>
    <row r="569" spans="1:10">
      <c r="A569" s="9"/>
    </row>
    <row r="570" spans="1:10">
      <c r="A570" s="17"/>
      <c r="B570" s="2"/>
    </row>
    <row r="574" spans="1:10">
      <c r="A574" s="9"/>
    </row>
    <row r="575" spans="1:10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>
      <c r="A582" s="5"/>
      <c r="B582" s="5"/>
      <c r="C582" s="5"/>
      <c r="D582" s="5"/>
      <c r="E582" s="5"/>
      <c r="F582" s="5"/>
      <c r="G582" s="5"/>
      <c r="H582" s="5"/>
      <c r="I582" s="5"/>
    </row>
    <row r="583" spans="1:10">
      <c r="A583" s="5"/>
      <c r="B583" s="5"/>
      <c r="C583" s="5"/>
      <c r="D583" s="5"/>
      <c r="E583" s="5"/>
      <c r="F583" s="5"/>
      <c r="G583" s="5"/>
      <c r="H583" s="5"/>
      <c r="I583" s="5"/>
    </row>
    <row r="584" spans="1:10">
      <c r="A584" s="5"/>
      <c r="B584" s="5"/>
      <c r="C584" s="5"/>
      <c r="D584" s="5"/>
      <c r="E584" s="5"/>
      <c r="F584" s="5"/>
      <c r="G584" s="5"/>
      <c r="H584" s="5"/>
      <c r="I584" s="5"/>
    </row>
    <row r="585" spans="1:10">
      <c r="A585" s="5"/>
      <c r="B585" s="5"/>
      <c r="C585" s="5"/>
      <c r="D585" s="5"/>
      <c r="E585" s="5"/>
      <c r="F585" s="5"/>
      <c r="G585" s="5"/>
      <c r="H585" s="5"/>
      <c r="I585" s="5"/>
    </row>
    <row r="586" spans="1:10">
      <c r="A586" s="5"/>
      <c r="B586" s="5"/>
      <c r="C586" s="5"/>
      <c r="D586" s="5"/>
      <c r="E586" s="5"/>
      <c r="F586" s="5"/>
      <c r="G586" s="5"/>
      <c r="H586" s="5"/>
      <c r="I586" s="5"/>
    </row>
    <row r="587" spans="1:10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>
      <c r="A592" s="9"/>
    </row>
    <row r="593" spans="1:10">
      <c r="A593" s="9"/>
    </row>
    <row r="594" spans="1:10">
      <c r="A594" s="9"/>
    </row>
    <row r="595" spans="1:10">
      <c r="A595" s="9"/>
    </row>
    <row r="599" spans="1:10">
      <c r="A599" s="9"/>
    </row>
    <row r="600" spans="1:10">
      <c r="A600" s="9"/>
    </row>
    <row r="601" spans="1:10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>
      <c r="A602" s="9"/>
    </row>
    <row r="603" spans="1:10">
      <c r="A603" s="9"/>
    </row>
    <row r="604" spans="1:10">
      <c r="A604" s="9"/>
    </row>
    <row r="605" spans="1:10">
      <c r="A605" s="9"/>
    </row>
    <row r="606" spans="1:10">
      <c r="A606" s="17"/>
      <c r="B606" s="2"/>
    </row>
    <row r="609" spans="1:10">
      <c r="A609" s="9"/>
    </row>
    <row r="610" spans="1: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>
      <c r="A618" s="5"/>
      <c r="B618" s="5"/>
      <c r="C618" s="5"/>
      <c r="D618" s="5"/>
      <c r="E618" s="5"/>
      <c r="F618" s="5"/>
      <c r="G618" s="5"/>
      <c r="H618" s="5"/>
      <c r="I618" s="5"/>
    </row>
    <row r="619" spans="1:10">
      <c r="A619" s="5"/>
      <c r="B619" s="5"/>
      <c r="C619" s="5"/>
      <c r="D619" s="5"/>
      <c r="E619" s="5"/>
      <c r="F619" s="5"/>
      <c r="G619" s="5"/>
      <c r="H619" s="5"/>
      <c r="I619" s="5"/>
    </row>
    <row r="620" spans="1:10">
      <c r="A620" s="5"/>
      <c r="B620" s="5"/>
      <c r="C620" s="5"/>
      <c r="D620" s="5"/>
      <c r="E620" s="5"/>
      <c r="F620" s="5"/>
      <c r="G620" s="5"/>
      <c r="H620" s="5"/>
      <c r="I620" s="5"/>
    </row>
    <row r="621" spans="1:10">
      <c r="A621" s="5"/>
      <c r="B621" s="5"/>
      <c r="C621" s="5"/>
      <c r="D621" s="5"/>
      <c r="E621" s="5"/>
      <c r="F621" s="5"/>
      <c r="G621" s="5"/>
      <c r="H621" s="5"/>
      <c r="I621" s="5"/>
    </row>
    <row r="622" spans="1:10">
      <c r="A622" s="5"/>
      <c r="B622" s="5"/>
      <c r="C622" s="5"/>
      <c r="D622" s="5"/>
      <c r="E622" s="5"/>
      <c r="F622" s="5"/>
      <c r="G622" s="5"/>
      <c r="H622" s="5"/>
      <c r="I622" s="5"/>
    </row>
    <row r="623" spans="1:10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>
      <c r="A626" s="9"/>
    </row>
    <row r="627" spans="1:10">
      <c r="A627" s="9"/>
    </row>
    <row r="628" spans="1:10">
      <c r="A628" s="9"/>
    </row>
    <row r="629" spans="1:10">
      <c r="A629" s="9"/>
    </row>
    <row r="632" spans="1:10">
      <c r="A632" s="9"/>
    </row>
    <row r="633" spans="1:10">
      <c r="A633" s="9"/>
    </row>
    <row r="634" spans="1:10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>
      <c r="A635" s="9"/>
    </row>
    <row r="636" spans="1:10">
      <c r="A636" s="9"/>
    </row>
    <row r="637" spans="1:10">
      <c r="A637" s="9"/>
    </row>
    <row r="638" spans="1:10">
      <c r="A638" s="9"/>
    </row>
    <row r="642" spans="1:10">
      <c r="A642" s="9"/>
    </row>
    <row r="643" spans="1:10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>
      <c r="A650" s="5"/>
      <c r="B650" s="5"/>
      <c r="C650" s="5"/>
      <c r="D650" s="5"/>
      <c r="E650" s="5"/>
      <c r="F650" s="5"/>
      <c r="G650" s="5"/>
      <c r="H650" s="5"/>
      <c r="I650" s="5"/>
    </row>
    <row r="651" spans="1:10">
      <c r="A651" s="5"/>
      <c r="B651" s="5"/>
      <c r="C651" s="5"/>
      <c r="D651" s="5"/>
      <c r="E651" s="5"/>
      <c r="F651" s="5"/>
      <c r="G651" s="5"/>
      <c r="H651" s="5"/>
      <c r="I651" s="5"/>
    </row>
    <row r="652" spans="1:10">
      <c r="A652" s="5"/>
      <c r="B652" s="5"/>
      <c r="C652" s="5"/>
      <c r="D652" s="5"/>
      <c r="E652" s="5"/>
      <c r="F652" s="5"/>
      <c r="G652" s="5"/>
      <c r="H652" s="5"/>
      <c r="I652" s="5"/>
    </row>
    <row r="653" spans="1:10">
      <c r="A653" s="5"/>
      <c r="B653" s="5"/>
      <c r="C653" s="5"/>
      <c r="D653" s="5"/>
      <c r="E653" s="5"/>
      <c r="F653" s="5"/>
      <c r="G653" s="5"/>
      <c r="H653" s="5"/>
      <c r="I653" s="5"/>
    </row>
    <row r="654" spans="1:10">
      <c r="A654" s="5"/>
      <c r="B654" s="5"/>
      <c r="C654" s="5"/>
      <c r="D654" s="5"/>
      <c r="E654" s="5"/>
      <c r="F654" s="5"/>
      <c r="G654" s="5"/>
      <c r="H654" s="5"/>
      <c r="I654" s="5"/>
    </row>
    <row r="655" spans="1:10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>
      <c r="A660" s="9"/>
    </row>
    <row r="661" spans="1:10">
      <c r="A661" s="9"/>
    </row>
    <row r="662" spans="1:10">
      <c r="A662" s="9"/>
    </row>
    <row r="663" spans="1:10">
      <c r="A663" s="9"/>
    </row>
    <row r="666" spans="1:10">
      <c r="A666" s="9"/>
    </row>
    <row r="667" spans="1:10">
      <c r="A667" s="9"/>
    </row>
    <row r="668" spans="1:10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>
      <c r="A669" s="9"/>
    </row>
    <row r="670" spans="1:10">
      <c r="A670" s="9"/>
    </row>
    <row r="671" spans="1:10">
      <c r="A671" s="9"/>
    </row>
    <row r="672" spans="1:10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0">
      <c r="A689" s="9"/>
    </row>
    <row r="690" spans="1:10">
      <c r="A690" s="9"/>
    </row>
    <row r="691" spans="1:10">
      <c r="A691" s="9"/>
    </row>
    <row r="692" spans="1:10">
      <c r="A692" s="15"/>
      <c r="B692" s="15"/>
      <c r="C692" s="15"/>
    </row>
    <row r="693" spans="1:10">
      <c r="A693" s="15"/>
      <c r="B693" s="15"/>
      <c r="C693" s="15"/>
    </row>
    <row r="700" spans="1:10">
      <c r="A700" s="9"/>
    </row>
    <row r="701" spans="1:10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>
      <c r="A709" s="5"/>
      <c r="B709" s="5"/>
      <c r="C709" s="5"/>
      <c r="D709" s="5"/>
      <c r="E709" s="5"/>
      <c r="F709" s="5"/>
      <c r="G709" s="5"/>
      <c r="H709" s="5"/>
      <c r="I709" s="5"/>
    </row>
    <row r="710" spans="1:10">
      <c r="A710" s="5"/>
      <c r="B710" s="5"/>
      <c r="C710" s="5"/>
      <c r="D710" s="5"/>
      <c r="E710" s="5"/>
      <c r="F710" s="5"/>
      <c r="G710" s="5"/>
      <c r="H710" s="5"/>
      <c r="I710" s="5"/>
    </row>
    <row r="711" spans="1:10">
      <c r="A711" s="5"/>
      <c r="B711" s="5"/>
      <c r="C711" s="5"/>
      <c r="D711" s="5"/>
      <c r="E711" s="5"/>
      <c r="F711" s="5"/>
      <c r="G711" s="5"/>
      <c r="H711" s="5"/>
      <c r="I711" s="5"/>
    </row>
    <row r="712" spans="1:10">
      <c r="A712" s="5"/>
      <c r="B712" s="5"/>
      <c r="C712" s="5"/>
      <c r="D712" s="5"/>
      <c r="E712" s="5"/>
      <c r="F712" s="5"/>
      <c r="G712" s="5"/>
      <c r="H712" s="5"/>
      <c r="I712" s="5"/>
    </row>
    <row r="713" spans="1:10">
      <c r="A713" s="5"/>
      <c r="B713" s="5"/>
      <c r="C713" s="5"/>
      <c r="D713" s="5"/>
      <c r="E713" s="5"/>
      <c r="F713" s="5"/>
      <c r="G713" s="5"/>
      <c r="H713" s="5"/>
      <c r="I713" s="5"/>
    </row>
    <row r="714" spans="1:10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>
      <c r="A719" s="9"/>
    </row>
    <row r="720" spans="1:10">
      <c r="A720" s="9"/>
    </row>
    <row r="721" spans="1:10">
      <c r="A721" s="9"/>
    </row>
    <row r="722" spans="1:10">
      <c r="A722" s="9"/>
    </row>
    <row r="726" spans="1:10">
      <c r="A726" s="9"/>
    </row>
    <row r="727" spans="1:10">
      <c r="A727" s="9"/>
    </row>
    <row r="728" spans="1:10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>
      <c r="A729" s="9"/>
    </row>
    <row r="730" spans="1:10">
      <c r="A730" s="9"/>
    </row>
    <row r="731" spans="1:10">
      <c r="A731" s="9"/>
    </row>
    <row r="732" spans="1:10">
      <c r="A732" s="9"/>
    </row>
    <row r="733" spans="1:10">
      <c r="A733" s="17"/>
      <c r="B733" s="2"/>
    </row>
    <row r="734" spans="1:10">
      <c r="A734" s="15"/>
      <c r="B734" s="15"/>
      <c r="C734" s="15"/>
    </row>
    <row r="735" spans="1:10">
      <c r="A735" s="15"/>
      <c r="B735" s="15"/>
      <c r="C735" s="15"/>
    </row>
    <row r="736" spans="1:10">
      <c r="A736" s="9"/>
    </row>
    <row r="737" spans="1:10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>
      <c r="A744" s="5"/>
      <c r="B744" s="5"/>
      <c r="C744" s="5"/>
      <c r="D744" s="5"/>
      <c r="E744" s="5"/>
      <c r="F744" s="5"/>
      <c r="G744" s="5"/>
      <c r="H744" s="5"/>
      <c r="I744" s="5"/>
    </row>
    <row r="745" spans="1:10">
      <c r="A745" s="5"/>
      <c r="B745" s="5"/>
      <c r="C745" s="5"/>
      <c r="D745" s="5"/>
      <c r="E745" s="5"/>
      <c r="F745" s="5"/>
      <c r="G745" s="5"/>
      <c r="H745" s="5"/>
      <c r="I745" s="5"/>
    </row>
    <row r="746" spans="1:10">
      <c r="A746" s="5"/>
      <c r="B746" s="5"/>
      <c r="C746" s="5"/>
      <c r="D746" s="5"/>
      <c r="E746" s="5"/>
      <c r="F746" s="5"/>
      <c r="G746" s="5"/>
      <c r="H746" s="5"/>
      <c r="I746" s="5"/>
    </row>
    <row r="747" spans="1:10">
      <c r="A747" s="5"/>
      <c r="B747" s="5"/>
      <c r="C747" s="5"/>
      <c r="D747" s="5"/>
      <c r="E747" s="5"/>
      <c r="F747" s="5"/>
      <c r="G747" s="5"/>
      <c r="H747" s="5"/>
      <c r="I747" s="5"/>
    </row>
    <row r="748" spans="1:10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>
      <c r="A753" s="9"/>
    </row>
    <row r="754" spans="1:10">
      <c r="A754" s="9"/>
    </row>
    <row r="755" spans="1:10">
      <c r="A755" s="9"/>
    </row>
    <row r="756" spans="1:10">
      <c r="A756" s="9"/>
    </row>
    <row r="759" spans="1:10">
      <c r="A759" s="9"/>
    </row>
    <row r="760" spans="1:10">
      <c r="A760" s="9"/>
    </row>
    <row r="761" spans="1:10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>
      <c r="A762" s="9"/>
    </row>
    <row r="763" spans="1:10">
      <c r="A763" s="9"/>
    </row>
    <row r="764" spans="1:10">
      <c r="A764" s="9"/>
    </row>
    <row r="765" spans="1:10">
      <c r="A765" s="9"/>
    </row>
    <row r="766" spans="1:10">
      <c r="A766" s="9"/>
    </row>
    <row r="767" spans="1:10">
      <c r="A767" s="17"/>
      <c r="B767" s="2"/>
    </row>
    <row r="768" spans="1:10">
      <c r="A768" s="15"/>
      <c r="B768" s="15"/>
      <c r="C768" s="15"/>
    </row>
    <row r="769" spans="1:10">
      <c r="A769" s="15"/>
      <c r="B769" s="15"/>
      <c r="C769" s="15"/>
    </row>
    <row r="770" spans="1:1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>
      <c r="A779" s="5"/>
      <c r="B779" s="5"/>
      <c r="C779" s="5"/>
      <c r="D779" s="5"/>
      <c r="E779" s="5"/>
      <c r="F779" s="5"/>
      <c r="G779" s="5"/>
      <c r="H779" s="5"/>
      <c r="I779" s="5"/>
    </row>
    <row r="780" spans="1:10">
      <c r="A780" s="5"/>
      <c r="B780" s="5"/>
      <c r="C780" s="5"/>
      <c r="D780" s="5"/>
      <c r="E780" s="5"/>
      <c r="F780" s="5"/>
      <c r="G780" s="5"/>
      <c r="H780" s="5"/>
      <c r="I780" s="5"/>
    </row>
    <row r="781" spans="1:10">
      <c r="A781" s="5"/>
      <c r="B781" s="5"/>
      <c r="C781" s="5"/>
      <c r="D781" s="5"/>
      <c r="E781" s="5"/>
      <c r="F781" s="5"/>
      <c r="G781" s="5"/>
      <c r="H781" s="5"/>
      <c r="I781" s="5"/>
    </row>
    <row r="782" spans="1:10">
      <c r="A782" s="5"/>
      <c r="B782" s="5"/>
      <c r="C782" s="5"/>
      <c r="D782" s="5"/>
      <c r="E782" s="5"/>
      <c r="F782" s="5"/>
      <c r="G782" s="5"/>
      <c r="H782" s="5"/>
      <c r="I782" s="5"/>
    </row>
    <row r="783" spans="1:10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>
      <c r="A788" s="17"/>
      <c r="C788" s="5"/>
      <c r="D788" s="5"/>
      <c r="E788" s="5"/>
      <c r="F788" s="5"/>
      <c r="G788" s="5"/>
      <c r="H788" s="5"/>
      <c r="I788" s="5"/>
      <c r="J788" s="5"/>
    </row>
    <row r="789" spans="1:10">
      <c r="A789" s="17"/>
      <c r="C789" s="5"/>
      <c r="D789" s="5"/>
      <c r="E789" s="5"/>
      <c r="F789" s="5"/>
      <c r="G789" s="5"/>
      <c r="H789" s="5"/>
      <c r="I789" s="5"/>
      <c r="J789" s="5"/>
    </row>
    <row r="790" spans="1:10">
      <c r="A790" s="17"/>
      <c r="C790" s="5"/>
      <c r="D790" s="5"/>
      <c r="E790" s="5"/>
      <c r="F790" s="5"/>
      <c r="G790" s="5"/>
      <c r="H790" s="5"/>
      <c r="I790" s="5"/>
      <c r="J790" s="5"/>
    </row>
    <row r="791" spans="1:10">
      <c r="A791" s="17"/>
      <c r="C791" s="5"/>
      <c r="D791" s="5"/>
      <c r="E791" s="5"/>
      <c r="F791" s="5"/>
      <c r="G791" s="5"/>
      <c r="H791" s="5"/>
      <c r="I791" s="5"/>
      <c r="J791" s="5"/>
    </row>
    <row r="792" spans="1:10">
      <c r="A792" s="17"/>
      <c r="C792" s="5"/>
      <c r="D792" s="5"/>
      <c r="E792" s="5"/>
      <c r="F792" s="5"/>
      <c r="G792" s="5"/>
      <c r="H792" s="5"/>
      <c r="I792" s="5"/>
      <c r="J792" s="5"/>
    </row>
    <row r="793" spans="1:10">
      <c r="A793" s="17"/>
      <c r="C793" s="5"/>
      <c r="D793" s="5"/>
      <c r="E793" s="5"/>
      <c r="F793" s="5"/>
      <c r="G793" s="5"/>
      <c r="H793" s="5"/>
      <c r="I793" s="5"/>
      <c r="J793" s="5"/>
    </row>
    <row r="794" spans="1:10">
      <c r="A794" s="17"/>
      <c r="B794" s="5"/>
      <c r="C794" s="5"/>
      <c r="D794" s="5"/>
      <c r="E794" s="5"/>
      <c r="F794" s="5"/>
      <c r="G794" s="5"/>
      <c r="H794" s="5"/>
      <c r="I794" s="5"/>
      <c r="J794" s="5"/>
    </row>
    <row r="795" spans="1:10">
      <c r="A795" s="17"/>
      <c r="C795" s="5"/>
      <c r="D795" s="5"/>
      <c r="E795" s="5"/>
      <c r="F795" s="5"/>
      <c r="G795" s="5"/>
      <c r="H795" s="5"/>
      <c r="I795" s="5"/>
      <c r="J795" s="5"/>
    </row>
    <row r="796" spans="1:10">
      <c r="A796" s="17"/>
      <c r="C796" s="5"/>
      <c r="D796" s="5"/>
      <c r="E796" s="5"/>
      <c r="F796" s="5"/>
      <c r="G796" s="5"/>
      <c r="H796" s="5"/>
      <c r="I796" s="5"/>
      <c r="J796" s="5"/>
    </row>
    <row r="797" spans="1:10">
      <c r="A797" s="17"/>
      <c r="C797" s="5"/>
      <c r="D797" s="5"/>
      <c r="E797" s="5"/>
      <c r="F797" s="5"/>
      <c r="G797" s="5"/>
      <c r="H797" s="5"/>
      <c r="I797" s="5"/>
      <c r="J797" s="5"/>
    </row>
    <row r="798" spans="1:10">
      <c r="A798" s="17"/>
      <c r="C798" s="5"/>
      <c r="D798" s="5"/>
      <c r="E798" s="5"/>
      <c r="F798" s="5"/>
      <c r="G798" s="5"/>
      <c r="H798" s="5"/>
      <c r="I798" s="5"/>
      <c r="J798" s="5"/>
    </row>
    <row r="803" spans="1:10">
      <c r="A803" s="9"/>
    </row>
    <row r="804" spans="1:10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>
      <c r="A813" s="5"/>
      <c r="B813" s="5"/>
      <c r="C813" s="5"/>
      <c r="D813" s="5"/>
      <c r="E813" s="5"/>
      <c r="F813" s="5"/>
      <c r="G813" s="5"/>
      <c r="H813" s="5"/>
      <c r="I813" s="5"/>
    </row>
    <row r="814" spans="1:10">
      <c r="A814" s="5"/>
      <c r="B814" s="5"/>
      <c r="C814" s="5"/>
      <c r="D814" s="5"/>
      <c r="E814" s="5"/>
      <c r="F814" s="5"/>
      <c r="G814" s="5"/>
      <c r="H814" s="5"/>
      <c r="I814" s="5"/>
    </row>
    <row r="815" spans="1:10">
      <c r="A815" s="5"/>
      <c r="B815" s="5"/>
      <c r="C815" s="5"/>
      <c r="D815" s="5"/>
      <c r="E815" s="5"/>
      <c r="F815" s="5"/>
      <c r="G815" s="5"/>
      <c r="H815" s="5"/>
      <c r="I815" s="5"/>
    </row>
    <row r="816" spans="1:10">
      <c r="A816" s="5"/>
      <c r="B816" s="5"/>
      <c r="C816" s="5"/>
      <c r="D816" s="5"/>
      <c r="E816" s="5"/>
      <c r="F816" s="5"/>
      <c r="G816" s="5"/>
      <c r="H816" s="5"/>
      <c r="I816" s="5"/>
    </row>
    <row r="817" spans="1:10">
      <c r="A817" s="5"/>
      <c r="B817" s="5"/>
      <c r="C817" s="5"/>
      <c r="D817" s="5"/>
      <c r="E817" s="5"/>
      <c r="F817" s="5"/>
      <c r="G817" s="5"/>
      <c r="H817" s="5"/>
      <c r="I817" s="5"/>
    </row>
    <row r="818" spans="1:10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>
      <c r="A823" s="9"/>
    </row>
    <row r="824" spans="1:10">
      <c r="A824" s="9"/>
    </row>
    <row r="825" spans="1:10">
      <c r="A825" s="9"/>
    </row>
    <row r="826" spans="1:10">
      <c r="A826" s="9"/>
    </row>
    <row r="829" spans="1:10">
      <c r="A829" s="9"/>
    </row>
    <row r="830" spans="1:10">
      <c r="A830" s="9"/>
    </row>
    <row r="831" spans="1:10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>
      <c r="A832" s="9"/>
    </row>
    <row r="833" spans="1:10">
      <c r="A833" s="9"/>
    </row>
    <row r="834" spans="1:10">
      <c r="A834" s="9"/>
    </row>
    <row r="835" spans="1:10">
      <c r="A835" s="9"/>
    </row>
    <row r="836" spans="1:10">
      <c r="A836" s="17"/>
      <c r="B836" s="2"/>
    </row>
    <row r="840" spans="1:10">
      <c r="A840" s="9"/>
    </row>
    <row r="841" spans="1:10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>
      <c r="A848" s="5"/>
      <c r="B848" s="5"/>
      <c r="C848" s="5"/>
      <c r="D848" s="5"/>
      <c r="E848" s="5"/>
      <c r="F848" s="5"/>
      <c r="G848" s="5"/>
      <c r="H848" s="5"/>
      <c r="I848" s="5"/>
    </row>
    <row r="849" spans="1:10">
      <c r="A849" s="5"/>
      <c r="B849" s="5"/>
      <c r="C849" s="5"/>
      <c r="D849" s="5"/>
      <c r="E849" s="5"/>
      <c r="F849" s="5"/>
      <c r="G849" s="5"/>
      <c r="H849" s="5"/>
      <c r="I849" s="5"/>
    </row>
    <row r="850" spans="1:10">
      <c r="A850" s="5"/>
      <c r="B850" s="5"/>
      <c r="C850" s="5"/>
      <c r="D850" s="5"/>
      <c r="E850" s="5"/>
      <c r="F850" s="5"/>
      <c r="G850" s="5"/>
      <c r="H850" s="5"/>
      <c r="I850" s="5"/>
    </row>
    <row r="851" spans="1:10">
      <c r="A851" s="5"/>
      <c r="B851" s="5"/>
      <c r="C851" s="5"/>
      <c r="D851" s="5"/>
      <c r="E851" s="5"/>
      <c r="F851" s="5"/>
      <c r="G851" s="5"/>
      <c r="H851" s="5"/>
      <c r="I851" s="5"/>
    </row>
    <row r="852" spans="1:10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>
      <c r="A857" s="9"/>
    </row>
    <row r="858" spans="1:10">
      <c r="A858" s="9"/>
    </row>
    <row r="859" spans="1:10">
      <c r="A859" s="9"/>
    </row>
    <row r="860" spans="1:10">
      <c r="A860" s="9"/>
    </row>
    <row r="863" spans="1:10">
      <c r="A863" s="9"/>
    </row>
    <row r="864" spans="1:10">
      <c r="A864" s="9"/>
    </row>
    <row r="865" spans="1:10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>
      <c r="A866" s="9"/>
    </row>
    <row r="867" spans="1:10">
      <c r="A867" s="9"/>
    </row>
    <row r="868" spans="1:10">
      <c r="A868" s="9"/>
    </row>
    <row r="869" spans="1:10">
      <c r="A869" s="9"/>
    </row>
    <row r="870" spans="1:10">
      <c r="A870" s="17"/>
      <c r="B870" s="2"/>
    </row>
    <row r="876" spans="1:10">
      <c r="A876" s="9"/>
    </row>
    <row r="877" spans="1:10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>
      <c r="A886" s="5"/>
      <c r="B886" s="5"/>
      <c r="C886" s="5"/>
      <c r="D886" s="5"/>
      <c r="E886" s="5"/>
      <c r="F886" s="5"/>
      <c r="G886" s="5"/>
      <c r="H886" s="5"/>
      <c r="I886" s="5"/>
    </row>
    <row r="887" spans="1:10">
      <c r="A887" s="5"/>
      <c r="B887" s="5"/>
      <c r="C887" s="5"/>
      <c r="D887" s="5"/>
      <c r="E887" s="5"/>
      <c r="F887" s="5"/>
      <c r="G887" s="5"/>
      <c r="H887" s="5"/>
      <c r="I887" s="5"/>
    </row>
    <row r="888" spans="1:10">
      <c r="A888" s="5"/>
      <c r="B888" s="5"/>
      <c r="C888" s="5"/>
      <c r="D888" s="5"/>
      <c r="E888" s="5"/>
      <c r="F888" s="5"/>
      <c r="G888" s="5"/>
      <c r="H888" s="5"/>
      <c r="I888" s="5"/>
    </row>
    <row r="889" spans="1:10">
      <c r="A889" s="5"/>
      <c r="B889" s="5"/>
      <c r="C889" s="5"/>
      <c r="D889" s="5"/>
      <c r="E889" s="5"/>
      <c r="F889" s="5"/>
      <c r="G889" s="5"/>
      <c r="H889" s="5"/>
      <c r="I889" s="5"/>
    </row>
    <row r="890" spans="1:10">
      <c r="A890" s="5"/>
      <c r="B890" s="5"/>
      <c r="C890" s="5"/>
      <c r="D890" s="5"/>
      <c r="E890" s="5"/>
      <c r="F890" s="5"/>
      <c r="G890" s="5"/>
      <c r="H890" s="5"/>
      <c r="I890" s="5"/>
    </row>
    <row r="891" spans="1:10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>
      <c r="A896" s="9"/>
    </row>
    <row r="897" spans="1:25">
      <c r="A897" s="9"/>
    </row>
    <row r="898" spans="1:25">
      <c r="A898" s="9"/>
    </row>
    <row r="899" spans="1:25">
      <c r="A899" s="9"/>
    </row>
    <row r="902" spans="1:25" s="33" customFormat="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</row>
    <row r="903" spans="1:25" s="33" customFormat="1">
      <c r="A903" s="9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</row>
    <row r="904" spans="1:25" s="33" customFormat="1">
      <c r="A904" s="9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</row>
    <row r="905" spans="1:25" s="33" customForma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</row>
    <row r="906" spans="1:25" s="33" customFormat="1">
      <c r="A906" s="9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</row>
    <row r="907" spans="1:25">
      <c r="A907" s="9"/>
    </row>
    <row r="908" spans="1:25">
      <c r="A908" s="9"/>
    </row>
    <row r="909" spans="1:25">
      <c r="A909" s="9"/>
    </row>
    <row r="910" spans="1:25">
      <c r="A910" s="9"/>
    </row>
    <row r="911" spans="1:25">
      <c r="A911" s="9"/>
    </row>
    <row r="912" spans="1:25">
      <c r="A912" s="9"/>
    </row>
    <row r="913" spans="1:10">
      <c r="A913" s="9"/>
    </row>
    <row r="914" spans="1:10">
      <c r="A914" s="9"/>
    </row>
    <row r="915" spans="1:10">
      <c r="A915" s="9"/>
    </row>
    <row r="916" spans="1:10">
      <c r="A916" s="9"/>
    </row>
    <row r="917" spans="1:10">
      <c r="A917" s="9"/>
    </row>
    <row r="918" spans="1:10">
      <c r="A918" s="9"/>
    </row>
    <row r="919" spans="1:10">
      <c r="A919" s="9"/>
    </row>
    <row r="924" spans="1:10">
      <c r="A924" s="9"/>
    </row>
    <row r="925" spans="1:10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>
      <c r="A933" s="5"/>
      <c r="B933" s="5"/>
      <c r="C933" s="5"/>
      <c r="D933" s="5"/>
      <c r="E933" s="5"/>
      <c r="F933" s="5"/>
      <c r="G933" s="5"/>
      <c r="H933" s="5"/>
      <c r="I933" s="5"/>
    </row>
    <row r="934" spans="1:10">
      <c r="A934" s="5"/>
      <c r="B934" s="5"/>
      <c r="C934" s="5"/>
      <c r="D934" s="5"/>
      <c r="E934" s="5"/>
      <c r="F934" s="5"/>
      <c r="G934" s="5"/>
      <c r="H934" s="5"/>
      <c r="I934" s="5"/>
    </row>
    <row r="935" spans="1:10">
      <c r="A935" s="5"/>
      <c r="B935" s="5"/>
      <c r="C935" s="5"/>
      <c r="D935" s="5"/>
      <c r="E935" s="5"/>
      <c r="F935" s="5"/>
      <c r="G935" s="5"/>
      <c r="H935" s="5"/>
      <c r="I935" s="5"/>
    </row>
    <row r="936" spans="1:10">
      <c r="A936" s="5"/>
      <c r="B936" s="5"/>
      <c r="C936" s="5"/>
      <c r="D936" s="5"/>
      <c r="E936" s="5"/>
      <c r="F936" s="5"/>
      <c r="G936" s="5"/>
      <c r="H936" s="5"/>
      <c r="I936" s="5"/>
    </row>
    <row r="937" spans="1:10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>
      <c r="A941" s="9"/>
    </row>
    <row r="942" spans="1:10">
      <c r="A942" s="9"/>
    </row>
    <row r="943" spans="1:10">
      <c r="A943" s="9"/>
    </row>
    <row r="944" spans="1:10">
      <c r="A944" s="9"/>
    </row>
    <row r="947" spans="1:10">
      <c r="A947" s="9"/>
    </row>
    <row r="948" spans="1:10">
      <c r="A948" s="9"/>
    </row>
    <row r="949" spans="1:10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>
      <c r="A950" s="9"/>
    </row>
    <row r="951" spans="1:10">
      <c r="A951" s="9"/>
    </row>
    <row r="952" spans="1:10">
      <c r="A952" s="9"/>
    </row>
    <row r="953" spans="1:10">
      <c r="A953" s="9"/>
    </row>
    <row r="954" spans="1:10">
      <c r="A954" s="9"/>
    </row>
    <row r="955" spans="1:10">
      <c r="A955" s="17"/>
      <c r="B955" s="2"/>
    </row>
    <row r="960" spans="1:10">
      <c r="A960" s="9"/>
    </row>
    <row r="961" spans="1:10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>
      <c r="A970" s="5"/>
      <c r="B970" s="5"/>
      <c r="C970" s="5"/>
      <c r="D970" s="5"/>
      <c r="E970" s="5"/>
      <c r="F970" s="5"/>
      <c r="G970" s="5"/>
      <c r="H970" s="5"/>
      <c r="I970" s="5"/>
    </row>
    <row r="971" spans="1:10">
      <c r="A971" s="5"/>
      <c r="B971" s="5"/>
      <c r="C971" s="5"/>
      <c r="D971" s="5"/>
      <c r="E971" s="5"/>
      <c r="F971" s="5"/>
      <c r="G971" s="5"/>
      <c r="H971" s="5"/>
      <c r="I971" s="5"/>
    </row>
    <row r="972" spans="1:10">
      <c r="A972" s="5"/>
      <c r="B972" s="5"/>
      <c r="C972" s="5"/>
      <c r="D972" s="5"/>
      <c r="E972" s="5"/>
      <c r="F972" s="5"/>
      <c r="G972" s="5"/>
      <c r="H972" s="5"/>
      <c r="I972" s="5"/>
    </row>
    <row r="973" spans="1:10">
      <c r="A973" s="5"/>
      <c r="B973" s="5"/>
      <c r="C973" s="5"/>
      <c r="D973" s="5"/>
      <c r="E973" s="5"/>
      <c r="F973" s="5"/>
      <c r="G973" s="5"/>
      <c r="H973" s="5"/>
      <c r="I973" s="5"/>
    </row>
    <row r="974" spans="1:10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>
      <c r="A978" s="9"/>
    </row>
    <row r="979" spans="1:10">
      <c r="A979" s="9"/>
    </row>
    <row r="980" spans="1:10">
      <c r="A980" s="9"/>
    </row>
    <row r="981" spans="1:10">
      <c r="A981" s="9"/>
    </row>
    <row r="984" spans="1:10">
      <c r="A984" s="9"/>
    </row>
    <row r="985" spans="1:10">
      <c r="A985" s="9"/>
    </row>
    <row r="986" spans="1:10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>
      <c r="A987" s="9"/>
    </row>
    <row r="988" spans="1:10">
      <c r="A988" s="9"/>
    </row>
    <row r="989" spans="1:10">
      <c r="A989" s="9"/>
    </row>
    <row r="990" spans="1:10">
      <c r="A990" s="9"/>
    </row>
    <row r="991" spans="1:10">
      <c r="A991" s="17"/>
      <c r="B991" s="2"/>
    </row>
    <row r="996" spans="1:10">
      <c r="A996" s="9"/>
    </row>
    <row r="997" spans="1:10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  <row r="1003" spans="1:10">
      <c r="A1003" s="5"/>
      <c r="B1003" s="5"/>
      <c r="C1003" s="5"/>
      <c r="D1003" s="5"/>
      <c r="E1003" s="5"/>
      <c r="F1003" s="5"/>
      <c r="G1003" s="5"/>
      <c r="H1003" s="5"/>
      <c r="I1003" s="5"/>
      <c r="J1003" s="5"/>
    </row>
    <row r="1004" spans="1:10">
      <c r="A1004" s="5"/>
      <c r="B1004" s="5"/>
      <c r="C1004" s="5"/>
      <c r="D1004" s="5"/>
      <c r="E1004" s="5"/>
      <c r="F1004" s="5"/>
      <c r="G1004" s="5"/>
      <c r="H1004" s="5"/>
      <c r="I1004" s="5"/>
      <c r="J1004" s="5"/>
    </row>
    <row r="1005" spans="1:10">
      <c r="A1005" s="5"/>
      <c r="B1005" s="5"/>
      <c r="C1005" s="5"/>
      <c r="D1005" s="5"/>
      <c r="E1005" s="5"/>
      <c r="F1005" s="5"/>
      <c r="G1005" s="5"/>
      <c r="H1005" s="5"/>
      <c r="I1005" s="5"/>
      <c r="J1005" s="5"/>
    </row>
    <row r="1006" spans="1:10">
      <c r="A1006" s="5"/>
      <c r="B1006" s="5"/>
      <c r="C1006" s="5"/>
      <c r="D1006" s="5"/>
      <c r="E1006" s="5"/>
      <c r="F1006" s="5"/>
      <c r="G1006" s="5"/>
      <c r="H1006" s="5"/>
      <c r="I1006" s="5"/>
    </row>
    <row r="1007" spans="1:10">
      <c r="A1007" s="5"/>
      <c r="B1007" s="5"/>
      <c r="C1007" s="5"/>
      <c r="D1007" s="5"/>
      <c r="E1007" s="5"/>
      <c r="F1007" s="5"/>
      <c r="G1007" s="5"/>
      <c r="H1007" s="5"/>
      <c r="I1007" s="5"/>
    </row>
    <row r="1008" spans="1:10">
      <c r="A1008" s="5"/>
      <c r="B1008" s="5"/>
      <c r="C1008" s="5"/>
      <c r="D1008" s="5"/>
      <c r="E1008" s="5"/>
      <c r="F1008" s="5"/>
      <c r="G1008" s="5"/>
      <c r="H1008" s="5"/>
      <c r="I1008" s="5"/>
    </row>
    <row r="1009" spans="1:10">
      <c r="A1009" s="5"/>
      <c r="B1009" s="5"/>
      <c r="C1009" s="5"/>
      <c r="D1009" s="5"/>
      <c r="E1009" s="5"/>
      <c r="F1009" s="5"/>
      <c r="G1009" s="5"/>
      <c r="H1009" s="5"/>
      <c r="I1009" s="5"/>
    </row>
    <row r="1010" spans="1:10">
      <c r="A1010" s="5"/>
      <c r="B1010" s="5"/>
      <c r="C1010" s="5"/>
      <c r="D1010" s="5"/>
      <c r="E1010" s="5"/>
      <c r="F1010" s="5"/>
      <c r="G1010" s="5"/>
      <c r="H1010" s="5"/>
      <c r="I1010" s="5"/>
    </row>
    <row r="1011" spans="1:10">
      <c r="A1011" s="5"/>
      <c r="B1011" s="5"/>
      <c r="C1011" s="5"/>
      <c r="D1011" s="5"/>
      <c r="E1011" s="5"/>
      <c r="F1011" s="5"/>
      <c r="G1011" s="5"/>
      <c r="H1011" s="5"/>
      <c r="I1011" s="5"/>
      <c r="J1011" s="5"/>
    </row>
    <row r="1012" spans="1:10">
      <c r="A1012" s="5"/>
      <c r="B1012" s="5"/>
      <c r="C1012" s="5"/>
      <c r="D1012" s="5"/>
      <c r="E1012" s="5"/>
      <c r="F1012" s="5"/>
      <c r="G1012" s="5"/>
      <c r="H1012" s="5"/>
      <c r="I1012" s="5"/>
      <c r="J1012" s="5"/>
    </row>
    <row r="1013" spans="1:10">
      <c r="A1013" s="5"/>
      <c r="B1013" s="5"/>
      <c r="C1013" s="5"/>
      <c r="D1013" s="5"/>
      <c r="E1013" s="5"/>
      <c r="F1013" s="5"/>
      <c r="G1013" s="5"/>
      <c r="H1013" s="5"/>
      <c r="I1013" s="5"/>
      <c r="J1013" s="5"/>
    </row>
    <row r="1014" spans="1:10">
      <c r="A1014" s="5"/>
      <c r="B1014" s="5"/>
      <c r="C1014" s="5"/>
      <c r="D1014" s="5"/>
      <c r="E1014" s="5"/>
      <c r="F1014" s="5"/>
      <c r="G1014" s="5"/>
      <c r="H1014" s="5"/>
      <c r="I1014" s="5"/>
      <c r="J1014" s="5"/>
    </row>
    <row r="1015" spans="1:10">
      <c r="A1015" s="5"/>
      <c r="B1015" s="5"/>
      <c r="C1015" s="5"/>
      <c r="D1015" s="5"/>
      <c r="E1015" s="5"/>
      <c r="F1015" s="5"/>
      <c r="G1015" s="5"/>
      <c r="H1015" s="5"/>
      <c r="I1015" s="5"/>
      <c r="J1015" s="5"/>
    </row>
    <row r="1016" spans="1:10">
      <c r="A1016" s="9"/>
    </row>
    <row r="1017" spans="1:10">
      <c r="A1017" s="9"/>
    </row>
    <row r="1018" spans="1:10">
      <c r="A1018" s="9"/>
    </row>
    <row r="1019" spans="1:10">
      <c r="A1019" s="9"/>
    </row>
    <row r="1022" spans="1:10">
      <c r="A1022" s="9"/>
    </row>
    <row r="1023" spans="1:10">
      <c r="A1023" s="9"/>
    </row>
    <row r="1024" spans="1:10">
      <c r="A1024" s="5"/>
      <c r="B1024" s="5"/>
      <c r="C1024" s="5"/>
      <c r="D1024" s="5"/>
      <c r="E1024" s="5"/>
      <c r="F1024" s="5"/>
      <c r="G1024" s="5"/>
      <c r="H1024" s="5"/>
      <c r="I1024" s="5"/>
      <c r="J1024" s="5"/>
    </row>
    <row r="1025" spans="1:10">
      <c r="A1025" s="9"/>
    </row>
    <row r="1026" spans="1:10">
      <c r="A1026" s="9"/>
    </row>
    <row r="1027" spans="1:10">
      <c r="A1027" s="9"/>
    </row>
    <row r="1028" spans="1:10">
      <c r="A1028" s="9"/>
    </row>
    <row r="1029" spans="1:10">
      <c r="A1029" s="15"/>
      <c r="B1029" s="15"/>
      <c r="C1029" s="15"/>
    </row>
    <row r="1030" spans="1:10">
      <c r="A1030" s="15"/>
      <c r="B1030" s="15"/>
      <c r="C1030" s="15"/>
    </row>
    <row r="1031" spans="1:10">
      <c r="A1031" s="15"/>
      <c r="B1031" s="15"/>
      <c r="C1031" s="15"/>
    </row>
    <row r="1032" spans="1:10">
      <c r="A1032" s="5"/>
      <c r="B1032" s="5"/>
      <c r="C1032" s="5"/>
      <c r="D1032" s="5"/>
      <c r="E1032" s="5"/>
      <c r="F1032" s="5"/>
      <c r="G1032" s="5"/>
      <c r="H1032" s="5"/>
      <c r="I1032" s="5"/>
      <c r="J1032" s="5"/>
    </row>
    <row r="1033" spans="1:10">
      <c r="A1033" s="5"/>
      <c r="B1033" s="5"/>
      <c r="C1033" s="5"/>
      <c r="D1033" s="5"/>
      <c r="E1033" s="5"/>
      <c r="F1033" s="5"/>
      <c r="G1033" s="5"/>
      <c r="H1033" s="5"/>
      <c r="I1033" s="5"/>
      <c r="J1033" s="5"/>
    </row>
    <row r="1034" spans="1:10">
      <c r="A1034" s="5"/>
      <c r="B1034" s="5"/>
      <c r="C1034" s="5"/>
      <c r="D1034" s="5"/>
      <c r="E1034" s="5"/>
      <c r="F1034" s="5"/>
      <c r="G1034" s="5"/>
      <c r="H1034" s="5"/>
      <c r="I1034" s="5"/>
      <c r="J1034" s="5"/>
    </row>
    <row r="1035" spans="1:10">
      <c r="A1035" s="5"/>
      <c r="B1035" s="5"/>
      <c r="C1035" s="5"/>
      <c r="D1035" s="5"/>
      <c r="E1035" s="5"/>
      <c r="F1035" s="5"/>
      <c r="G1035" s="5"/>
      <c r="H1035" s="5"/>
      <c r="I1035" s="5"/>
      <c r="J1035" s="5"/>
    </row>
    <row r="1036" spans="1:10">
      <c r="A1036" s="5"/>
      <c r="B1036" s="5"/>
      <c r="C1036" s="5"/>
      <c r="D1036" s="5"/>
      <c r="E1036" s="5"/>
      <c r="F1036" s="5"/>
      <c r="G1036" s="5"/>
      <c r="H1036" s="5"/>
      <c r="I1036" s="5"/>
      <c r="J1036" s="5"/>
    </row>
    <row r="1037" spans="1:10">
      <c r="A1037" s="5"/>
      <c r="B1037" s="5"/>
      <c r="C1037" s="5"/>
      <c r="D1037" s="5"/>
      <c r="E1037" s="5"/>
      <c r="F1037" s="5"/>
      <c r="G1037" s="5"/>
      <c r="H1037" s="5"/>
      <c r="I1037" s="5"/>
      <c r="J1037" s="5"/>
    </row>
    <row r="1038" spans="1:10">
      <c r="A1038" s="5"/>
      <c r="B1038" s="5"/>
      <c r="C1038" s="5"/>
      <c r="D1038" s="5"/>
      <c r="E1038" s="5"/>
      <c r="F1038" s="5"/>
      <c r="G1038" s="5"/>
      <c r="H1038" s="5"/>
      <c r="I1038" s="5"/>
      <c r="J1038" s="5"/>
    </row>
    <row r="1039" spans="1:10">
      <c r="A1039" s="5"/>
      <c r="B1039" s="5"/>
      <c r="C1039" s="5"/>
      <c r="D1039" s="5"/>
      <c r="E1039" s="5"/>
      <c r="F1039" s="5"/>
      <c r="G1039" s="5"/>
      <c r="H1039" s="5"/>
      <c r="I1039" s="5"/>
      <c r="J1039" s="5"/>
    </row>
    <row r="1040" spans="1:10">
      <c r="A1040" s="5"/>
      <c r="B1040" s="5"/>
      <c r="C1040" s="5"/>
      <c r="D1040" s="5"/>
      <c r="E1040" s="5"/>
      <c r="F1040" s="5"/>
      <c r="G1040" s="5"/>
      <c r="H1040" s="5"/>
      <c r="I1040" s="5"/>
    </row>
    <row r="1041" spans="1:12">
      <c r="A1041" s="5"/>
      <c r="B1041" s="5"/>
      <c r="C1041" s="5"/>
      <c r="D1041" s="5"/>
      <c r="E1041" s="5"/>
      <c r="F1041" s="5"/>
      <c r="G1041" s="5"/>
      <c r="H1041" s="5"/>
      <c r="I1041" s="5"/>
    </row>
    <row r="1042" spans="1:12">
      <c r="A1042" s="5"/>
      <c r="B1042" s="5"/>
      <c r="C1042" s="5"/>
      <c r="D1042" s="5"/>
      <c r="E1042" s="5"/>
      <c r="F1042" s="5"/>
      <c r="G1042" s="5"/>
      <c r="H1042" s="5"/>
      <c r="I1042" s="5"/>
    </row>
    <row r="1043" spans="1:12">
      <c r="A1043" s="5"/>
      <c r="B1043" s="5"/>
      <c r="C1043" s="5"/>
      <c r="D1043" s="5"/>
      <c r="E1043" s="5"/>
      <c r="F1043" s="5"/>
      <c r="G1043" s="5"/>
      <c r="H1043" s="5"/>
      <c r="I1043" s="5"/>
    </row>
    <row r="1044" spans="1:12">
      <c r="A1044" s="5"/>
      <c r="B1044" s="5"/>
      <c r="C1044" s="5"/>
      <c r="D1044" s="5"/>
      <c r="E1044" s="5"/>
      <c r="F1044" s="5"/>
      <c r="G1044" s="5"/>
      <c r="H1044" s="5"/>
      <c r="I1044" s="5"/>
      <c r="J1044" s="5"/>
    </row>
    <row r="1045" spans="1:12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L1045" s="16"/>
    </row>
    <row r="1046" spans="1:12">
      <c r="A1046" s="5"/>
      <c r="B1046" s="5"/>
      <c r="C1046" s="5"/>
      <c r="D1046" s="5"/>
      <c r="E1046" s="5"/>
      <c r="F1046" s="5"/>
      <c r="G1046" s="5"/>
      <c r="H1046" s="5"/>
      <c r="I1046" s="5"/>
      <c r="J1046" s="5"/>
    </row>
    <row r="1047" spans="1:12">
      <c r="A1047" s="5"/>
      <c r="B1047" s="5"/>
      <c r="C1047" s="5"/>
      <c r="D1047" s="5"/>
      <c r="E1047" s="5"/>
      <c r="F1047" s="5"/>
      <c r="G1047" s="5"/>
      <c r="H1047" s="5"/>
      <c r="I1047" s="5"/>
      <c r="J1047" s="5"/>
    </row>
    <row r="1048" spans="1:12">
      <c r="A1048" s="17"/>
      <c r="B1048" s="2"/>
    </row>
    <row r="1049" spans="1:12">
      <c r="A1049" s="17"/>
      <c r="B1049" s="2"/>
      <c r="D1049" s="5"/>
      <c r="E1049" s="5"/>
      <c r="F1049" s="5"/>
      <c r="G1049" s="5"/>
      <c r="H1049" s="5"/>
      <c r="I1049" s="5"/>
      <c r="J1049" s="5"/>
    </row>
    <row r="1050" spans="1:12">
      <c r="A1050" s="17"/>
      <c r="B1050" s="2"/>
      <c r="D1050" s="5"/>
      <c r="E1050" s="5"/>
      <c r="F1050" s="5"/>
      <c r="G1050" s="5"/>
      <c r="H1050" s="5"/>
      <c r="I1050" s="5"/>
      <c r="J1050" s="5"/>
    </row>
    <row r="1051" spans="1:12">
      <c r="A1051" s="17"/>
      <c r="B1051" s="2"/>
      <c r="D1051" s="5"/>
      <c r="E1051" s="5"/>
      <c r="F1051" s="5"/>
      <c r="G1051" s="5"/>
      <c r="H1051" s="5"/>
      <c r="I1051" s="5"/>
      <c r="J1051" s="5"/>
    </row>
    <row r="1054" spans="1:12">
      <c r="A1054" s="38"/>
      <c r="B1054" s="2"/>
      <c r="D1054" s="5"/>
      <c r="E1054" s="5"/>
      <c r="F1054" s="5"/>
      <c r="G1054" s="5"/>
      <c r="H1054" s="5"/>
      <c r="I1054" s="5"/>
      <c r="J1054" s="5"/>
    </row>
    <row r="1055" spans="1:12">
      <c r="A1055" s="17"/>
      <c r="B1055" s="2"/>
      <c r="D1055" s="5"/>
      <c r="E1055" s="5"/>
      <c r="F1055" s="5"/>
      <c r="G1055" s="5"/>
      <c r="H1055" s="5"/>
      <c r="I1055" s="5"/>
      <c r="J1055" s="5"/>
    </row>
    <row r="1056" spans="1:12">
      <c r="A1056" s="17"/>
      <c r="B1056" s="2"/>
    </row>
    <row r="1057" spans="1:10">
      <c r="A1057" s="17"/>
      <c r="B1057" s="2"/>
    </row>
    <row r="1058" spans="1:10">
      <c r="A1058" s="17"/>
      <c r="B1058" s="2"/>
      <c r="D1058" s="5"/>
      <c r="E1058" s="5"/>
      <c r="F1058" s="5"/>
      <c r="G1058" s="5"/>
      <c r="H1058" s="5"/>
      <c r="I1058" s="5"/>
      <c r="J1058" s="5"/>
    </row>
    <row r="1059" spans="1:10">
      <c r="A1059" s="17"/>
      <c r="B1059" s="2"/>
    </row>
    <row r="1060" spans="1:10">
      <c r="A1060" s="32"/>
    </row>
    <row r="1064" spans="1:10">
      <c r="A1064" s="9"/>
    </row>
    <row r="1065" spans="1:10">
      <c r="A1065" s="5"/>
      <c r="B1065" s="5"/>
      <c r="C1065" s="5"/>
      <c r="D1065" s="5"/>
      <c r="E1065" s="5"/>
      <c r="F1065" s="5"/>
      <c r="G1065" s="5"/>
      <c r="H1065" s="5"/>
      <c r="I1065" s="5"/>
      <c r="J1065" s="5"/>
    </row>
    <row r="1066" spans="1:10">
      <c r="A1066" s="5"/>
      <c r="B1066" s="5"/>
      <c r="C1066" s="5"/>
      <c r="D1066" s="5"/>
      <c r="E1066" s="5"/>
      <c r="F1066" s="5"/>
      <c r="G1066" s="5"/>
      <c r="H1066" s="5"/>
      <c r="I1066" s="5"/>
      <c r="J1066" s="5"/>
    </row>
    <row r="1067" spans="1:10">
      <c r="A1067" s="5"/>
      <c r="B1067" s="5"/>
      <c r="C1067" s="5"/>
      <c r="D1067" s="5"/>
      <c r="E1067" s="5"/>
      <c r="F1067" s="5"/>
      <c r="G1067" s="5"/>
      <c r="H1067" s="5"/>
      <c r="I1067" s="5"/>
      <c r="J1067" s="5"/>
    </row>
    <row r="1068" spans="1:10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0">
      <c r="A1069" s="5"/>
      <c r="B1069" s="5"/>
      <c r="C1069" s="5"/>
      <c r="D1069" s="5"/>
      <c r="E1069" s="5"/>
      <c r="F1069" s="5"/>
      <c r="G1069" s="5"/>
      <c r="H1069" s="5"/>
      <c r="I1069" s="5"/>
      <c r="J1069" s="5"/>
    </row>
    <row r="1070" spans="1:10">
      <c r="A1070" s="5"/>
      <c r="B1070" s="5"/>
      <c r="C1070" s="5"/>
      <c r="D1070" s="5"/>
      <c r="E1070" s="5"/>
      <c r="F1070" s="5"/>
      <c r="G1070" s="5"/>
      <c r="H1070" s="5"/>
      <c r="I1070" s="5"/>
      <c r="J1070" s="5"/>
    </row>
    <row r="1071" spans="1:10">
      <c r="A1071" s="5"/>
      <c r="B1071" s="5"/>
      <c r="C1071" s="5"/>
      <c r="D1071" s="5"/>
      <c r="E1071" s="5"/>
      <c r="F1071" s="5"/>
      <c r="G1071" s="5"/>
      <c r="H1071" s="5"/>
      <c r="I1071" s="5"/>
      <c r="J1071" s="5"/>
    </row>
    <row r="1072" spans="1:10">
      <c r="A1072" s="5"/>
      <c r="B1072" s="5"/>
      <c r="C1072" s="5"/>
      <c r="D1072" s="5"/>
      <c r="E1072" s="5"/>
      <c r="F1072" s="5"/>
      <c r="G1072" s="5"/>
      <c r="H1072" s="5"/>
      <c r="I1072" s="5"/>
      <c r="J1072" s="5"/>
    </row>
    <row r="1073" spans="1:10">
      <c r="A1073" s="5"/>
      <c r="B1073" s="5"/>
      <c r="C1073" s="5"/>
      <c r="D1073" s="5"/>
      <c r="E1073" s="5"/>
      <c r="F1073" s="5"/>
      <c r="G1073" s="5"/>
      <c r="H1073" s="5"/>
      <c r="I1073" s="5"/>
    </row>
    <row r="1074" spans="1:10">
      <c r="A1074" s="5"/>
      <c r="B1074" s="5"/>
      <c r="C1074" s="5"/>
      <c r="D1074" s="5"/>
      <c r="E1074" s="5"/>
      <c r="F1074" s="5"/>
      <c r="G1074" s="5"/>
      <c r="H1074" s="5"/>
      <c r="I1074" s="5"/>
    </row>
    <row r="1075" spans="1:10">
      <c r="A1075" s="5"/>
      <c r="B1075" s="5"/>
      <c r="C1075" s="5"/>
      <c r="D1075" s="5"/>
      <c r="E1075" s="5"/>
      <c r="F1075" s="5"/>
      <c r="G1075" s="5"/>
      <c r="H1075" s="5"/>
      <c r="I1075" s="5"/>
    </row>
    <row r="1076" spans="1:10">
      <c r="A1076" s="5"/>
      <c r="B1076" s="5"/>
      <c r="C1076" s="5"/>
      <c r="D1076" s="5"/>
      <c r="E1076" s="5"/>
      <c r="F1076" s="5"/>
      <c r="G1076" s="5"/>
      <c r="H1076" s="5"/>
      <c r="I1076" s="5"/>
    </row>
    <row r="1077" spans="1:10">
      <c r="A1077" s="5"/>
      <c r="B1077" s="5"/>
      <c r="C1077" s="5"/>
      <c r="D1077" s="5"/>
      <c r="E1077" s="5"/>
      <c r="F1077" s="5"/>
      <c r="G1077" s="5"/>
      <c r="H1077" s="5"/>
      <c r="I1077" s="5"/>
      <c r="J1077" s="5"/>
    </row>
    <row r="1078" spans="1:10">
      <c r="A1078" s="5"/>
      <c r="B1078" s="5"/>
      <c r="C1078" s="5"/>
      <c r="D1078" s="5"/>
      <c r="E1078" s="5"/>
      <c r="F1078" s="5"/>
      <c r="G1078" s="5"/>
      <c r="H1078" s="5"/>
      <c r="I1078" s="5"/>
      <c r="J1078" s="5"/>
    </row>
    <row r="1079" spans="1:10">
      <c r="A1079" s="5"/>
      <c r="B1079" s="5"/>
      <c r="C1079" s="5"/>
      <c r="D1079" s="5"/>
      <c r="E1079" s="5"/>
      <c r="F1079" s="5"/>
      <c r="G1079" s="5"/>
      <c r="H1079" s="5"/>
      <c r="I1079" s="5"/>
      <c r="J1079" s="5"/>
    </row>
    <row r="1080" spans="1:10">
      <c r="A1080" s="5"/>
      <c r="B1080" s="5"/>
      <c r="C1080" s="5"/>
      <c r="D1080" s="5"/>
      <c r="E1080" s="5"/>
      <c r="F1080" s="5"/>
      <c r="G1080" s="5"/>
      <c r="H1080" s="5"/>
      <c r="I1080" s="5"/>
      <c r="J1080" s="5"/>
    </row>
    <row r="1081" spans="1:10">
      <c r="A1081" s="5"/>
      <c r="B1081" s="5"/>
      <c r="C1081" s="5"/>
      <c r="D1081" s="5"/>
      <c r="E1081" s="5"/>
      <c r="F1081" s="5"/>
      <c r="G1081" s="5"/>
      <c r="H1081" s="5"/>
      <c r="I1081" s="5"/>
      <c r="J1081" s="5"/>
    </row>
    <row r="1082" spans="1:10">
      <c r="A1082" s="9"/>
    </row>
    <row r="1083" spans="1:10">
      <c r="A1083" s="9"/>
    </row>
    <row r="1084" spans="1:10">
      <c r="A1084" s="9"/>
    </row>
    <row r="1085" spans="1:10">
      <c r="A1085" s="9"/>
    </row>
    <row r="1089" spans="1:10">
      <c r="A1089" s="9"/>
    </row>
    <row r="1090" spans="1:10">
      <c r="A1090" s="9"/>
    </row>
    <row r="1091" spans="1:10">
      <c r="A1091" s="5"/>
      <c r="B1091" s="5"/>
      <c r="C1091" s="5"/>
      <c r="D1091" s="5"/>
      <c r="E1091" s="5"/>
      <c r="F1091" s="5"/>
      <c r="G1091" s="5"/>
      <c r="H1091" s="5"/>
      <c r="I1091" s="5"/>
      <c r="J1091" s="5"/>
    </row>
    <row r="1092" spans="1:10">
      <c r="A1092" s="9"/>
    </row>
    <row r="1093" spans="1:10">
      <c r="A1093" s="9"/>
    </row>
    <row r="1094" spans="1:10">
      <c r="A1094" s="9"/>
    </row>
    <row r="1095" spans="1:10">
      <c r="A1095" s="9"/>
    </row>
    <row r="1096" spans="1:10">
      <c r="A1096" s="17"/>
      <c r="B1096" s="2"/>
    </row>
  </sheetData>
  <autoFilter ref="A5:J1377" xr:uid="{00000000-0009-0000-0000-00001E000000}">
    <sortState xmlns:xlrd2="http://schemas.microsoft.com/office/spreadsheetml/2017/richdata2" ref="A6:J1096">
      <sortCondition ref="A5:A1096"/>
    </sortState>
  </autoFilter>
  <conditionalFormatting sqref="A14:A3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0:A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9:A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75"/>
  <sheetViews>
    <sheetView zoomScale="90" zoomScaleNormal="90" zoomScalePageLayoutView="90" workbookViewId="0">
      <selection activeCell="C182" sqref="C182"/>
    </sheetView>
  </sheetViews>
  <sheetFormatPr defaultColWidth="11.44140625" defaultRowHeight="14.4"/>
  <cols>
    <col min="1" max="1" width="18" style="5" customWidth="1"/>
    <col min="2" max="2" width="28.5546875" style="5" customWidth="1"/>
    <col min="3" max="10" width="12.44140625" style="5" bestFit="1" customWidth="1"/>
    <col min="11" max="11" width="2.88671875" style="5" customWidth="1"/>
    <col min="12" max="15" width="11.44140625" style="5"/>
    <col min="16" max="16" width="12.109375" style="5" bestFit="1" customWidth="1"/>
    <col min="17" max="16384" width="11.44140625" style="5"/>
  </cols>
  <sheetData>
    <row r="1" spans="1:10">
      <c r="A1" t="s">
        <v>404</v>
      </c>
    </row>
    <row r="2" spans="1:10">
      <c r="A2" t="s">
        <v>403</v>
      </c>
    </row>
    <row r="3" spans="1:10">
      <c r="A3" t="s">
        <v>383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483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483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483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483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483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483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483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483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483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483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483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483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483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483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483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483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483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483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483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483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483</v>
      </c>
      <c r="B26" s="5" t="s">
        <v>493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483</v>
      </c>
      <c r="B27" s="5" t="s">
        <v>494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483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483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483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483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483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483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483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483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483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483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483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483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483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483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483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483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483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483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483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483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483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483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483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483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483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483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483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483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483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483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483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483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483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483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483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483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483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483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483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483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483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483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483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483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483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483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483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483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483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483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483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483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483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483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483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483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483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483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483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483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483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483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483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483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483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483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483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483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483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483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483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483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483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483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483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483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483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483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483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483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483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483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483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483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483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483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483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483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483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483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483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483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483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483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483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483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483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483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483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483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483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483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483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483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483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483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483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483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483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483</v>
      </c>
      <c r="B137" s="5" t="s">
        <v>300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483</v>
      </c>
      <c r="B138" s="5" t="s">
        <v>306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483</v>
      </c>
      <c r="B139" s="5" t="s">
        <v>301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483</v>
      </c>
      <c r="B140" s="5" t="s">
        <v>304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483</v>
      </c>
      <c r="B141" s="5" t="s">
        <v>303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483</v>
      </c>
      <c r="B142" s="5" t="s">
        <v>305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483</v>
      </c>
      <c r="B143" s="5" t="s">
        <v>302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483</v>
      </c>
      <c r="B144" s="2" t="s">
        <v>310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483</v>
      </c>
      <c r="B145" s="2" t="s">
        <v>311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483</v>
      </c>
      <c r="B146" s="2" t="s">
        <v>316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483</v>
      </c>
      <c r="B147" s="2" t="s">
        <v>495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483</v>
      </c>
      <c r="B148" s="2" t="s">
        <v>317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483</v>
      </c>
      <c r="B149" t="s">
        <v>327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483</v>
      </c>
      <c r="B150" s="2" t="s">
        <v>329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483</v>
      </c>
      <c r="B151" s="2" t="s">
        <v>330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483</v>
      </c>
      <c r="B152" s="2" t="s">
        <v>331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483</v>
      </c>
      <c r="B153" t="s">
        <v>332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483</v>
      </c>
      <c r="B154" t="s">
        <v>333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277</v>
      </c>
      <c r="B155" s="5" t="s">
        <v>98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280</v>
      </c>
      <c r="B156" s="5" t="s">
        <v>98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483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458</v>
      </c>
      <c r="P157" s="5" t="s">
        <v>469</v>
      </c>
    </row>
    <row r="158" spans="1:16">
      <c r="A158" s="5" t="s">
        <v>483</v>
      </c>
      <c r="B158" s="5" t="s">
        <v>451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483</v>
      </c>
      <c r="B159" s="5" t="s">
        <v>450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483</v>
      </c>
      <c r="B160" s="5" t="s">
        <v>436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470</v>
      </c>
    </row>
    <row r="161" spans="1:14">
      <c r="A161" s="5" t="s">
        <v>483</v>
      </c>
      <c r="B161" s="5" t="s">
        <v>104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470</v>
      </c>
    </row>
    <row r="162" spans="1:14">
      <c r="A162" s="5" t="s">
        <v>483</v>
      </c>
      <c r="B162" s="5" t="s">
        <v>105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470</v>
      </c>
    </row>
    <row r="163" spans="1:14">
      <c r="A163" s="5" t="s">
        <v>483</v>
      </c>
      <c r="B163" s="5" t="s">
        <v>442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470</v>
      </c>
    </row>
    <row r="164" spans="1:14">
      <c r="A164" s="5" t="s">
        <v>483</v>
      </c>
      <c r="B164" s="5" t="s">
        <v>440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470</v>
      </c>
    </row>
    <row r="165" spans="1:14">
      <c r="A165" s="5" t="s">
        <v>483</v>
      </c>
      <c r="B165" s="5" t="s">
        <v>444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470</v>
      </c>
    </row>
    <row r="166" spans="1:14">
      <c r="A166" s="5" t="s">
        <v>483</v>
      </c>
      <c r="B166" s="5" t="s">
        <v>437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470</v>
      </c>
    </row>
    <row r="167" spans="1:14">
      <c r="A167" s="5" t="s">
        <v>483</v>
      </c>
      <c r="B167" s="5" t="s">
        <v>438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470</v>
      </c>
    </row>
    <row r="168" spans="1:14">
      <c r="A168" s="5" t="s">
        <v>483</v>
      </c>
      <c r="B168" s="5" t="s">
        <v>439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470</v>
      </c>
    </row>
    <row r="169" spans="1:14">
      <c r="A169" s="5" t="s">
        <v>483</v>
      </c>
      <c r="B169" s="5" t="s">
        <v>443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470</v>
      </c>
    </row>
    <row r="170" spans="1:14">
      <c r="A170" s="5" t="s">
        <v>483</v>
      </c>
      <c r="B170" s="5" t="s">
        <v>441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470</v>
      </c>
    </row>
    <row r="171" spans="1:14">
      <c r="A171" s="5" t="s">
        <v>483</v>
      </c>
      <c r="B171" s="5" t="s">
        <v>445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483</v>
      </c>
      <c r="B172" s="5" t="s">
        <v>447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483</v>
      </c>
      <c r="B173" s="5" t="s">
        <v>448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483</v>
      </c>
      <c r="B174" s="5" t="s">
        <v>446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471</v>
      </c>
    </row>
    <row r="175" spans="1:14">
      <c r="A175" s="5" t="s">
        <v>483</v>
      </c>
      <c r="B175" s="5" t="s">
        <v>460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</sheetData>
  <autoFilter ref="A5:P175" xr:uid="{00000000-0001-0000-1F00-000000000000}"/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4140625" defaultRowHeight="14.4"/>
  <cols>
    <col min="1" max="1" width="24" customWidth="1"/>
    <col min="2" max="2" width="40.5546875" customWidth="1"/>
    <col min="3" max="3" width="10.109375" bestFit="1" customWidth="1"/>
    <col min="11" max="11" width="11.44140625" customWidth="1"/>
    <col min="12" max="12" width="3.44140625" customWidth="1"/>
  </cols>
  <sheetData>
    <row r="1" spans="1:11">
      <c r="A1" t="s">
        <v>405</v>
      </c>
    </row>
    <row r="2" spans="1:11">
      <c r="A2" t="s">
        <v>6</v>
      </c>
    </row>
    <row r="3" spans="1:11">
      <c r="A3" t="s">
        <v>383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workbookViewId="0">
      <selection activeCell="I208" sqref="I208"/>
    </sheetView>
  </sheetViews>
  <sheetFormatPr defaultColWidth="11.44140625" defaultRowHeight="14.4"/>
  <cols>
    <col min="2" max="2" width="25.44140625" customWidth="1"/>
  </cols>
  <sheetData>
    <row r="1" spans="1:3">
      <c r="A1" t="s">
        <v>407</v>
      </c>
    </row>
    <row r="2" spans="1:3">
      <c r="A2" t="s">
        <v>11</v>
      </c>
    </row>
    <row r="3" spans="1:3">
      <c r="A3" t="s">
        <v>406</v>
      </c>
    </row>
    <row r="5" spans="1:3">
      <c r="A5" t="s">
        <v>483</v>
      </c>
      <c r="B5" t="s">
        <v>170</v>
      </c>
      <c r="C5">
        <v>101</v>
      </c>
    </row>
    <row r="6" spans="1:3">
      <c r="A6" t="s">
        <v>483</v>
      </c>
      <c r="B6" t="s">
        <v>171</v>
      </c>
      <c r="C6">
        <v>101</v>
      </c>
    </row>
    <row r="7" spans="1:3">
      <c r="A7" t="s">
        <v>483</v>
      </c>
      <c r="B7" t="s">
        <v>135</v>
      </c>
      <c r="C7">
        <v>11</v>
      </c>
    </row>
    <row r="8" spans="1:3">
      <c r="A8" t="s">
        <v>483</v>
      </c>
      <c r="B8" t="s">
        <v>136</v>
      </c>
      <c r="C8">
        <v>20</v>
      </c>
    </row>
    <row r="9" spans="1:3">
      <c r="A9" t="s">
        <v>483</v>
      </c>
      <c r="B9" t="s">
        <v>147</v>
      </c>
      <c r="C9">
        <v>40</v>
      </c>
    </row>
    <row r="10" spans="1:3">
      <c r="A10" t="s">
        <v>483</v>
      </c>
      <c r="B10" t="s">
        <v>148</v>
      </c>
      <c r="C10">
        <v>40</v>
      </c>
    </row>
    <row r="11" spans="1:3">
      <c r="A11" t="s">
        <v>483</v>
      </c>
      <c r="B11" t="s">
        <v>245</v>
      </c>
      <c r="C11">
        <v>30</v>
      </c>
    </row>
    <row r="12" spans="1:3">
      <c r="A12" t="s">
        <v>483</v>
      </c>
      <c r="B12" t="s">
        <v>247</v>
      </c>
      <c r="C12">
        <v>30</v>
      </c>
    </row>
    <row r="13" spans="1:3">
      <c r="A13" t="s">
        <v>483</v>
      </c>
      <c r="B13" t="s">
        <v>134</v>
      </c>
      <c r="C13">
        <v>40</v>
      </c>
    </row>
    <row r="14" spans="1:3">
      <c r="A14" t="s">
        <v>483</v>
      </c>
      <c r="B14" t="s">
        <v>137</v>
      </c>
      <c r="C14">
        <v>40</v>
      </c>
    </row>
    <row r="15" spans="1:3">
      <c r="A15" t="s">
        <v>483</v>
      </c>
      <c r="B15" t="s">
        <v>191</v>
      </c>
      <c r="C15">
        <v>30</v>
      </c>
    </row>
    <row r="16" spans="1:3">
      <c r="A16" t="s">
        <v>483</v>
      </c>
      <c r="B16" s="2" t="s">
        <v>130</v>
      </c>
      <c r="C16">
        <v>26</v>
      </c>
    </row>
    <row r="17" spans="1:3">
      <c r="A17" t="s">
        <v>483</v>
      </c>
      <c r="B17" s="2" t="s">
        <v>131</v>
      </c>
      <c r="C17">
        <v>31</v>
      </c>
    </row>
    <row r="18" spans="1:3">
      <c r="A18" t="s">
        <v>483</v>
      </c>
      <c r="B18" s="2" t="s">
        <v>125</v>
      </c>
      <c r="C18">
        <v>21</v>
      </c>
    </row>
    <row r="19" spans="1:3">
      <c r="A19" t="s">
        <v>483</v>
      </c>
      <c r="B19" s="2" t="s">
        <v>57</v>
      </c>
      <c r="C19">
        <v>21</v>
      </c>
    </row>
    <row r="20" spans="1:3">
      <c r="A20" t="s">
        <v>483</v>
      </c>
      <c r="B20" s="2" t="s">
        <v>126</v>
      </c>
      <c r="C20">
        <v>21</v>
      </c>
    </row>
    <row r="21" spans="1:3">
      <c r="A21" t="s">
        <v>483</v>
      </c>
      <c r="B21" s="2" t="s">
        <v>127</v>
      </c>
      <c r="C21">
        <v>26</v>
      </c>
    </row>
    <row r="22" spans="1:3">
      <c r="A22" t="s">
        <v>483</v>
      </c>
      <c r="B22" s="2" t="s">
        <v>183</v>
      </c>
      <c r="C22">
        <v>21</v>
      </c>
    </row>
    <row r="23" spans="1:3">
      <c r="A23" t="s">
        <v>483</v>
      </c>
      <c r="B23" s="2" t="s">
        <v>188</v>
      </c>
      <c r="C23">
        <v>26</v>
      </c>
    </row>
    <row r="24" spans="1:3">
      <c r="A24" t="s">
        <v>483</v>
      </c>
      <c r="B24" s="2" t="s">
        <v>176</v>
      </c>
      <c r="C24">
        <v>26</v>
      </c>
    </row>
    <row r="25" spans="1:3">
      <c r="A25" t="s">
        <v>483</v>
      </c>
      <c r="B25" s="2" t="s">
        <v>493</v>
      </c>
      <c r="C25">
        <v>31</v>
      </c>
    </row>
    <row r="26" spans="1:3">
      <c r="A26" t="s">
        <v>483</v>
      </c>
      <c r="B26" s="2" t="s">
        <v>494</v>
      </c>
      <c r="C26">
        <v>31</v>
      </c>
    </row>
    <row r="27" spans="1:3">
      <c r="A27" t="s">
        <v>483</v>
      </c>
      <c r="B27" t="s">
        <v>158</v>
      </c>
      <c r="C27">
        <v>31</v>
      </c>
    </row>
    <row r="28" spans="1:3">
      <c r="A28" t="s">
        <v>483</v>
      </c>
      <c r="B28" t="s">
        <v>103</v>
      </c>
      <c r="C28">
        <v>51</v>
      </c>
    </row>
    <row r="29" spans="1:3">
      <c r="A29" t="s">
        <v>483</v>
      </c>
      <c r="B29" t="s">
        <v>102</v>
      </c>
      <c r="C29">
        <v>31</v>
      </c>
    </row>
    <row r="30" spans="1:3">
      <c r="A30" t="s">
        <v>483</v>
      </c>
      <c r="B30" t="s">
        <v>22</v>
      </c>
      <c r="C30">
        <v>31</v>
      </c>
    </row>
    <row r="31" spans="1:3">
      <c r="A31" t="s">
        <v>483</v>
      </c>
      <c r="B31" t="s">
        <v>23</v>
      </c>
      <c r="C31">
        <v>41</v>
      </c>
    </row>
    <row r="32" spans="1:3">
      <c r="A32" t="s">
        <v>483</v>
      </c>
      <c r="B32" t="s">
        <v>56</v>
      </c>
      <c r="C32">
        <v>31</v>
      </c>
    </row>
    <row r="33" spans="1:3">
      <c r="A33" t="s">
        <v>483</v>
      </c>
      <c r="B33" s="2" t="s">
        <v>132</v>
      </c>
      <c r="C33">
        <v>16</v>
      </c>
    </row>
    <row r="34" spans="1:3">
      <c r="A34" t="s">
        <v>483</v>
      </c>
      <c r="B34" s="2" t="s">
        <v>58</v>
      </c>
      <c r="C34">
        <v>16</v>
      </c>
    </row>
    <row r="35" spans="1:3">
      <c r="A35" t="s">
        <v>483</v>
      </c>
      <c r="B35" s="2" t="s">
        <v>133</v>
      </c>
      <c r="C35">
        <v>16</v>
      </c>
    </row>
    <row r="36" spans="1:3">
      <c r="A36" t="s">
        <v>483</v>
      </c>
      <c r="B36" s="2" t="s">
        <v>128</v>
      </c>
      <c r="C36">
        <v>26</v>
      </c>
    </row>
    <row r="37" spans="1:3">
      <c r="A37" t="s">
        <v>483</v>
      </c>
      <c r="B37" s="2" t="s">
        <v>129</v>
      </c>
      <c r="C37">
        <v>31</v>
      </c>
    </row>
    <row r="38" spans="1:3">
      <c r="A38" t="s">
        <v>483</v>
      </c>
      <c r="B38" s="2" t="s">
        <v>60</v>
      </c>
      <c r="C38">
        <v>16</v>
      </c>
    </row>
    <row r="39" spans="1:3">
      <c r="A39" t="s">
        <v>483</v>
      </c>
      <c r="B39" s="2" t="s">
        <v>123</v>
      </c>
      <c r="C39">
        <v>21</v>
      </c>
    </row>
    <row r="40" spans="1:3">
      <c r="A40" t="s">
        <v>483</v>
      </c>
      <c r="B40" s="2" t="s">
        <v>59</v>
      </c>
      <c r="C40">
        <v>21</v>
      </c>
    </row>
    <row r="41" spans="1:3">
      <c r="A41" t="s">
        <v>483</v>
      </c>
      <c r="B41" s="2" t="s">
        <v>124</v>
      </c>
      <c r="C41">
        <v>21</v>
      </c>
    </row>
    <row r="42" spans="1:3">
      <c r="A42" t="s">
        <v>483</v>
      </c>
      <c r="B42" s="2" t="s">
        <v>189</v>
      </c>
      <c r="C42">
        <v>21</v>
      </c>
    </row>
    <row r="43" spans="1:3">
      <c r="A43" t="s">
        <v>483</v>
      </c>
      <c r="B43" s="2" t="s">
        <v>187</v>
      </c>
      <c r="C43">
        <v>21</v>
      </c>
    </row>
    <row r="44" spans="1:3">
      <c r="A44" t="s">
        <v>483</v>
      </c>
      <c r="B44" t="s">
        <v>86</v>
      </c>
      <c r="C44">
        <v>31</v>
      </c>
    </row>
    <row r="45" spans="1:3">
      <c r="A45" t="s">
        <v>483</v>
      </c>
      <c r="B45" t="s">
        <v>85</v>
      </c>
      <c r="C45">
        <v>31</v>
      </c>
    </row>
    <row r="46" spans="1:3">
      <c r="A46" t="s">
        <v>483</v>
      </c>
      <c r="B46" t="s">
        <v>84</v>
      </c>
      <c r="C46">
        <v>31</v>
      </c>
    </row>
    <row r="47" spans="1:3">
      <c r="A47" t="s">
        <v>483</v>
      </c>
      <c r="B47" t="s">
        <v>87</v>
      </c>
      <c r="C47">
        <v>31</v>
      </c>
    </row>
    <row r="48" spans="1:3">
      <c r="A48" t="s">
        <v>483</v>
      </c>
      <c r="B48" t="s">
        <v>88</v>
      </c>
      <c r="C48">
        <v>31</v>
      </c>
    </row>
    <row r="49" spans="1:3">
      <c r="A49" t="s">
        <v>483</v>
      </c>
      <c r="B49" t="s">
        <v>153</v>
      </c>
      <c r="C49">
        <v>101</v>
      </c>
    </row>
    <row r="50" spans="1:3">
      <c r="A50" t="s">
        <v>483</v>
      </c>
      <c r="B50" t="s">
        <v>96</v>
      </c>
      <c r="C50">
        <v>31</v>
      </c>
    </row>
    <row r="51" spans="1:3">
      <c r="A51" t="s">
        <v>483</v>
      </c>
      <c r="B51" t="s">
        <v>101</v>
      </c>
      <c r="C51">
        <v>41</v>
      </c>
    </row>
    <row r="52" spans="1:3">
      <c r="A52" t="s">
        <v>483</v>
      </c>
      <c r="B52" t="s">
        <v>98</v>
      </c>
      <c r="C52">
        <v>81</v>
      </c>
    </row>
    <row r="53" spans="1:3">
      <c r="A53" t="s">
        <v>483</v>
      </c>
      <c r="B53" t="s">
        <v>99</v>
      </c>
      <c r="C53">
        <v>81</v>
      </c>
    </row>
    <row r="54" spans="1:3">
      <c r="A54" t="s">
        <v>483</v>
      </c>
      <c r="B54" t="s">
        <v>100</v>
      </c>
      <c r="C54">
        <v>21</v>
      </c>
    </row>
    <row r="55" spans="1:3">
      <c r="A55" t="s">
        <v>483</v>
      </c>
      <c r="B55" t="s">
        <v>172</v>
      </c>
      <c r="C55">
        <v>21</v>
      </c>
    </row>
    <row r="56" spans="1:3">
      <c r="A56" t="s">
        <v>483</v>
      </c>
      <c r="B56" t="s">
        <v>173</v>
      </c>
      <c r="C56">
        <v>21</v>
      </c>
    </row>
    <row r="57" spans="1:3">
      <c r="A57" t="s">
        <v>483</v>
      </c>
      <c r="B57" t="s">
        <v>90</v>
      </c>
      <c r="C57">
        <v>21</v>
      </c>
    </row>
    <row r="58" spans="1:3">
      <c r="A58" t="s">
        <v>483</v>
      </c>
      <c r="B58" t="s">
        <v>89</v>
      </c>
      <c r="C58">
        <v>21</v>
      </c>
    </row>
    <row r="59" spans="1:3">
      <c r="A59" t="s">
        <v>483</v>
      </c>
      <c r="B59" t="s">
        <v>91</v>
      </c>
      <c r="C59">
        <v>21</v>
      </c>
    </row>
    <row r="60" spans="1:3">
      <c r="A60" t="s">
        <v>483</v>
      </c>
      <c r="B60" t="s">
        <v>165</v>
      </c>
      <c r="C60">
        <v>21</v>
      </c>
    </row>
    <row r="61" spans="1:3">
      <c r="A61" t="s">
        <v>483</v>
      </c>
      <c r="B61" t="s">
        <v>166</v>
      </c>
      <c r="C61">
        <v>21</v>
      </c>
    </row>
    <row r="62" spans="1:3">
      <c r="A62" t="s">
        <v>483</v>
      </c>
      <c r="B62" t="s">
        <v>167</v>
      </c>
      <c r="C62">
        <v>21</v>
      </c>
    </row>
    <row r="63" spans="1:3">
      <c r="A63" t="s">
        <v>483</v>
      </c>
      <c r="B63" t="s">
        <v>93</v>
      </c>
      <c r="C63">
        <v>21</v>
      </c>
    </row>
    <row r="64" spans="1:3">
      <c r="A64" t="s">
        <v>483</v>
      </c>
      <c r="B64" t="s">
        <v>92</v>
      </c>
      <c r="C64">
        <v>21</v>
      </c>
    </row>
    <row r="65" spans="1:3">
      <c r="A65" t="s">
        <v>483</v>
      </c>
      <c r="B65" t="s">
        <v>94</v>
      </c>
      <c r="C65">
        <v>21</v>
      </c>
    </row>
    <row r="66" spans="1:3">
      <c r="A66" t="s">
        <v>483</v>
      </c>
      <c r="B66" t="s">
        <v>121</v>
      </c>
      <c r="C66">
        <v>31</v>
      </c>
    </row>
    <row r="67" spans="1:3">
      <c r="A67" t="s">
        <v>483</v>
      </c>
      <c r="B67" t="s">
        <v>122</v>
      </c>
      <c r="C67">
        <v>31</v>
      </c>
    </row>
    <row r="68" spans="1:3">
      <c r="A68" t="s">
        <v>483</v>
      </c>
      <c r="B68" t="s">
        <v>157</v>
      </c>
      <c r="C68">
        <v>31</v>
      </c>
    </row>
    <row r="69" spans="1:3">
      <c r="A69" t="s">
        <v>483</v>
      </c>
      <c r="B69" t="s">
        <v>195</v>
      </c>
      <c r="C69">
        <v>101</v>
      </c>
    </row>
    <row r="70" spans="1:3">
      <c r="A70" t="s">
        <v>483</v>
      </c>
      <c r="B70" t="s">
        <v>193</v>
      </c>
      <c r="C70">
        <v>31</v>
      </c>
    </row>
    <row r="71" spans="1:3">
      <c r="A71" t="s">
        <v>483</v>
      </c>
      <c r="B71" t="s">
        <v>194</v>
      </c>
      <c r="C71">
        <v>31</v>
      </c>
    </row>
    <row r="72" spans="1:3">
      <c r="A72" t="s">
        <v>483</v>
      </c>
      <c r="B72" t="s">
        <v>219</v>
      </c>
      <c r="C72">
        <v>26</v>
      </c>
    </row>
    <row r="73" spans="1:3">
      <c r="A73" t="s">
        <v>483</v>
      </c>
      <c r="B73" t="s">
        <v>206</v>
      </c>
      <c r="C73">
        <v>26</v>
      </c>
    </row>
    <row r="74" spans="1:3">
      <c r="A74" t="s">
        <v>483</v>
      </c>
      <c r="B74" t="s">
        <v>201</v>
      </c>
      <c r="C74">
        <v>26</v>
      </c>
    </row>
    <row r="75" spans="1:3">
      <c r="A75" t="s">
        <v>483</v>
      </c>
      <c r="B75" t="s">
        <v>205</v>
      </c>
      <c r="C75">
        <v>26</v>
      </c>
    </row>
    <row r="76" spans="1:3">
      <c r="A76" t="s">
        <v>483</v>
      </c>
      <c r="B76" t="s">
        <v>202</v>
      </c>
      <c r="C76">
        <v>26</v>
      </c>
    </row>
    <row r="77" spans="1:3">
      <c r="A77" t="s">
        <v>483</v>
      </c>
      <c r="B77" t="s">
        <v>203</v>
      </c>
      <c r="C77">
        <v>26</v>
      </c>
    </row>
    <row r="78" spans="1:3">
      <c r="A78" t="s">
        <v>483</v>
      </c>
      <c r="B78" t="s">
        <v>204</v>
      </c>
      <c r="C78">
        <v>26</v>
      </c>
    </row>
    <row r="79" spans="1:3">
      <c r="A79" t="s">
        <v>483</v>
      </c>
      <c r="B79" t="s">
        <v>227</v>
      </c>
      <c r="C79">
        <v>26</v>
      </c>
    </row>
    <row r="80" spans="1:3">
      <c r="A80" t="s">
        <v>483</v>
      </c>
      <c r="B80" t="s">
        <v>228</v>
      </c>
      <c r="C80">
        <v>26</v>
      </c>
    </row>
    <row r="81" spans="1:3">
      <c r="A81" t="s">
        <v>483</v>
      </c>
      <c r="B81" t="s">
        <v>229</v>
      </c>
      <c r="C81">
        <v>26</v>
      </c>
    </row>
    <row r="82" spans="1:3">
      <c r="A82" t="s">
        <v>483</v>
      </c>
      <c r="B82" t="s">
        <v>230</v>
      </c>
      <c r="C82">
        <v>21</v>
      </c>
    </row>
    <row r="83" spans="1:3">
      <c r="A83" t="s">
        <v>483</v>
      </c>
      <c r="B83" t="s">
        <v>231</v>
      </c>
      <c r="C83">
        <v>21</v>
      </c>
    </row>
    <row r="84" spans="1:3">
      <c r="A84" t="s">
        <v>483</v>
      </c>
      <c r="B84" t="s">
        <v>210</v>
      </c>
      <c r="C84">
        <v>41</v>
      </c>
    </row>
    <row r="85" spans="1:3">
      <c r="A85" t="s">
        <v>483</v>
      </c>
      <c r="B85" t="s">
        <v>220</v>
      </c>
      <c r="C85">
        <v>26</v>
      </c>
    </row>
    <row r="86" spans="1:3">
      <c r="A86" t="s">
        <v>483</v>
      </c>
      <c r="B86" t="s">
        <v>221</v>
      </c>
      <c r="C86">
        <v>26</v>
      </c>
    </row>
    <row r="87" spans="1:3">
      <c r="A87" t="s">
        <v>483</v>
      </c>
      <c r="B87" t="s">
        <v>211</v>
      </c>
      <c r="C87">
        <v>26</v>
      </c>
    </row>
    <row r="88" spans="1:3">
      <c r="A88" t="s">
        <v>483</v>
      </c>
      <c r="B88" t="s">
        <v>212</v>
      </c>
      <c r="C88">
        <v>26</v>
      </c>
    </row>
    <row r="89" spans="1:3">
      <c r="A89" t="s">
        <v>483</v>
      </c>
      <c r="B89" t="s">
        <v>213</v>
      </c>
      <c r="C89">
        <v>26</v>
      </c>
    </row>
    <row r="90" spans="1:3">
      <c r="A90" t="s">
        <v>483</v>
      </c>
      <c r="B90" t="s">
        <v>214</v>
      </c>
      <c r="C90">
        <v>26</v>
      </c>
    </row>
    <row r="91" spans="1:3">
      <c r="A91" t="s">
        <v>483</v>
      </c>
      <c r="B91" t="s">
        <v>215</v>
      </c>
      <c r="C91">
        <v>26</v>
      </c>
    </row>
    <row r="92" spans="1:3">
      <c r="A92" t="s">
        <v>483</v>
      </c>
      <c r="B92" t="s">
        <v>216</v>
      </c>
      <c r="C92">
        <v>26</v>
      </c>
    </row>
    <row r="93" spans="1:3">
      <c r="A93" t="s">
        <v>483</v>
      </c>
      <c r="B93" t="s">
        <v>244</v>
      </c>
      <c r="C93">
        <v>26</v>
      </c>
    </row>
    <row r="94" spans="1:3">
      <c r="A94" t="s">
        <v>483</v>
      </c>
      <c r="B94" t="s">
        <v>233</v>
      </c>
      <c r="C94">
        <v>21</v>
      </c>
    </row>
    <row r="95" spans="1:3">
      <c r="A95" t="s">
        <v>483</v>
      </c>
      <c r="B95" t="s">
        <v>234</v>
      </c>
      <c r="C95">
        <v>31</v>
      </c>
    </row>
    <row r="96" spans="1:3">
      <c r="A96" t="s">
        <v>483</v>
      </c>
      <c r="B96" t="s">
        <v>217</v>
      </c>
      <c r="C96">
        <v>41</v>
      </c>
    </row>
    <row r="97" spans="1:3">
      <c r="A97" t="s">
        <v>483</v>
      </c>
      <c r="B97" t="s">
        <v>222</v>
      </c>
      <c r="C97">
        <v>21</v>
      </c>
    </row>
    <row r="98" spans="1:3">
      <c r="A98" t="s">
        <v>483</v>
      </c>
      <c r="B98" t="s">
        <v>218</v>
      </c>
      <c r="C98">
        <v>31</v>
      </c>
    </row>
    <row r="99" spans="1:3">
      <c r="A99" t="s">
        <v>483</v>
      </c>
      <c r="B99" t="s">
        <v>232</v>
      </c>
      <c r="C99">
        <v>26</v>
      </c>
    </row>
    <row r="100" spans="1:3">
      <c r="A100" t="s">
        <v>483</v>
      </c>
      <c r="B100" s="15" t="s">
        <v>225</v>
      </c>
      <c r="C100">
        <v>31</v>
      </c>
    </row>
    <row r="101" spans="1:3">
      <c r="A101" t="s">
        <v>483</v>
      </c>
      <c r="B101" s="15" t="s">
        <v>236</v>
      </c>
      <c r="C101">
        <v>31</v>
      </c>
    </row>
    <row r="102" spans="1:3">
      <c r="A102" t="s">
        <v>483</v>
      </c>
      <c r="B102" s="15" t="s">
        <v>223</v>
      </c>
      <c r="C102">
        <v>31</v>
      </c>
    </row>
    <row r="103" spans="1:3">
      <c r="A103" t="s">
        <v>483</v>
      </c>
      <c r="B103" s="15" t="s">
        <v>224</v>
      </c>
      <c r="C103">
        <v>31</v>
      </c>
    </row>
    <row r="104" spans="1:3">
      <c r="A104" t="s">
        <v>483</v>
      </c>
      <c r="B104" s="15" t="s">
        <v>235</v>
      </c>
      <c r="C104">
        <v>31</v>
      </c>
    </row>
    <row r="105" spans="1:3">
      <c r="A105" t="s">
        <v>483</v>
      </c>
      <c r="B105" s="15" t="s">
        <v>226</v>
      </c>
      <c r="C105">
        <v>31</v>
      </c>
    </row>
    <row r="106" spans="1:3">
      <c r="A106" t="s">
        <v>483</v>
      </c>
      <c r="B106" t="s">
        <v>238</v>
      </c>
      <c r="C106">
        <v>26</v>
      </c>
    </row>
    <row r="107" spans="1:3">
      <c r="A107" t="s">
        <v>483</v>
      </c>
      <c r="B107" t="s">
        <v>239</v>
      </c>
      <c r="C107">
        <v>21</v>
      </c>
    </row>
    <row r="108" spans="1:3">
      <c r="A108" t="s">
        <v>483</v>
      </c>
      <c r="B108" t="s">
        <v>240</v>
      </c>
      <c r="C108">
        <v>21</v>
      </c>
    </row>
    <row r="109" spans="1:3">
      <c r="A109" t="s">
        <v>483</v>
      </c>
      <c r="B109" t="s">
        <v>241</v>
      </c>
      <c r="C109">
        <v>21</v>
      </c>
    </row>
    <row r="110" spans="1:3">
      <c r="A110" t="s">
        <v>483</v>
      </c>
      <c r="B110" t="s">
        <v>242</v>
      </c>
      <c r="C110">
        <v>21</v>
      </c>
    </row>
    <row r="111" spans="1:3">
      <c r="A111" t="s">
        <v>483</v>
      </c>
      <c r="B111" t="s">
        <v>243</v>
      </c>
      <c r="C111">
        <v>26</v>
      </c>
    </row>
    <row r="112" spans="1:3">
      <c r="A112" t="s">
        <v>483</v>
      </c>
      <c r="B112" t="s">
        <v>249</v>
      </c>
      <c r="C112">
        <v>21</v>
      </c>
    </row>
    <row r="113" spans="1:3">
      <c r="A113" t="s">
        <v>483</v>
      </c>
      <c r="B113" t="s">
        <v>250</v>
      </c>
      <c r="C113">
        <v>21</v>
      </c>
    </row>
    <row r="114" spans="1:3">
      <c r="A114" t="s">
        <v>483</v>
      </c>
      <c r="B114" t="s">
        <v>262</v>
      </c>
      <c r="C114">
        <v>26</v>
      </c>
    </row>
    <row r="115" spans="1:3">
      <c r="A115" t="s">
        <v>483</v>
      </c>
      <c r="B115" t="s">
        <v>256</v>
      </c>
      <c r="C115">
        <v>31</v>
      </c>
    </row>
    <row r="116" spans="1:3">
      <c r="A116" t="s">
        <v>483</v>
      </c>
      <c r="B116" t="s">
        <v>257</v>
      </c>
      <c r="C116">
        <v>26</v>
      </c>
    </row>
    <row r="117" spans="1:3">
      <c r="A117" t="s">
        <v>483</v>
      </c>
      <c r="B117" t="s">
        <v>263</v>
      </c>
      <c r="C117">
        <v>26</v>
      </c>
    </row>
    <row r="118" spans="1:3">
      <c r="A118" t="s">
        <v>483</v>
      </c>
      <c r="B118" t="s">
        <v>254</v>
      </c>
      <c r="C118">
        <v>26</v>
      </c>
    </row>
    <row r="119" spans="1:3">
      <c r="A119" t="s">
        <v>483</v>
      </c>
      <c r="B119" t="s">
        <v>255</v>
      </c>
      <c r="C119">
        <v>26</v>
      </c>
    </row>
    <row r="120" spans="1:3">
      <c r="A120" t="s">
        <v>483</v>
      </c>
      <c r="B120" t="s">
        <v>258</v>
      </c>
      <c r="C120">
        <v>26</v>
      </c>
    </row>
    <row r="121" spans="1:3">
      <c r="A121" t="s">
        <v>483</v>
      </c>
      <c r="B121" t="s">
        <v>259</v>
      </c>
      <c r="C121">
        <v>31</v>
      </c>
    </row>
    <row r="122" spans="1:3">
      <c r="A122" t="s">
        <v>483</v>
      </c>
      <c r="B122" t="s">
        <v>251</v>
      </c>
      <c r="C122">
        <v>51</v>
      </c>
    </row>
    <row r="123" spans="1:3">
      <c r="A123" t="s">
        <v>483</v>
      </c>
      <c r="B123" t="s">
        <v>252</v>
      </c>
      <c r="C123">
        <v>51</v>
      </c>
    </row>
    <row r="124" spans="1:3">
      <c r="A124" t="s">
        <v>483</v>
      </c>
      <c r="B124" t="s">
        <v>253</v>
      </c>
      <c r="C124">
        <v>41</v>
      </c>
    </row>
    <row r="125" spans="1:3">
      <c r="A125" t="s">
        <v>483</v>
      </c>
      <c r="B125" t="s">
        <v>260</v>
      </c>
      <c r="C125">
        <v>21</v>
      </c>
    </row>
    <row r="126" spans="1:3">
      <c r="A126" t="s">
        <v>483</v>
      </c>
      <c r="B126" t="s">
        <v>261</v>
      </c>
      <c r="C126">
        <v>21</v>
      </c>
    </row>
    <row r="127" spans="1:3">
      <c r="A127" t="s">
        <v>483</v>
      </c>
      <c r="B127" t="s">
        <v>264</v>
      </c>
      <c r="C127">
        <v>21</v>
      </c>
    </row>
    <row r="128" spans="1:3">
      <c r="A128" t="s">
        <v>483</v>
      </c>
      <c r="B128" t="s">
        <v>265</v>
      </c>
      <c r="C128">
        <v>100</v>
      </c>
    </row>
    <row r="129" spans="1:3">
      <c r="A129" s="11" t="s">
        <v>483</v>
      </c>
      <c r="B129" t="s">
        <v>267</v>
      </c>
      <c r="C129">
        <v>36</v>
      </c>
    </row>
    <row r="130" spans="1:3">
      <c r="A130" s="11" t="s">
        <v>483</v>
      </c>
      <c r="B130" t="s">
        <v>268</v>
      </c>
      <c r="C130">
        <v>36</v>
      </c>
    </row>
    <row r="131" spans="1:3">
      <c r="A131" s="11" t="s">
        <v>483</v>
      </c>
      <c r="B131" t="s">
        <v>269</v>
      </c>
      <c r="C131">
        <v>31</v>
      </c>
    </row>
    <row r="132" spans="1:3">
      <c r="A132" t="s">
        <v>483</v>
      </c>
      <c r="B132" t="s">
        <v>300</v>
      </c>
      <c r="C132">
        <v>21</v>
      </c>
    </row>
    <row r="133" spans="1:3">
      <c r="A133" t="s">
        <v>483</v>
      </c>
      <c r="B133" t="s">
        <v>306</v>
      </c>
      <c r="C133">
        <v>101</v>
      </c>
    </row>
    <row r="134" spans="1:3">
      <c r="A134" t="s">
        <v>483</v>
      </c>
      <c r="B134" t="s">
        <v>301</v>
      </c>
      <c r="C134">
        <v>101</v>
      </c>
    </row>
    <row r="135" spans="1:3">
      <c r="A135" t="s">
        <v>483</v>
      </c>
      <c r="B135" t="s">
        <v>304</v>
      </c>
      <c r="C135">
        <v>101</v>
      </c>
    </row>
    <row r="136" spans="1:3">
      <c r="A136" t="s">
        <v>483</v>
      </c>
      <c r="B136" t="s">
        <v>303</v>
      </c>
      <c r="C136">
        <v>101</v>
      </c>
    </row>
    <row r="137" spans="1:3">
      <c r="A137" t="s">
        <v>483</v>
      </c>
      <c r="B137" t="s">
        <v>305</v>
      </c>
      <c r="C137">
        <v>101</v>
      </c>
    </row>
    <row r="138" spans="1:3">
      <c r="A138" t="s">
        <v>483</v>
      </c>
      <c r="B138" t="s">
        <v>302</v>
      </c>
      <c r="C138">
        <v>101</v>
      </c>
    </row>
    <row r="139" spans="1:3">
      <c r="A139" s="18" t="s">
        <v>483</v>
      </c>
      <c r="B139" s="2" t="s">
        <v>310</v>
      </c>
      <c r="C139">
        <v>41</v>
      </c>
    </row>
    <row r="140" spans="1:3">
      <c r="A140" s="18" t="s">
        <v>483</v>
      </c>
      <c r="B140" s="2" t="s">
        <v>311</v>
      </c>
      <c r="C140">
        <v>41</v>
      </c>
    </row>
    <row r="141" spans="1:3">
      <c r="A141" s="18" t="s">
        <v>483</v>
      </c>
      <c r="B141" s="2" t="s">
        <v>316</v>
      </c>
      <c r="C141">
        <v>21</v>
      </c>
    </row>
    <row r="142" spans="1:3">
      <c r="A142" s="18" t="s">
        <v>483</v>
      </c>
      <c r="B142" s="2" t="s">
        <v>495</v>
      </c>
      <c r="C142">
        <v>31</v>
      </c>
    </row>
    <row r="143" spans="1:3">
      <c r="A143" s="18" t="s">
        <v>483</v>
      </c>
      <c r="B143" s="2" t="s">
        <v>317</v>
      </c>
      <c r="C143">
        <v>21</v>
      </c>
    </row>
    <row r="144" spans="1:3">
      <c r="A144" s="18" t="s">
        <v>483</v>
      </c>
      <c r="B144" t="s">
        <v>327</v>
      </c>
      <c r="C144">
        <v>31</v>
      </c>
    </row>
    <row r="145" spans="1:6">
      <c r="A145" s="6" t="s">
        <v>483</v>
      </c>
      <c r="B145" s="2" t="s">
        <v>329</v>
      </c>
      <c r="C145">
        <v>21</v>
      </c>
    </row>
    <row r="146" spans="1:6">
      <c r="A146" s="6" t="s">
        <v>483</v>
      </c>
      <c r="B146" s="2" t="s">
        <v>330</v>
      </c>
      <c r="C146">
        <v>21</v>
      </c>
    </row>
    <row r="147" spans="1:6">
      <c r="A147" t="s">
        <v>483</v>
      </c>
      <c r="B147" s="2" t="s">
        <v>331</v>
      </c>
      <c r="C147">
        <v>101</v>
      </c>
    </row>
    <row r="148" spans="1:6">
      <c r="A148" t="s">
        <v>483</v>
      </c>
      <c r="B148" t="s">
        <v>332</v>
      </c>
      <c r="C148">
        <v>101</v>
      </c>
    </row>
    <row r="149" spans="1:6">
      <c r="A149" t="s">
        <v>483</v>
      </c>
      <c r="B149" t="s">
        <v>333</v>
      </c>
      <c r="C149">
        <v>101</v>
      </c>
    </row>
    <row r="150" spans="1:6">
      <c r="A150" t="s">
        <v>483</v>
      </c>
      <c r="B150" t="s">
        <v>449</v>
      </c>
      <c r="C150">
        <v>31</v>
      </c>
    </row>
    <row r="151" spans="1:6">
      <c r="A151" t="s">
        <v>483</v>
      </c>
      <c r="B151" t="s">
        <v>451</v>
      </c>
      <c r="C151">
        <v>31</v>
      </c>
    </row>
    <row r="152" spans="1:6">
      <c r="A152" t="s">
        <v>483</v>
      </c>
      <c r="B152" t="s">
        <v>450</v>
      </c>
      <c r="C152">
        <v>31</v>
      </c>
    </row>
    <row r="153" spans="1:6">
      <c r="A153" t="s">
        <v>483</v>
      </c>
      <c r="B153" t="s">
        <v>436</v>
      </c>
      <c r="C153">
        <v>31</v>
      </c>
      <c r="E153" t="s">
        <v>470</v>
      </c>
      <c r="F153" t="s">
        <v>472</v>
      </c>
    </row>
    <row r="154" spans="1:6">
      <c r="A154" t="s">
        <v>483</v>
      </c>
      <c r="B154" t="s">
        <v>104</v>
      </c>
      <c r="C154">
        <v>31</v>
      </c>
      <c r="E154" t="s">
        <v>470</v>
      </c>
      <c r="F154" t="s">
        <v>472</v>
      </c>
    </row>
    <row r="155" spans="1:6">
      <c r="A155" t="s">
        <v>483</v>
      </c>
      <c r="B155" t="s">
        <v>105</v>
      </c>
      <c r="C155">
        <v>31</v>
      </c>
      <c r="E155" t="s">
        <v>470</v>
      </c>
      <c r="F155" t="s">
        <v>472</v>
      </c>
    </row>
    <row r="156" spans="1:6">
      <c r="A156" t="s">
        <v>483</v>
      </c>
      <c r="B156" t="s">
        <v>442</v>
      </c>
      <c r="C156">
        <v>26</v>
      </c>
      <c r="E156" t="s">
        <v>470</v>
      </c>
      <c r="F156" t="s">
        <v>472</v>
      </c>
    </row>
    <row r="157" spans="1:6">
      <c r="A157" t="s">
        <v>483</v>
      </c>
      <c r="B157" t="s">
        <v>440</v>
      </c>
      <c r="C157">
        <v>26</v>
      </c>
      <c r="E157" t="s">
        <v>470</v>
      </c>
      <c r="F157" t="s">
        <v>472</v>
      </c>
    </row>
    <row r="158" spans="1:6">
      <c r="A158" t="s">
        <v>483</v>
      </c>
      <c r="B158" t="s">
        <v>444</v>
      </c>
      <c r="C158">
        <v>26</v>
      </c>
      <c r="E158" t="s">
        <v>470</v>
      </c>
      <c r="F158" t="s">
        <v>472</v>
      </c>
    </row>
    <row r="159" spans="1:6">
      <c r="A159" t="s">
        <v>483</v>
      </c>
      <c r="B159" t="s">
        <v>437</v>
      </c>
      <c r="C159">
        <v>31</v>
      </c>
      <c r="E159" t="s">
        <v>470</v>
      </c>
      <c r="F159" t="s">
        <v>472</v>
      </c>
    </row>
    <row r="160" spans="1:6">
      <c r="A160" t="s">
        <v>483</v>
      </c>
      <c r="B160" t="s">
        <v>438</v>
      </c>
      <c r="C160">
        <v>31</v>
      </c>
      <c r="E160" t="s">
        <v>470</v>
      </c>
      <c r="F160" t="s">
        <v>472</v>
      </c>
    </row>
    <row r="161" spans="1:6">
      <c r="A161" t="s">
        <v>483</v>
      </c>
      <c r="B161" t="s">
        <v>439</v>
      </c>
      <c r="C161">
        <v>31</v>
      </c>
      <c r="E161" t="s">
        <v>470</v>
      </c>
      <c r="F161" t="s">
        <v>472</v>
      </c>
    </row>
    <row r="162" spans="1:6">
      <c r="A162" t="s">
        <v>483</v>
      </c>
      <c r="B162" t="s">
        <v>443</v>
      </c>
      <c r="C162">
        <v>26</v>
      </c>
      <c r="E162" t="s">
        <v>470</v>
      </c>
      <c r="F162" t="s">
        <v>472</v>
      </c>
    </row>
    <row r="163" spans="1:6">
      <c r="A163" t="s">
        <v>483</v>
      </c>
      <c r="B163" t="s">
        <v>441</v>
      </c>
      <c r="C163">
        <v>26</v>
      </c>
      <c r="E163" t="s">
        <v>470</v>
      </c>
      <c r="F163" t="s">
        <v>472</v>
      </c>
    </row>
    <row r="164" spans="1:6">
      <c r="A164" t="s">
        <v>483</v>
      </c>
      <c r="B164" t="s">
        <v>445</v>
      </c>
      <c r="C164">
        <v>31</v>
      </c>
      <c r="E164" t="s">
        <v>473</v>
      </c>
    </row>
    <row r="165" spans="1:6">
      <c r="A165" t="s">
        <v>483</v>
      </c>
      <c r="B165" t="s">
        <v>447</v>
      </c>
      <c r="C165">
        <v>100</v>
      </c>
    </row>
    <row r="166" spans="1:6">
      <c r="A166" t="s">
        <v>483</v>
      </c>
      <c r="B166" t="s">
        <v>448</v>
      </c>
      <c r="C166">
        <v>100</v>
      </c>
    </row>
    <row r="167" spans="1:6">
      <c r="A167" t="s">
        <v>483</v>
      </c>
      <c r="B167" t="s">
        <v>446</v>
      </c>
      <c r="C167">
        <v>31</v>
      </c>
      <c r="E167" t="s">
        <v>474</v>
      </c>
    </row>
    <row r="168" spans="1:6">
      <c r="A168" t="s">
        <v>483</v>
      </c>
      <c r="B168" t="s">
        <v>460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T37"/>
  <sheetViews>
    <sheetView zoomScale="85" zoomScaleNormal="85" workbookViewId="0">
      <pane xSplit="1" topLeftCell="B1" activePane="topRight" state="frozen"/>
      <selection pane="topRight" activeCell="A38" sqref="A38:XFD40"/>
    </sheetView>
  </sheetViews>
  <sheetFormatPr defaultColWidth="11.44140625" defaultRowHeight="14.4"/>
  <cols>
    <col min="1" max="1" width="19.5546875" style="4" customWidth="1"/>
    <col min="2" max="2" width="20.33203125" style="4" customWidth="1"/>
    <col min="3" max="16384" width="11.44140625" style="4"/>
  </cols>
  <sheetData>
    <row r="1" spans="1:19">
      <c r="A1" s="4" t="s">
        <v>408</v>
      </c>
    </row>
    <row r="2" spans="1:19">
      <c r="A2" s="4" t="s">
        <v>54</v>
      </c>
    </row>
    <row r="3" spans="1:19">
      <c r="A3" s="4" t="s">
        <v>390</v>
      </c>
    </row>
    <row r="5" spans="1:19">
      <c r="A5" s="4" t="s">
        <v>20</v>
      </c>
      <c r="B5" s="4" t="s">
        <v>26</v>
      </c>
      <c r="C5" s="55">
        <v>2018</v>
      </c>
      <c r="D5" s="55">
        <v>2021</v>
      </c>
      <c r="E5" s="55">
        <v>2025</v>
      </c>
      <c r="F5" s="55">
        <v>2030</v>
      </c>
      <c r="G5" s="55">
        <v>2035</v>
      </c>
      <c r="H5" s="55">
        <v>2040</v>
      </c>
      <c r="I5" s="55">
        <v>2045</v>
      </c>
      <c r="J5" s="55">
        <v>2050</v>
      </c>
    </row>
    <row r="6" spans="1:19">
      <c r="A6" s="66" t="s">
        <v>478</v>
      </c>
      <c r="B6" s="67" t="s">
        <v>212</v>
      </c>
      <c r="C6" s="83">
        <v>0.376776</v>
      </c>
      <c r="D6" s="83">
        <v>0.36</v>
      </c>
      <c r="E6" s="83">
        <v>0</v>
      </c>
      <c r="F6" s="83">
        <v>0</v>
      </c>
      <c r="G6" s="83">
        <v>0</v>
      </c>
      <c r="H6" s="83">
        <v>0</v>
      </c>
      <c r="I6" s="83">
        <v>0</v>
      </c>
      <c r="J6" s="83">
        <v>0</v>
      </c>
      <c r="L6" s="19"/>
      <c r="M6" s="19"/>
      <c r="N6" s="19"/>
      <c r="O6" s="19"/>
      <c r="P6" s="19"/>
      <c r="Q6" s="19"/>
      <c r="R6" s="19"/>
      <c r="S6" s="19"/>
    </row>
    <row r="7" spans="1:19">
      <c r="A7" s="66" t="s">
        <v>479</v>
      </c>
      <c r="B7" s="67" t="s">
        <v>212</v>
      </c>
      <c r="C7" s="83">
        <v>0</v>
      </c>
      <c r="D7" s="83">
        <v>0</v>
      </c>
      <c r="E7" s="83">
        <v>0</v>
      </c>
      <c r="F7" s="83">
        <v>0</v>
      </c>
      <c r="G7" s="83">
        <v>0</v>
      </c>
      <c r="H7" s="83">
        <v>0</v>
      </c>
      <c r="I7" s="83">
        <v>0</v>
      </c>
      <c r="J7" s="83">
        <v>0</v>
      </c>
      <c r="L7" s="19"/>
      <c r="M7" s="19"/>
      <c r="N7" s="19"/>
      <c r="O7" s="19"/>
      <c r="P7" s="19"/>
      <c r="Q7" s="19"/>
      <c r="R7" s="19"/>
      <c r="S7" s="19"/>
    </row>
    <row r="8" spans="1:19">
      <c r="A8" s="66" t="s">
        <v>480</v>
      </c>
      <c r="B8" s="67" t="s">
        <v>212</v>
      </c>
      <c r="C8" s="83">
        <v>0</v>
      </c>
      <c r="D8" s="83">
        <v>0</v>
      </c>
      <c r="E8" s="83">
        <v>0</v>
      </c>
      <c r="F8" s="83">
        <v>0</v>
      </c>
      <c r="G8" s="83">
        <v>0</v>
      </c>
      <c r="H8" s="83">
        <v>0</v>
      </c>
      <c r="I8" s="83">
        <v>0</v>
      </c>
      <c r="J8" s="83">
        <v>0</v>
      </c>
      <c r="L8" s="19"/>
      <c r="M8" s="19"/>
      <c r="N8" s="19"/>
      <c r="O8" s="19"/>
      <c r="P8" s="19"/>
      <c r="Q8" s="19"/>
      <c r="R8" s="19"/>
      <c r="S8" s="19"/>
    </row>
    <row r="9" spans="1:19">
      <c r="A9" s="66" t="s">
        <v>486</v>
      </c>
      <c r="B9" s="67" t="s">
        <v>212</v>
      </c>
      <c r="C9" s="83">
        <v>4.1183999999999998E-2</v>
      </c>
      <c r="D9" s="83">
        <v>3.9600000000000003E-2</v>
      </c>
      <c r="E9" s="83">
        <v>0</v>
      </c>
      <c r="F9" s="83">
        <v>0</v>
      </c>
      <c r="G9" s="83">
        <v>0</v>
      </c>
      <c r="H9" s="83">
        <v>0</v>
      </c>
      <c r="I9" s="83">
        <v>0</v>
      </c>
      <c r="J9" s="83">
        <v>0</v>
      </c>
      <c r="L9" s="19"/>
      <c r="M9" s="19"/>
      <c r="N9" s="19"/>
      <c r="O9" s="19"/>
      <c r="P9" s="19"/>
      <c r="Q9" s="19"/>
      <c r="R9" s="19"/>
      <c r="S9" s="19"/>
    </row>
    <row r="10" spans="1:19">
      <c r="A10" s="66" t="s">
        <v>485</v>
      </c>
      <c r="B10" s="67" t="s">
        <v>212</v>
      </c>
      <c r="C10" s="83">
        <v>8.7840000000000001E-3</v>
      </c>
      <c r="D10" s="83">
        <v>0</v>
      </c>
      <c r="E10" s="83">
        <v>0</v>
      </c>
      <c r="F10" s="83">
        <v>0</v>
      </c>
      <c r="G10" s="83">
        <v>0</v>
      </c>
      <c r="H10" s="83">
        <v>0</v>
      </c>
      <c r="I10" s="83">
        <v>0</v>
      </c>
      <c r="J10" s="83">
        <v>0</v>
      </c>
      <c r="L10" s="19"/>
      <c r="M10" s="19"/>
      <c r="N10" s="19"/>
      <c r="O10" s="19"/>
      <c r="P10" s="19"/>
      <c r="Q10" s="19"/>
      <c r="R10" s="19"/>
      <c r="S10" s="19"/>
    </row>
    <row r="11" spans="1:19">
      <c r="A11" s="66" t="s">
        <v>482</v>
      </c>
      <c r="B11" s="67" t="s">
        <v>212</v>
      </c>
      <c r="C11" s="83">
        <v>0</v>
      </c>
      <c r="D11" s="83">
        <v>0</v>
      </c>
      <c r="E11" s="83">
        <v>0</v>
      </c>
      <c r="F11" s="83">
        <v>0</v>
      </c>
      <c r="G11" s="83">
        <v>0</v>
      </c>
      <c r="H11" s="83">
        <v>0</v>
      </c>
      <c r="I11" s="83">
        <v>0</v>
      </c>
      <c r="J11" s="83">
        <v>0</v>
      </c>
      <c r="L11" s="19"/>
      <c r="M11" s="19"/>
      <c r="N11" s="19"/>
      <c r="O11" s="19"/>
      <c r="P11" s="19"/>
      <c r="Q11" s="19"/>
      <c r="R11" s="19"/>
      <c r="S11" s="19"/>
    </row>
    <row r="12" spans="1:19">
      <c r="A12" s="66" t="s">
        <v>483</v>
      </c>
      <c r="B12" s="67" t="s">
        <v>212</v>
      </c>
      <c r="C12" s="83">
        <v>4.3920000000000001E-3</v>
      </c>
      <c r="D12" s="83">
        <v>0</v>
      </c>
      <c r="E12" s="83">
        <v>0</v>
      </c>
      <c r="F12" s="83">
        <v>0</v>
      </c>
      <c r="G12" s="83">
        <v>0</v>
      </c>
      <c r="H12" s="83">
        <v>0</v>
      </c>
      <c r="I12" s="83">
        <v>0</v>
      </c>
      <c r="J12" s="83">
        <v>0</v>
      </c>
      <c r="L12" s="19"/>
      <c r="M12" s="19"/>
      <c r="N12" s="19"/>
      <c r="O12" s="19"/>
      <c r="P12" s="19"/>
      <c r="Q12" s="19"/>
      <c r="R12" s="19"/>
      <c r="S12" s="19"/>
    </row>
    <row r="13" spans="1:19">
      <c r="A13" s="66" t="s">
        <v>484</v>
      </c>
      <c r="B13" s="67" t="s">
        <v>212</v>
      </c>
      <c r="C13" s="83">
        <v>0</v>
      </c>
      <c r="D13" s="83">
        <v>0</v>
      </c>
      <c r="E13" s="83">
        <v>0</v>
      </c>
      <c r="F13" s="83">
        <v>0</v>
      </c>
      <c r="G13" s="83">
        <v>0</v>
      </c>
      <c r="H13" s="83">
        <v>0</v>
      </c>
      <c r="I13" s="83">
        <v>0</v>
      </c>
      <c r="J13" s="83">
        <v>0</v>
      </c>
      <c r="L13" s="73"/>
      <c r="M13" s="73"/>
      <c r="N13" s="73"/>
      <c r="O13" s="73"/>
      <c r="P13" s="73"/>
      <c r="Q13" s="73"/>
      <c r="R13" s="73"/>
      <c r="S13" s="73"/>
    </row>
    <row r="14" spans="1:19">
      <c r="A14" s="68" t="s">
        <v>478</v>
      </c>
      <c r="B14" s="69" t="s">
        <v>232</v>
      </c>
      <c r="C14" s="84">
        <v>5.2882520394456701E-3</v>
      </c>
      <c r="D14" s="84">
        <v>5.2418505919717912E-3</v>
      </c>
      <c r="E14" s="84">
        <v>0</v>
      </c>
      <c r="F14" s="84">
        <v>0</v>
      </c>
      <c r="G14" s="84">
        <v>0</v>
      </c>
      <c r="H14" s="84">
        <v>0</v>
      </c>
      <c r="I14" s="84">
        <v>0</v>
      </c>
      <c r="J14" s="84">
        <v>0</v>
      </c>
      <c r="L14" s="73"/>
      <c r="M14" s="73"/>
      <c r="N14" s="73"/>
      <c r="O14" s="73"/>
      <c r="P14" s="73"/>
      <c r="Q14" s="73"/>
      <c r="R14" s="73"/>
      <c r="S14" s="73"/>
    </row>
    <row r="15" spans="1:19">
      <c r="A15" s="68" t="s">
        <v>479</v>
      </c>
      <c r="B15" s="69" t="s">
        <v>232</v>
      </c>
      <c r="C15" s="84">
        <v>7.0591673819742507E-4</v>
      </c>
      <c r="D15" s="84">
        <v>6.329565327788299E-4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L15" s="73"/>
      <c r="M15" s="73"/>
      <c r="N15" s="73"/>
      <c r="O15" s="73"/>
      <c r="P15" s="73"/>
      <c r="Q15" s="73"/>
      <c r="R15" s="73"/>
      <c r="S15" s="73"/>
    </row>
    <row r="16" spans="1:19">
      <c r="A16" s="68" t="s">
        <v>480</v>
      </c>
      <c r="B16" s="69" t="s">
        <v>232</v>
      </c>
      <c r="C16" s="84">
        <v>1.429142561347181E-3</v>
      </c>
      <c r="D16" s="84">
        <v>1.4090291114307288E-3</v>
      </c>
      <c r="E16" s="84">
        <v>0</v>
      </c>
      <c r="F16" s="84">
        <v>0</v>
      </c>
      <c r="G16" s="84">
        <v>0</v>
      </c>
      <c r="H16" s="84">
        <v>0</v>
      </c>
      <c r="I16" s="84">
        <v>0</v>
      </c>
      <c r="J16" s="84">
        <v>0</v>
      </c>
      <c r="L16" s="73"/>
      <c r="M16" s="73"/>
      <c r="N16" s="73"/>
      <c r="O16" s="73"/>
      <c r="P16" s="73"/>
      <c r="Q16" s="73"/>
      <c r="R16" s="73"/>
      <c r="S16" s="73"/>
    </row>
    <row r="17" spans="1:20">
      <c r="A17" s="68" t="s">
        <v>486</v>
      </c>
      <c r="B17" s="69" t="s">
        <v>232</v>
      </c>
      <c r="C17" s="84">
        <v>3.5586335609212788E-2</v>
      </c>
      <c r="D17" s="84">
        <v>3.5608518126104549E-2</v>
      </c>
      <c r="E17" s="84">
        <v>0</v>
      </c>
      <c r="F17" s="84">
        <v>0</v>
      </c>
      <c r="G17" s="84">
        <v>0</v>
      </c>
      <c r="H17" s="84">
        <v>0</v>
      </c>
      <c r="I17" s="84">
        <v>0</v>
      </c>
      <c r="J17" s="84">
        <v>0</v>
      </c>
      <c r="L17" s="73"/>
      <c r="M17" s="73"/>
      <c r="N17" s="73"/>
      <c r="O17" s="73"/>
      <c r="P17" s="73"/>
      <c r="Q17" s="73"/>
      <c r="R17" s="73"/>
      <c r="S17" s="73"/>
    </row>
    <row r="18" spans="1:20">
      <c r="A18" s="68" t="s">
        <v>485</v>
      </c>
      <c r="B18" s="69" t="s">
        <v>232</v>
      </c>
      <c r="C18" s="84">
        <v>3.5200310356124892E-2</v>
      </c>
      <c r="D18" s="84">
        <v>3.2677344128154408E-2</v>
      </c>
      <c r="E18" s="84">
        <v>0</v>
      </c>
      <c r="F18" s="84">
        <v>0</v>
      </c>
      <c r="G18" s="84">
        <v>0</v>
      </c>
      <c r="H18" s="84">
        <v>0</v>
      </c>
      <c r="I18" s="84">
        <v>0</v>
      </c>
      <c r="J18" s="84">
        <v>0</v>
      </c>
      <c r="L18" s="73"/>
      <c r="M18" s="73"/>
      <c r="N18" s="73"/>
      <c r="O18" s="73"/>
      <c r="P18" s="73"/>
      <c r="Q18" s="73"/>
      <c r="R18" s="73"/>
      <c r="S18" s="73"/>
    </row>
    <row r="19" spans="1:20">
      <c r="A19" s="68" t="s">
        <v>482</v>
      </c>
      <c r="B19" s="69" t="s">
        <v>232</v>
      </c>
      <c r="C19" s="84">
        <v>9.4555448763227731E-2</v>
      </c>
      <c r="D19" s="84">
        <v>9.2471326455466102E-2</v>
      </c>
      <c r="E19" s="84">
        <v>0</v>
      </c>
      <c r="F19" s="84">
        <v>0</v>
      </c>
      <c r="G19" s="84">
        <v>0</v>
      </c>
      <c r="H19" s="84">
        <v>0</v>
      </c>
      <c r="I19" s="84">
        <v>0</v>
      </c>
      <c r="J19" s="84">
        <v>0</v>
      </c>
      <c r="L19" s="73"/>
      <c r="M19" s="73"/>
      <c r="N19" s="73"/>
      <c r="O19" s="73"/>
      <c r="P19" s="73"/>
      <c r="Q19" s="73"/>
      <c r="R19" s="73"/>
      <c r="S19" s="73"/>
    </row>
    <row r="20" spans="1:20">
      <c r="A20" s="68" t="s">
        <v>483</v>
      </c>
      <c r="B20" s="69" t="s">
        <v>232</v>
      </c>
      <c r="C20" s="84">
        <v>2.7017685384791799E-2</v>
      </c>
      <c r="D20" s="84">
        <v>2.7051555644504805E-2</v>
      </c>
      <c r="E20" s="84">
        <v>0</v>
      </c>
      <c r="F20" s="84">
        <v>0</v>
      </c>
      <c r="G20" s="84">
        <v>0</v>
      </c>
      <c r="H20" s="84">
        <v>0</v>
      </c>
      <c r="I20" s="84">
        <v>0</v>
      </c>
      <c r="J20" s="84">
        <v>0</v>
      </c>
      <c r="L20" s="73"/>
      <c r="M20" s="73"/>
      <c r="N20" s="73"/>
      <c r="O20" s="73"/>
      <c r="P20" s="73"/>
      <c r="Q20" s="73"/>
      <c r="R20" s="73"/>
      <c r="S20" s="73"/>
    </row>
    <row r="21" spans="1:20">
      <c r="A21" s="68" t="s">
        <v>484</v>
      </c>
      <c r="B21" s="69" t="s">
        <v>232</v>
      </c>
      <c r="C21" s="84">
        <v>3.9458508547652593E-2</v>
      </c>
      <c r="D21" s="84">
        <v>3.8111819409588805E-2</v>
      </c>
      <c r="E21" s="84">
        <v>0</v>
      </c>
      <c r="F21" s="84">
        <v>0</v>
      </c>
      <c r="G21" s="84">
        <v>0</v>
      </c>
      <c r="H21" s="84">
        <v>0</v>
      </c>
      <c r="I21" s="84">
        <v>0</v>
      </c>
      <c r="J21" s="84">
        <v>0</v>
      </c>
      <c r="L21" s="72"/>
      <c r="M21" s="72"/>
      <c r="N21" s="72"/>
      <c r="O21" s="72"/>
      <c r="P21" s="72"/>
      <c r="Q21" s="72"/>
      <c r="R21" s="72"/>
      <c r="S21" s="72"/>
    </row>
    <row r="22" spans="1:20">
      <c r="A22" s="70" t="s">
        <v>478</v>
      </c>
      <c r="B22" s="67" t="s">
        <v>229</v>
      </c>
      <c r="C22" s="83">
        <v>8.114346449827026E-3</v>
      </c>
      <c r="D22" s="83">
        <v>1.256734145278088E-2</v>
      </c>
      <c r="E22" s="83">
        <v>0</v>
      </c>
      <c r="F22" s="83">
        <v>0</v>
      </c>
      <c r="G22" s="83">
        <v>0</v>
      </c>
      <c r="H22" s="83">
        <v>0</v>
      </c>
      <c r="I22" s="83">
        <v>0</v>
      </c>
      <c r="J22" s="83">
        <v>0</v>
      </c>
      <c r="L22" s="72"/>
      <c r="M22" s="72"/>
      <c r="N22" s="72"/>
      <c r="O22" s="72"/>
      <c r="P22" s="72"/>
      <c r="Q22" s="72"/>
      <c r="R22" s="72"/>
      <c r="S22" s="72"/>
      <c r="T22" s="72"/>
    </row>
    <row r="23" spans="1:20">
      <c r="A23" s="70" t="s">
        <v>479</v>
      </c>
      <c r="B23" s="67" t="s">
        <v>229</v>
      </c>
      <c r="C23" s="83">
        <v>1.0905437931630502E-3</v>
      </c>
      <c r="D23" s="83">
        <v>1.6890129479476511E-3</v>
      </c>
      <c r="E23" s="83">
        <v>0</v>
      </c>
      <c r="F23" s="83">
        <v>0</v>
      </c>
      <c r="G23" s="83">
        <v>0</v>
      </c>
      <c r="H23" s="83">
        <v>0</v>
      </c>
      <c r="I23" s="83">
        <v>0</v>
      </c>
      <c r="J23" s="83">
        <v>0</v>
      </c>
      <c r="L23" s="72"/>
      <c r="M23" s="72"/>
      <c r="N23" s="72"/>
      <c r="O23" s="72"/>
      <c r="P23" s="72"/>
      <c r="Q23" s="72"/>
      <c r="R23" s="72"/>
      <c r="S23" s="72"/>
      <c r="T23" s="72"/>
    </row>
    <row r="24" spans="1:20">
      <c r="A24" s="70" t="s">
        <v>480</v>
      </c>
      <c r="B24" s="67" t="s">
        <v>229</v>
      </c>
      <c r="C24" s="83">
        <v>1.9320597788091191E-3</v>
      </c>
      <c r="D24" s="83">
        <v>2.9923364866921722E-3</v>
      </c>
      <c r="E24" s="83">
        <v>0</v>
      </c>
      <c r="F24" s="83">
        <v>0</v>
      </c>
      <c r="G24" s="83">
        <v>0</v>
      </c>
      <c r="H24" s="83">
        <v>0</v>
      </c>
      <c r="I24" s="83">
        <v>0</v>
      </c>
      <c r="J24" s="83">
        <v>0</v>
      </c>
      <c r="L24" s="72"/>
      <c r="M24" s="72"/>
      <c r="N24" s="72"/>
      <c r="O24" s="72"/>
      <c r="P24" s="72"/>
      <c r="Q24" s="72"/>
      <c r="R24" s="72"/>
      <c r="S24" s="72"/>
      <c r="T24" s="72"/>
    </row>
    <row r="25" spans="1:20">
      <c r="A25" s="70" t="s">
        <v>486</v>
      </c>
      <c r="B25" s="67" t="s">
        <v>229</v>
      </c>
      <c r="C25" s="83">
        <v>5.894267353577777E-2</v>
      </c>
      <c r="D25" s="83">
        <v>9.1289262671265595E-2</v>
      </c>
      <c r="E25" s="83">
        <v>0</v>
      </c>
      <c r="F25" s="83">
        <v>0</v>
      </c>
      <c r="G25" s="83">
        <v>0</v>
      </c>
      <c r="H25" s="83">
        <v>0</v>
      </c>
      <c r="I25" s="83">
        <v>0</v>
      </c>
      <c r="J25" s="83">
        <v>0</v>
      </c>
      <c r="L25" s="72"/>
      <c r="M25" s="72"/>
      <c r="N25" s="72"/>
      <c r="O25" s="72"/>
      <c r="P25" s="72"/>
      <c r="Q25" s="72"/>
      <c r="R25" s="72"/>
      <c r="S25" s="72"/>
      <c r="T25" s="72"/>
    </row>
    <row r="26" spans="1:20">
      <c r="A26" s="70" t="s">
        <v>485</v>
      </c>
      <c r="B26" s="67" t="s">
        <v>229</v>
      </c>
      <c r="C26" s="83">
        <v>5.783385247233825E-2</v>
      </c>
      <c r="D26" s="83">
        <v>8.9571942243743374E-2</v>
      </c>
      <c r="E26" s="83">
        <v>0</v>
      </c>
      <c r="F26" s="83">
        <v>0</v>
      </c>
      <c r="G26" s="83">
        <v>0</v>
      </c>
      <c r="H26" s="83">
        <v>0</v>
      </c>
      <c r="I26" s="83">
        <v>0</v>
      </c>
      <c r="J26" s="83">
        <v>0</v>
      </c>
      <c r="L26" s="72"/>
      <c r="M26" s="72"/>
      <c r="N26" s="72"/>
      <c r="O26" s="72"/>
      <c r="P26" s="72"/>
      <c r="Q26" s="72"/>
      <c r="R26" s="72"/>
      <c r="S26" s="72"/>
      <c r="T26" s="72"/>
    </row>
    <row r="27" spans="1:20">
      <c r="A27" s="70" t="s">
        <v>482</v>
      </c>
      <c r="B27" s="67" t="s">
        <v>229</v>
      </c>
      <c r="C27" s="83">
        <v>7.5915403646270016E-2</v>
      </c>
      <c r="D27" s="83">
        <v>0.11757629589117428</v>
      </c>
      <c r="E27" s="83">
        <v>0</v>
      </c>
      <c r="F27" s="83">
        <v>0</v>
      </c>
      <c r="G27" s="83">
        <v>0</v>
      </c>
      <c r="H27" s="83">
        <v>0</v>
      </c>
      <c r="I27" s="83">
        <v>0</v>
      </c>
      <c r="J27" s="83">
        <v>0</v>
      </c>
      <c r="L27" s="72"/>
      <c r="M27" s="72"/>
      <c r="N27" s="72"/>
      <c r="O27" s="72"/>
      <c r="P27" s="72"/>
      <c r="Q27" s="72"/>
      <c r="R27" s="72"/>
      <c r="S27" s="72"/>
      <c r="T27" s="72"/>
    </row>
    <row r="28" spans="1:20">
      <c r="A28" s="70" t="s">
        <v>483</v>
      </c>
      <c r="B28" s="67" t="s">
        <v>229</v>
      </c>
      <c r="C28" s="83">
        <v>4.354026556320606E-2</v>
      </c>
      <c r="D28" s="83">
        <v>6.7434313738136201E-2</v>
      </c>
      <c r="E28" s="83">
        <v>0</v>
      </c>
      <c r="F28" s="83">
        <v>0</v>
      </c>
      <c r="G28" s="83">
        <v>0</v>
      </c>
      <c r="H28" s="83">
        <v>0</v>
      </c>
      <c r="I28" s="83">
        <v>0</v>
      </c>
      <c r="J28" s="83">
        <v>0</v>
      </c>
      <c r="L28" s="72"/>
      <c r="M28" s="72"/>
      <c r="N28" s="72"/>
      <c r="O28" s="72"/>
      <c r="P28" s="72"/>
      <c r="Q28" s="72"/>
      <c r="R28" s="72"/>
      <c r="S28" s="72"/>
      <c r="T28" s="72"/>
    </row>
    <row r="29" spans="1:20">
      <c r="A29" s="70" t="s">
        <v>484</v>
      </c>
      <c r="B29" s="67" t="s">
        <v>229</v>
      </c>
      <c r="C29" s="83">
        <v>4.7830854760608728E-2</v>
      </c>
      <c r="D29" s="83">
        <v>7.4079494568259852E-2</v>
      </c>
      <c r="E29" s="83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L29" s="72"/>
      <c r="M29" s="72"/>
      <c r="N29" s="72"/>
      <c r="O29" s="72"/>
      <c r="P29" s="72"/>
      <c r="Q29" s="72"/>
      <c r="R29" s="72"/>
      <c r="S29" s="72"/>
      <c r="T29" s="72"/>
    </row>
    <row r="30" spans="1:20">
      <c r="A30" s="68" t="s">
        <v>478</v>
      </c>
      <c r="B30" s="69" t="s">
        <v>228</v>
      </c>
      <c r="C30" s="84">
        <v>8.6239187104806304E-3</v>
      </c>
      <c r="D30" s="84">
        <v>8.5482486576770756E-3</v>
      </c>
      <c r="E30" s="84">
        <v>0</v>
      </c>
      <c r="F30" s="84">
        <v>0</v>
      </c>
      <c r="G30" s="84">
        <v>0</v>
      </c>
      <c r="H30" s="84">
        <v>0</v>
      </c>
      <c r="I30" s="84">
        <v>0</v>
      </c>
      <c r="J30" s="84">
        <v>0</v>
      </c>
    </row>
    <row r="31" spans="1:20">
      <c r="A31" s="71" t="s">
        <v>479</v>
      </c>
      <c r="B31" s="69" t="s">
        <v>228</v>
      </c>
      <c r="C31" s="84">
        <v>1.1511872961373392E-3</v>
      </c>
      <c r="D31" s="84">
        <v>1.0322060380700917E-3</v>
      </c>
      <c r="E31" s="84">
        <v>0</v>
      </c>
      <c r="F31" s="84">
        <v>0</v>
      </c>
      <c r="G31" s="84">
        <v>0</v>
      </c>
      <c r="H31" s="84">
        <v>0</v>
      </c>
      <c r="I31" s="84">
        <v>0</v>
      </c>
      <c r="J31" s="84">
        <v>0</v>
      </c>
    </row>
    <row r="32" spans="1:20">
      <c r="A32" s="71" t="s">
        <v>480</v>
      </c>
      <c r="B32" s="69" t="s">
        <v>228</v>
      </c>
      <c r="C32" s="84">
        <v>2.3306017154277104E-3</v>
      </c>
      <c r="D32" s="84">
        <v>2.2978013201793417E-3</v>
      </c>
      <c r="E32" s="84">
        <v>0</v>
      </c>
      <c r="F32" s="84">
        <v>0</v>
      </c>
      <c r="G32" s="84">
        <v>0</v>
      </c>
      <c r="H32" s="84">
        <v>0</v>
      </c>
      <c r="I32" s="84">
        <v>0</v>
      </c>
      <c r="J32" s="84">
        <v>0</v>
      </c>
    </row>
    <row r="33" spans="1:10">
      <c r="A33" s="71" t="s">
        <v>486</v>
      </c>
      <c r="B33" s="69" t="s">
        <v>228</v>
      </c>
      <c r="C33" s="84">
        <v>5.8033101147331623E-2</v>
      </c>
      <c r="D33" s="84">
        <v>5.8069275713339724E-2</v>
      </c>
      <c r="E33" s="84">
        <v>0</v>
      </c>
      <c r="F33" s="84">
        <v>0</v>
      </c>
      <c r="G33" s="84">
        <v>0</v>
      </c>
      <c r="H33" s="84">
        <v>0</v>
      </c>
      <c r="I33" s="84">
        <v>0</v>
      </c>
      <c r="J33" s="84">
        <v>0</v>
      </c>
    </row>
    <row r="34" spans="1:10">
      <c r="A34" s="71" t="s">
        <v>485</v>
      </c>
      <c r="B34" s="69" t="s">
        <v>228</v>
      </c>
      <c r="C34" s="84">
        <v>5.7403583042295973E-2</v>
      </c>
      <c r="D34" s="84">
        <v>5.3289207347451802E-2</v>
      </c>
      <c r="E34" s="84">
        <v>0</v>
      </c>
      <c r="F34" s="84">
        <v>0</v>
      </c>
      <c r="G34" s="84">
        <v>0</v>
      </c>
      <c r="H34" s="84">
        <v>0</v>
      </c>
      <c r="I34" s="84">
        <v>0</v>
      </c>
      <c r="J34" s="84">
        <v>0</v>
      </c>
    </row>
    <row r="35" spans="1:10">
      <c r="A35" s="71" t="s">
        <v>482</v>
      </c>
      <c r="B35" s="69" t="s">
        <v>228</v>
      </c>
      <c r="C35" s="84">
        <v>0.15419811644464831</v>
      </c>
      <c r="D35" s="84">
        <v>0.15079939391199088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</row>
    <row r="36" spans="1:10">
      <c r="A36" s="71" t="s">
        <v>483</v>
      </c>
      <c r="B36" s="69" t="s">
        <v>228</v>
      </c>
      <c r="C36" s="84">
        <v>4.4059610012122011E-2</v>
      </c>
      <c r="D36" s="84">
        <v>4.4114844589500143E-2</v>
      </c>
      <c r="E36" s="84">
        <v>0</v>
      </c>
      <c r="F36" s="84">
        <v>0</v>
      </c>
      <c r="G36" s="84">
        <v>0</v>
      </c>
      <c r="H36" s="84">
        <v>0</v>
      </c>
      <c r="I36" s="84">
        <v>0</v>
      </c>
      <c r="J36" s="84">
        <v>0</v>
      </c>
    </row>
    <row r="37" spans="1:10">
      <c r="A37" s="71" t="s">
        <v>484</v>
      </c>
      <c r="B37" s="69" t="s">
        <v>228</v>
      </c>
      <c r="C37" s="84">
        <v>6.4347721631556526E-2</v>
      </c>
      <c r="D37" s="84">
        <v>6.2151582421790974E-2</v>
      </c>
      <c r="E37" s="84">
        <v>0</v>
      </c>
      <c r="F37" s="84">
        <v>0</v>
      </c>
      <c r="G37" s="84">
        <v>0</v>
      </c>
      <c r="H37" s="84">
        <v>0</v>
      </c>
      <c r="I37" s="84">
        <v>0</v>
      </c>
      <c r="J37" s="84">
        <v>0</v>
      </c>
    </row>
  </sheetData>
  <conditionalFormatting sqref="A22:A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:A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174C-EC35-4075-8646-70A531C28059}">
  <sheetPr>
    <tabColor rgb="FFFF0000"/>
  </sheetPr>
  <dimension ref="A1:I12"/>
  <sheetViews>
    <sheetView workbookViewId="0">
      <selection activeCell="G13" sqref="G13"/>
    </sheetView>
  </sheetViews>
  <sheetFormatPr defaultColWidth="11.44140625" defaultRowHeight="14.4"/>
  <cols>
    <col min="1" max="1" width="23.6640625" style="4" customWidth="1"/>
    <col min="2" max="16384" width="11.44140625" style="4"/>
  </cols>
  <sheetData>
    <row r="1" spans="1:9">
      <c r="A1" s="4" t="s">
        <v>500</v>
      </c>
    </row>
    <row r="2" spans="1:9">
      <c r="A2" s="4" t="s">
        <v>501</v>
      </c>
    </row>
    <row r="3" spans="1:9">
      <c r="A3" s="4" t="s">
        <v>390</v>
      </c>
    </row>
    <row r="5" spans="1:9">
      <c r="A5" s="4" t="s">
        <v>26</v>
      </c>
      <c r="B5" s="55">
        <v>2018</v>
      </c>
      <c r="C5" s="55">
        <v>2021</v>
      </c>
      <c r="D5" s="55">
        <v>2025</v>
      </c>
      <c r="E5" s="55">
        <v>2030</v>
      </c>
      <c r="F5" s="55">
        <v>2035</v>
      </c>
      <c r="G5" s="55">
        <v>2040</v>
      </c>
      <c r="H5" s="55">
        <v>2045</v>
      </c>
      <c r="I5" s="55">
        <v>2050</v>
      </c>
    </row>
    <row r="6" spans="1:9">
      <c r="A6" t="s">
        <v>158</v>
      </c>
      <c r="B6" s="4">
        <v>0.21504139200000003</v>
      </c>
      <c r="C6" s="4">
        <v>0.85209299999999999</v>
      </c>
      <c r="E6" s="86"/>
      <c r="F6" s="86"/>
      <c r="G6" s="86"/>
      <c r="H6" s="86"/>
      <c r="I6" s="86"/>
    </row>
    <row r="7" spans="1:9">
      <c r="A7" s="4" t="s">
        <v>90</v>
      </c>
      <c r="B7" s="4">
        <v>0.37297152</v>
      </c>
      <c r="C7" s="4">
        <v>0.39764340000000004</v>
      </c>
    </row>
    <row r="8" spans="1:9">
      <c r="A8" s="4" t="s">
        <v>93</v>
      </c>
      <c r="B8" s="4">
        <v>0.1748304</v>
      </c>
      <c r="C8" s="4">
        <v>0.34083720000000001</v>
      </c>
    </row>
    <row r="9" spans="1:9">
      <c r="A9" s="4" t="s">
        <v>99</v>
      </c>
      <c r="B9" s="4">
        <v>0.11655360000000001</v>
      </c>
      <c r="C9" s="4">
        <v>5.6806200000000001E-2</v>
      </c>
    </row>
    <row r="10" spans="1:9">
      <c r="A10" s="4" t="s">
        <v>101</v>
      </c>
      <c r="B10" s="4">
        <v>0.34966079999999999</v>
      </c>
      <c r="C10" s="4">
        <v>0.28403100000000003</v>
      </c>
    </row>
    <row r="11" spans="1:9">
      <c r="A11" s="4" t="s">
        <v>103</v>
      </c>
      <c r="B11" s="4">
        <v>1.5336000000000001</v>
      </c>
      <c r="C11" s="4">
        <v>0.79528680000000007</v>
      </c>
    </row>
    <row r="12" spans="1:9">
      <c r="A12" s="4" t="s">
        <v>56</v>
      </c>
      <c r="B12" s="4">
        <v>3.1898880000000003</v>
      </c>
      <c r="C12" s="4">
        <v>3.0495960000000002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D845-FC4D-47B8-9BF6-7F1D260086BD}">
  <sheetPr>
    <tabColor rgb="FFFF0000"/>
  </sheetPr>
  <dimension ref="A1:I12"/>
  <sheetViews>
    <sheetView workbookViewId="0">
      <selection activeCell="E18" sqref="B18:E29"/>
    </sheetView>
  </sheetViews>
  <sheetFormatPr defaultColWidth="11.44140625" defaultRowHeight="14.4"/>
  <cols>
    <col min="1" max="1" width="20.33203125" style="4" customWidth="1"/>
    <col min="2" max="16384" width="11.44140625" style="4"/>
  </cols>
  <sheetData>
    <row r="1" spans="1:9">
      <c r="A1" s="4" t="s">
        <v>500</v>
      </c>
    </row>
    <row r="2" spans="1:9">
      <c r="A2" s="4" t="s">
        <v>501</v>
      </c>
    </row>
    <row r="3" spans="1:9">
      <c r="A3" s="4" t="s">
        <v>390</v>
      </c>
    </row>
    <row r="5" spans="1:9">
      <c r="A5" s="4" t="s">
        <v>26</v>
      </c>
      <c r="B5" s="55">
        <v>2018</v>
      </c>
      <c r="C5" s="55">
        <v>2021</v>
      </c>
      <c r="D5" s="55">
        <v>2025</v>
      </c>
      <c r="E5" s="55">
        <v>2030</v>
      </c>
      <c r="F5" s="55">
        <v>2035</v>
      </c>
      <c r="G5" s="55">
        <v>2040</v>
      </c>
      <c r="H5" s="55">
        <v>2045</v>
      </c>
      <c r="I5" s="55">
        <v>2050</v>
      </c>
    </row>
    <row r="6" spans="1:9">
      <c r="A6" t="s">
        <v>158</v>
      </c>
      <c r="B6" s="4">
        <v>0.23767732800000002</v>
      </c>
      <c r="C6" s="4">
        <v>0.94178700000000004</v>
      </c>
      <c r="E6" s="86"/>
      <c r="F6" s="86"/>
      <c r="G6" s="86"/>
      <c r="H6" s="86"/>
      <c r="I6" s="86"/>
    </row>
    <row r="7" spans="1:9">
      <c r="A7" s="4" t="s">
        <v>90</v>
      </c>
      <c r="B7" s="4">
        <v>0.41223167999999999</v>
      </c>
      <c r="C7" s="4">
        <v>0.43950060000000007</v>
      </c>
    </row>
    <row r="8" spans="1:9">
      <c r="A8" s="4" t="s">
        <v>93</v>
      </c>
      <c r="B8" s="4">
        <v>0.19323360000000001</v>
      </c>
      <c r="C8" s="4">
        <v>0.37671480000000002</v>
      </c>
    </row>
    <row r="9" spans="1:9">
      <c r="A9" s="4" t="s">
        <v>99</v>
      </c>
      <c r="B9" s="4">
        <v>0.1288224</v>
      </c>
      <c r="C9" s="4">
        <v>6.2785800000000003E-2</v>
      </c>
    </row>
    <row r="10" spans="1:9">
      <c r="A10" s="4" t="s">
        <v>101</v>
      </c>
      <c r="B10" s="4">
        <v>0.38646720000000001</v>
      </c>
      <c r="C10" s="4">
        <v>0.31392900000000007</v>
      </c>
    </row>
    <row r="11" spans="1:9">
      <c r="A11" s="4" t="s">
        <v>103</v>
      </c>
      <c r="B11" s="4">
        <v>1.6746912000000003</v>
      </c>
      <c r="C11" s="4">
        <v>0.87900120000000015</v>
      </c>
    </row>
    <row r="12" spans="1:9">
      <c r="A12" s="4" t="s">
        <v>56</v>
      </c>
      <c r="B12" s="4">
        <v>3.3739200000000005</v>
      </c>
      <c r="C12" s="4">
        <v>3.2289840000000005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28"/>
  <sheetViews>
    <sheetView tabSelected="1" zoomScaleNormal="100" workbookViewId="0">
      <pane xSplit="1" topLeftCell="B1" activePane="topRight" state="frozen"/>
      <selection pane="topRight" activeCell="D12" sqref="A1:XFD1048576"/>
    </sheetView>
  </sheetViews>
  <sheetFormatPr defaultColWidth="11.44140625" defaultRowHeight="14.4"/>
  <cols>
    <col min="1" max="1" width="33.5546875" style="4" customWidth="1"/>
    <col min="2" max="2" width="26.109375" style="4" customWidth="1"/>
    <col min="3" max="16384" width="11.44140625" style="4"/>
  </cols>
  <sheetData>
    <row r="1" spans="1:10">
      <c r="A1" s="4" t="s">
        <v>409</v>
      </c>
    </row>
    <row r="2" spans="1:10">
      <c r="A2" s="4" t="s">
        <v>345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482</v>
      </c>
      <c r="B6" s="4" t="s">
        <v>303</v>
      </c>
      <c r="C6" s="26">
        <v>3</v>
      </c>
      <c r="D6" s="26">
        <v>3</v>
      </c>
      <c r="E6" s="26">
        <v>3</v>
      </c>
      <c r="F6" s="26">
        <v>3</v>
      </c>
      <c r="G6" s="26">
        <v>3</v>
      </c>
      <c r="H6" s="26">
        <v>3</v>
      </c>
      <c r="I6" s="26">
        <v>3</v>
      </c>
      <c r="J6" s="26">
        <v>3</v>
      </c>
    </row>
    <row r="7" spans="1:10">
      <c r="A7"/>
      <c r="C7" s="26"/>
      <c r="D7" s="26"/>
      <c r="E7" s="26"/>
      <c r="F7" s="26"/>
      <c r="G7" s="26"/>
      <c r="H7" s="26"/>
      <c r="I7" s="26"/>
      <c r="J7" s="26"/>
    </row>
    <row r="8" spans="1:10">
      <c r="A8"/>
      <c r="C8" s="26"/>
      <c r="D8" s="26"/>
      <c r="E8" s="26"/>
      <c r="F8" s="26"/>
      <c r="G8" s="26"/>
      <c r="H8" s="26"/>
      <c r="I8" s="26"/>
      <c r="J8" s="26"/>
    </row>
    <row r="9" spans="1:10">
      <c r="A9"/>
      <c r="C9" s="26"/>
      <c r="D9" s="26"/>
      <c r="E9" s="26"/>
      <c r="F9" s="26"/>
      <c r="G9" s="26"/>
      <c r="H9" s="26"/>
      <c r="I9" s="26"/>
      <c r="J9" s="26"/>
    </row>
    <row r="10" spans="1:10">
      <c r="A10"/>
      <c r="C10" s="26"/>
      <c r="D10" s="26"/>
      <c r="E10" s="26"/>
      <c r="F10" s="26"/>
      <c r="G10" s="26"/>
      <c r="H10" s="26"/>
      <c r="I10" s="26"/>
      <c r="J10" s="26"/>
    </row>
    <row r="11" spans="1:10">
      <c r="A11"/>
      <c r="C11" s="26"/>
      <c r="D11" s="26"/>
      <c r="E11" s="26"/>
      <c r="F11" s="26"/>
      <c r="G11" s="26"/>
      <c r="H11" s="26"/>
      <c r="I11" s="26"/>
      <c r="J11" s="26"/>
    </row>
    <row r="12" spans="1:10">
      <c r="A12"/>
      <c r="C12" s="26"/>
      <c r="D12" s="26"/>
      <c r="E12" s="26"/>
      <c r="F12" s="26"/>
      <c r="G12" s="26"/>
      <c r="H12" s="26"/>
      <c r="I12" s="26"/>
      <c r="J12" s="26"/>
    </row>
    <row r="13" spans="1:10">
      <c r="A13"/>
      <c r="C13" s="26"/>
      <c r="D13" s="26"/>
      <c r="E13" s="26"/>
      <c r="F13" s="26"/>
      <c r="G13" s="26"/>
      <c r="H13" s="26"/>
      <c r="I13" s="26"/>
      <c r="J13" s="26"/>
    </row>
    <row r="14" spans="1:10">
      <c r="A14"/>
      <c r="C14" s="26"/>
      <c r="D14" s="26"/>
      <c r="E14" s="26"/>
      <c r="F14" s="26"/>
      <c r="G14" s="26"/>
      <c r="H14" s="26"/>
      <c r="I14" s="26"/>
      <c r="J14" s="26"/>
    </row>
    <row r="15" spans="1:10">
      <c r="A15"/>
      <c r="C15" s="26"/>
      <c r="D15" s="26"/>
      <c r="E15" s="26"/>
      <c r="F15" s="26"/>
      <c r="G15" s="26"/>
      <c r="H15" s="26"/>
      <c r="I15" s="26"/>
      <c r="J15" s="26"/>
    </row>
    <row r="16" spans="1:10">
      <c r="A16"/>
      <c r="C16" s="26"/>
      <c r="D16" s="26"/>
      <c r="E16" s="26"/>
      <c r="F16" s="26"/>
      <c r="G16" s="26"/>
      <c r="H16" s="26"/>
      <c r="I16" s="26"/>
      <c r="J16" s="26"/>
    </row>
    <row r="17" spans="1:10">
      <c r="A17"/>
      <c r="C17" s="26"/>
      <c r="D17" s="26"/>
      <c r="E17" s="26"/>
      <c r="F17" s="26"/>
      <c r="G17" s="26"/>
      <c r="H17" s="26"/>
      <c r="I17" s="26"/>
      <c r="J17" s="26"/>
    </row>
    <row r="18" spans="1:10">
      <c r="A18"/>
      <c r="C18" s="26"/>
      <c r="D18" s="26"/>
      <c r="E18" s="26"/>
      <c r="F18" s="26"/>
      <c r="G18" s="26"/>
      <c r="H18" s="26"/>
      <c r="I18" s="26"/>
      <c r="J18" s="26"/>
    </row>
    <row r="19" spans="1:10">
      <c r="A19"/>
      <c r="C19" s="26"/>
      <c r="D19" s="26"/>
      <c r="E19" s="26"/>
      <c r="F19" s="26"/>
      <c r="G19" s="26"/>
      <c r="H19" s="26"/>
      <c r="I19" s="26"/>
      <c r="J19" s="26"/>
    </row>
    <row r="20" spans="1:10">
      <c r="A20"/>
      <c r="C20" s="26"/>
      <c r="D20" s="26"/>
      <c r="E20" s="26"/>
      <c r="F20" s="26"/>
      <c r="G20" s="26"/>
      <c r="H20" s="26"/>
      <c r="I20" s="26"/>
      <c r="J20" s="26"/>
    </row>
    <row r="21" spans="1:10">
      <c r="A21"/>
      <c r="C21" s="26"/>
      <c r="D21" s="26"/>
      <c r="E21" s="26"/>
      <c r="F21" s="26"/>
      <c r="G21" s="26"/>
      <c r="H21" s="26"/>
      <c r="I21" s="26"/>
      <c r="J21" s="26"/>
    </row>
    <row r="22" spans="1:10">
      <c r="A22"/>
      <c r="C22" s="26"/>
      <c r="D22" s="26"/>
      <c r="E22" s="26"/>
      <c r="F22" s="26"/>
      <c r="G22" s="26"/>
      <c r="H22" s="26"/>
      <c r="I22" s="26"/>
      <c r="J22" s="26"/>
    </row>
    <row r="23" spans="1:10">
      <c r="A23"/>
      <c r="C23" s="26"/>
      <c r="D23" s="26"/>
      <c r="E23" s="26"/>
      <c r="F23" s="26"/>
      <c r="G23" s="26"/>
      <c r="H23" s="26"/>
      <c r="I23" s="26"/>
      <c r="J23" s="26"/>
    </row>
    <row r="24" spans="1:10">
      <c r="A24"/>
      <c r="C24" s="26"/>
      <c r="D24" s="26"/>
      <c r="E24" s="26"/>
      <c r="F24" s="26"/>
      <c r="G24" s="26"/>
      <c r="H24" s="26"/>
      <c r="I24" s="26"/>
      <c r="J24" s="26"/>
    </row>
    <row r="25" spans="1:10">
      <c r="A25"/>
      <c r="C25" s="26"/>
      <c r="D25" s="26"/>
      <c r="E25" s="26"/>
      <c r="F25" s="26"/>
      <c r="G25" s="26"/>
      <c r="H25" s="26"/>
      <c r="I25" s="26"/>
      <c r="J25" s="26"/>
    </row>
    <row r="26" spans="1:10">
      <c r="A26"/>
      <c r="C26" s="26"/>
      <c r="D26" s="26"/>
      <c r="E26" s="26"/>
      <c r="F26" s="26"/>
      <c r="G26" s="26"/>
      <c r="H26" s="26"/>
      <c r="I26" s="26"/>
      <c r="J26" s="26"/>
    </row>
    <row r="27" spans="1:10">
      <c r="A27"/>
      <c r="C27" s="26"/>
      <c r="D27" s="26"/>
      <c r="E27" s="26"/>
      <c r="F27" s="26"/>
      <c r="G27" s="26"/>
      <c r="H27" s="26"/>
      <c r="I27" s="26"/>
      <c r="J27" s="26"/>
    </row>
    <row r="28" spans="1:10">
      <c r="A28"/>
      <c r="C28" s="26"/>
      <c r="D28" s="26"/>
      <c r="E28" s="26"/>
      <c r="F28" s="26"/>
      <c r="G28" s="26"/>
      <c r="H28" s="26"/>
      <c r="I28" s="26"/>
      <c r="J28" s="26"/>
    </row>
    <row r="29" spans="1:10">
      <c r="A29"/>
      <c r="C29" s="26"/>
      <c r="D29" s="26"/>
      <c r="E29" s="26"/>
      <c r="F29" s="26"/>
      <c r="G29" s="26"/>
      <c r="H29" s="26"/>
      <c r="I29" s="26"/>
      <c r="J29" s="26"/>
    </row>
    <row r="30" spans="1:10">
      <c r="A30"/>
      <c r="C30" s="26"/>
      <c r="D30" s="26"/>
      <c r="E30" s="26"/>
      <c r="F30" s="26"/>
      <c r="G30" s="26"/>
      <c r="H30" s="26"/>
      <c r="I30" s="26"/>
      <c r="J30" s="26"/>
    </row>
    <row r="31" spans="1:10">
      <c r="A31"/>
      <c r="C31" s="26"/>
      <c r="D31" s="26"/>
      <c r="E31" s="26"/>
      <c r="F31" s="26"/>
      <c r="G31" s="26"/>
      <c r="H31" s="26"/>
      <c r="I31" s="26"/>
      <c r="J31" s="26"/>
    </row>
    <row r="32" spans="1:10">
      <c r="A32"/>
      <c r="C32" s="26"/>
      <c r="D32" s="26"/>
      <c r="E32" s="26"/>
      <c r="F32" s="26"/>
      <c r="G32" s="26"/>
      <c r="H32" s="26"/>
      <c r="I32" s="26"/>
      <c r="J32" s="26"/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/>
      <c r="C34" s="26"/>
      <c r="D34" s="26"/>
      <c r="E34" s="26"/>
      <c r="F34" s="26"/>
      <c r="G34" s="26"/>
      <c r="H34" s="26"/>
      <c r="I34" s="26"/>
      <c r="J34" s="26"/>
    </row>
    <row r="35" spans="1:10">
      <c r="A35"/>
      <c r="C35" s="26"/>
      <c r="D35" s="26"/>
      <c r="E35" s="26"/>
      <c r="F35" s="26"/>
      <c r="G35" s="26"/>
      <c r="H35" s="26"/>
      <c r="I35" s="26"/>
      <c r="J35" s="26"/>
    </row>
    <row r="36" spans="1:10">
      <c r="A36"/>
      <c r="C36" s="26"/>
      <c r="D36" s="26"/>
      <c r="E36" s="26"/>
      <c r="F36" s="26"/>
      <c r="G36" s="26"/>
      <c r="H36" s="26"/>
      <c r="I36" s="26"/>
      <c r="J36" s="26"/>
    </row>
    <row r="37" spans="1:10">
      <c r="A37"/>
      <c r="C37" s="26"/>
      <c r="D37" s="26"/>
      <c r="E37" s="26"/>
      <c r="F37" s="26"/>
      <c r="G37" s="26"/>
      <c r="H37" s="26"/>
      <c r="I37" s="26"/>
      <c r="J37" s="26"/>
    </row>
    <row r="38" spans="1:10">
      <c r="A38"/>
      <c r="C38" s="26"/>
      <c r="D38" s="26"/>
      <c r="E38" s="26"/>
      <c r="F38" s="26"/>
      <c r="G38" s="26"/>
      <c r="H38" s="26"/>
      <c r="I38" s="26"/>
      <c r="J38" s="26"/>
    </row>
    <row r="39" spans="1:10">
      <c r="A39"/>
      <c r="C39" s="26"/>
      <c r="D39" s="26"/>
      <c r="E39" s="26"/>
      <c r="F39" s="26"/>
      <c r="G39" s="26"/>
      <c r="H39" s="26"/>
      <c r="I39" s="26"/>
      <c r="J39" s="26"/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A42"/>
      <c r="C42" s="26"/>
      <c r="D42" s="26"/>
      <c r="E42" s="26"/>
      <c r="F42" s="26"/>
      <c r="G42" s="26"/>
      <c r="H42" s="26"/>
      <c r="I42" s="26"/>
      <c r="J42" s="26"/>
    </row>
    <row r="43" spans="1:10">
      <c r="A43"/>
      <c r="C43" s="26"/>
      <c r="D43" s="26"/>
      <c r="E43" s="26"/>
      <c r="F43" s="26"/>
      <c r="G43" s="26"/>
      <c r="H43" s="26"/>
      <c r="I43" s="26"/>
      <c r="J43" s="26"/>
    </row>
    <row r="44" spans="1:10">
      <c r="A44"/>
      <c r="C44" s="26"/>
      <c r="D44" s="26"/>
      <c r="E44" s="26"/>
      <c r="F44" s="26"/>
      <c r="G44" s="26"/>
      <c r="H44" s="26"/>
      <c r="I44" s="26"/>
      <c r="J44" s="26"/>
    </row>
    <row r="45" spans="1:10">
      <c r="A45"/>
      <c r="C45" s="26"/>
      <c r="D45" s="26"/>
      <c r="E45" s="26"/>
      <c r="F45" s="26"/>
      <c r="G45" s="26"/>
      <c r="H45" s="26"/>
      <c r="I45" s="26"/>
      <c r="J45" s="26"/>
    </row>
    <row r="46" spans="1:10">
      <c r="A46"/>
      <c r="C46" s="26"/>
      <c r="D46" s="26"/>
      <c r="E46" s="26"/>
      <c r="F46" s="26"/>
      <c r="G46" s="26"/>
      <c r="H46" s="26"/>
      <c r="I46" s="26"/>
      <c r="J46" s="26"/>
    </row>
    <row r="47" spans="1:10">
      <c r="A47"/>
      <c r="C47" s="26"/>
      <c r="D47" s="26"/>
      <c r="E47" s="26"/>
      <c r="F47" s="26"/>
      <c r="G47" s="26"/>
      <c r="H47" s="26"/>
      <c r="I47" s="26"/>
      <c r="J47" s="26"/>
    </row>
    <row r="48" spans="1:10">
      <c r="A48"/>
      <c r="C48" s="26"/>
      <c r="D48" s="26"/>
      <c r="E48" s="26"/>
      <c r="F48" s="26"/>
      <c r="G48" s="26"/>
      <c r="H48" s="26"/>
      <c r="I48" s="26"/>
      <c r="J48" s="26"/>
    </row>
    <row r="49" spans="1:10">
      <c r="A49"/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C227" s="26"/>
      <c r="D227" s="26"/>
      <c r="E227" s="26"/>
      <c r="F227" s="26"/>
      <c r="G227" s="26"/>
      <c r="H227" s="26"/>
      <c r="I227" s="26"/>
      <c r="J227" s="26"/>
    </row>
    <row r="228" spans="1:10">
      <c r="C228" s="26"/>
      <c r="D228" s="26"/>
      <c r="E228" s="26"/>
      <c r="F228" s="26"/>
      <c r="G228" s="26"/>
      <c r="H228" s="26"/>
      <c r="I228" s="26"/>
      <c r="J228" s="26"/>
    </row>
  </sheetData>
  <pageMargins left="0.7" right="0.7" top="0.78740157499999996" bottom="0.78740157499999996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topLeftCell="A57" workbookViewId="0">
      <selection activeCell="C65" sqref="C65"/>
    </sheetView>
  </sheetViews>
  <sheetFormatPr defaultColWidth="11.44140625" defaultRowHeight="14.4"/>
  <cols>
    <col min="1" max="1" width="21.44140625" customWidth="1"/>
    <col min="2" max="2" width="24.44140625" customWidth="1"/>
    <col min="3" max="3" width="18.5546875" style="19" bestFit="1" customWidth="1"/>
    <col min="4" max="4" width="16.44140625" style="19" customWidth="1"/>
    <col min="5" max="10" width="18.5546875" style="19" bestFit="1" customWidth="1"/>
    <col min="13" max="15" width="12.109375" bestFit="1" customWidth="1"/>
  </cols>
  <sheetData>
    <row r="1" spans="1:12">
      <c r="A1" t="s">
        <v>410</v>
      </c>
    </row>
    <row r="2" spans="1:12">
      <c r="A2" t="s">
        <v>12</v>
      </c>
    </row>
    <row r="3" spans="1:12">
      <c r="A3" t="s">
        <v>365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486</v>
      </c>
      <c r="B6" t="s">
        <v>487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482</v>
      </c>
      <c r="B7" t="s">
        <v>487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485</v>
      </c>
      <c r="B8" t="s">
        <v>487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483</v>
      </c>
      <c r="B9" t="s">
        <v>487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479</v>
      </c>
      <c r="B10" t="s">
        <v>487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478</v>
      </c>
      <c r="B11" t="s">
        <v>487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480</v>
      </c>
      <c r="B12" t="s">
        <v>487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484</v>
      </c>
      <c r="B13" t="s">
        <v>487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486</v>
      </c>
      <c r="B14" t="s">
        <v>488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482</v>
      </c>
      <c r="B15" t="s">
        <v>488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485</v>
      </c>
      <c r="B16" t="s">
        <v>488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483</v>
      </c>
      <c r="B17" t="s">
        <v>488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479</v>
      </c>
      <c r="B18" t="s">
        <v>488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478</v>
      </c>
      <c r="B19" t="s">
        <v>488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480</v>
      </c>
      <c r="B20" t="s">
        <v>488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484</v>
      </c>
      <c r="B21" t="s">
        <v>488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486</v>
      </c>
      <c r="B22" t="s">
        <v>489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482</v>
      </c>
      <c r="B23" t="s">
        <v>489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485</v>
      </c>
      <c r="B24" t="s">
        <v>489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483</v>
      </c>
      <c r="B25" t="s">
        <v>489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479</v>
      </c>
      <c r="B26" t="s">
        <v>489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478</v>
      </c>
      <c r="B27" t="s">
        <v>489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480</v>
      </c>
      <c r="B28" t="s">
        <v>489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484</v>
      </c>
      <c r="B29" t="s">
        <v>489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486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482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485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483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479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478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480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484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486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482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485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483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479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478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480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484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482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485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483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479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478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480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484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486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482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485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483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479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478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480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484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486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482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485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483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479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478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480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484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486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482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485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483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479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478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480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484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486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482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485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483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479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478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480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484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486</v>
      </c>
      <c r="B85" t="s">
        <v>99</v>
      </c>
      <c r="C85" s="45">
        <v>2.3999999999999998E-3</v>
      </c>
      <c r="D85" s="45">
        <v>2.3999999999999998E-3</v>
      </c>
      <c r="E85" s="45">
        <v>2.3999999999999998E-3</v>
      </c>
      <c r="F85" s="45">
        <v>2.3999999999999998E-3</v>
      </c>
      <c r="G85" s="45">
        <v>2.3999999999999998E-3</v>
      </c>
      <c r="H85" s="45">
        <v>2.3999999999999998E-3</v>
      </c>
      <c r="I85" s="45">
        <v>2.3999999999999998E-3</v>
      </c>
      <c r="J85" s="45">
        <v>2.3999999999999998E-3</v>
      </c>
    </row>
    <row r="86" spans="1:10">
      <c r="A86" t="s">
        <v>485</v>
      </c>
      <c r="B86" t="s">
        <v>99</v>
      </c>
      <c r="C86" s="45">
        <v>7.9699999999999997E-3</v>
      </c>
      <c r="D86" s="45">
        <v>7.9699999999999997E-3</v>
      </c>
      <c r="E86" s="45">
        <v>7.9699999999999997E-3</v>
      </c>
      <c r="F86" s="45">
        <v>7.9699999999999997E-3</v>
      </c>
      <c r="G86" s="45">
        <v>7.9699999999999997E-3</v>
      </c>
      <c r="H86" s="45">
        <v>7.9699999999999997E-3</v>
      </c>
      <c r="I86" s="45">
        <v>7.9699999999999997E-3</v>
      </c>
      <c r="J86" s="45">
        <v>7.9699999999999997E-3</v>
      </c>
    </row>
    <row r="87" spans="1:10">
      <c r="A87" t="s">
        <v>483</v>
      </c>
      <c r="B87" t="s">
        <v>99</v>
      </c>
      <c r="C87" s="45">
        <v>2.0000000000000001E-4</v>
      </c>
      <c r="D87" s="45">
        <v>2.0000000000000001E-4</v>
      </c>
      <c r="E87" s="45">
        <v>2.0000000000000001E-4</v>
      </c>
      <c r="F87" s="45">
        <v>2.0000000000000001E-4</v>
      </c>
      <c r="G87" s="45">
        <v>2.0000000000000001E-4</v>
      </c>
      <c r="H87" s="45">
        <v>2.0000000000000001E-4</v>
      </c>
      <c r="I87" s="45">
        <v>2.0000000000000001E-4</v>
      </c>
      <c r="J87" s="45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285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286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287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288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289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290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291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292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293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294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295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296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297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298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307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285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286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287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288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289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290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291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292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293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294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295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296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297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298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307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326</v>
      </c>
    </row>
    <row r="649" spans="2:11">
      <c r="K649" s="14" t="s">
        <v>326</v>
      </c>
    </row>
    <row r="650" spans="2:11">
      <c r="K650" s="14" t="s">
        <v>326</v>
      </c>
    </row>
    <row r="651" spans="2:11">
      <c r="K651" s="14" t="s">
        <v>326</v>
      </c>
    </row>
    <row r="652" spans="2:11">
      <c r="K652" s="14" t="s">
        <v>326</v>
      </c>
    </row>
    <row r="653" spans="2:11">
      <c r="K653" s="14" t="s">
        <v>326</v>
      </c>
    </row>
    <row r="654" spans="2:11">
      <c r="K654" s="14" t="s">
        <v>326</v>
      </c>
    </row>
    <row r="655" spans="2:11">
      <c r="K655" s="14" t="s">
        <v>326</v>
      </c>
    </row>
    <row r="656" spans="2:11">
      <c r="K656" s="14" t="s">
        <v>326</v>
      </c>
    </row>
    <row r="657" spans="3:11">
      <c r="K657" s="14" t="s">
        <v>326</v>
      </c>
    </row>
    <row r="658" spans="3:11">
      <c r="K658" s="14" t="s">
        <v>326</v>
      </c>
    </row>
    <row r="659" spans="3:11">
      <c r="K659" s="14" t="s">
        <v>326</v>
      </c>
    </row>
    <row r="660" spans="3:11">
      <c r="K660" s="14" t="s">
        <v>326</v>
      </c>
    </row>
    <row r="661" spans="3:11">
      <c r="K661" s="14" t="s">
        <v>326</v>
      </c>
    </row>
    <row r="662" spans="3:11">
      <c r="K662" s="14" t="s">
        <v>326</v>
      </c>
    </row>
    <row r="663" spans="3:11">
      <c r="K663" s="14" t="s">
        <v>326</v>
      </c>
    </row>
    <row r="664" spans="3:11">
      <c r="K664" s="14" t="s">
        <v>326</v>
      </c>
    </row>
    <row r="665" spans="3:11">
      <c r="K665" s="14" t="s">
        <v>326</v>
      </c>
    </row>
    <row r="666" spans="3:11">
      <c r="K666" s="14" t="s">
        <v>326</v>
      </c>
    </row>
    <row r="667" spans="3:11">
      <c r="K667" s="14" t="s">
        <v>326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4140625" defaultRowHeight="14.4"/>
  <cols>
    <col min="1" max="1" width="20.88671875" style="17" customWidth="1"/>
    <col min="2" max="2" width="15.5546875" bestFit="1" customWidth="1"/>
  </cols>
  <sheetData>
    <row r="1" spans="1:10">
      <c r="A1" s="17" t="s">
        <v>411</v>
      </c>
      <c r="C1" s="19"/>
      <c r="D1" s="19"/>
      <c r="E1" s="19"/>
      <c r="F1" s="47" t="s">
        <v>481</v>
      </c>
      <c r="G1" s="19"/>
      <c r="H1" s="19"/>
      <c r="I1" s="19"/>
      <c r="J1" s="19"/>
    </row>
    <row r="2" spans="1:10">
      <c r="A2" s="17" t="s">
        <v>346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topLeftCell="A5" workbookViewId="0">
      <selection activeCell="A4" sqref="A4"/>
    </sheetView>
  </sheetViews>
  <sheetFormatPr defaultColWidth="11.44140625" defaultRowHeight="14.4"/>
  <sheetData>
    <row r="1" spans="1:10">
      <c r="A1" t="s">
        <v>412</v>
      </c>
    </row>
    <row r="2" spans="1:10">
      <c r="A2" t="s">
        <v>13</v>
      </c>
    </row>
    <row r="3" spans="1:10">
      <c r="A3" t="s">
        <v>365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4140625" defaultRowHeight="14.4"/>
  <sheetData>
    <row r="1" spans="1:9">
      <c r="A1" s="17" t="s">
        <v>414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348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378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7"/>
  <sheetViews>
    <sheetView zoomScaleNormal="100" workbookViewId="0">
      <selection activeCell="I16" sqref="I16"/>
    </sheetView>
  </sheetViews>
  <sheetFormatPr defaultColWidth="11.44140625" defaultRowHeight="14.4"/>
  <cols>
    <col min="1" max="1" width="24.109375" customWidth="1"/>
    <col min="2" max="2" width="24" customWidth="1"/>
    <col min="3" max="3" width="23.44140625" bestFit="1" customWidth="1"/>
    <col min="10" max="10" width="11.88671875" bestFit="1" customWidth="1"/>
  </cols>
  <sheetData>
    <row r="1" spans="1:13">
      <c r="A1" t="s">
        <v>415</v>
      </c>
    </row>
    <row r="2" spans="1:13">
      <c r="A2" t="s">
        <v>349</v>
      </c>
    </row>
    <row r="3" spans="1:13">
      <c r="A3" t="s">
        <v>390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I6" s="34"/>
      <c r="J6" s="35"/>
      <c r="K6" s="35"/>
      <c r="L6" s="35"/>
      <c r="M6" s="35"/>
    </row>
    <row r="38" spans="9:13">
      <c r="I38" s="34"/>
      <c r="J38" s="35"/>
      <c r="K38" s="35"/>
      <c r="L38" s="35"/>
      <c r="M38" s="35"/>
    </row>
    <row r="74" spans="9:13">
      <c r="I74" s="34"/>
      <c r="J74" s="35"/>
      <c r="K74" s="35"/>
      <c r="L74" s="35"/>
      <c r="M74" s="35"/>
    </row>
    <row r="107" spans="9:13">
      <c r="I107" s="34"/>
      <c r="J107" s="35"/>
      <c r="K107" s="35"/>
      <c r="L107" s="35"/>
      <c r="M107" s="35"/>
    </row>
    <row r="131" spans="9:13">
      <c r="I131" s="34"/>
      <c r="J131" s="35"/>
      <c r="K131" s="35"/>
      <c r="L131" s="35"/>
      <c r="M131" s="35"/>
    </row>
    <row r="168" spans="9:13">
      <c r="I168" s="34"/>
      <c r="J168" s="35"/>
      <c r="K168" s="35"/>
      <c r="L168" s="35"/>
      <c r="M168" s="35"/>
    </row>
    <row r="206" spans="9:13">
      <c r="I206" s="34"/>
      <c r="J206" s="35"/>
      <c r="K206" s="35"/>
      <c r="L206" s="35"/>
      <c r="M206" s="35"/>
    </row>
    <row r="237" spans="9:13">
      <c r="I237" s="34"/>
      <c r="J237" s="35"/>
      <c r="K237" s="35"/>
      <c r="L237" s="35"/>
      <c r="M237" s="35"/>
    </row>
    <row r="269" spans="9:13">
      <c r="I269" s="34"/>
      <c r="J269" s="35"/>
      <c r="K269" s="35"/>
      <c r="L269" s="35"/>
      <c r="M269" s="35"/>
    </row>
    <row r="304" spans="9:13">
      <c r="I304" s="34"/>
      <c r="J304" s="35"/>
      <c r="K304" s="35"/>
      <c r="L304" s="35"/>
      <c r="M304" s="35"/>
    </row>
    <row r="338" spans="9:13">
      <c r="I338" s="34"/>
      <c r="J338" s="35"/>
      <c r="K338" s="35"/>
      <c r="L338" s="35"/>
      <c r="M338" s="35"/>
    </row>
    <row r="373" spans="9:13">
      <c r="I373" s="34"/>
      <c r="J373" s="35"/>
      <c r="K373" s="35"/>
      <c r="L373" s="35"/>
      <c r="M373" s="35"/>
    </row>
    <row r="406" spans="9:13">
      <c r="I406" s="34"/>
      <c r="J406" s="35"/>
      <c r="K406" s="35"/>
      <c r="L406" s="35"/>
      <c r="M406" s="35"/>
    </row>
    <row r="438" spans="9:13">
      <c r="I438" s="34"/>
      <c r="J438" s="35"/>
      <c r="K438" s="35"/>
      <c r="L438" s="35"/>
      <c r="M438" s="35"/>
    </row>
    <row r="475" spans="9:13">
      <c r="I475" s="34"/>
      <c r="J475" s="35"/>
      <c r="K475" s="35"/>
      <c r="L475" s="35"/>
      <c r="M475" s="35"/>
    </row>
    <row r="509" spans="9:13">
      <c r="I509" s="34"/>
      <c r="J509" s="35"/>
      <c r="K509" s="35"/>
      <c r="L509" s="35"/>
      <c r="M509" s="35"/>
    </row>
    <row r="543" spans="9:13">
      <c r="I543" s="34"/>
      <c r="J543" s="35"/>
      <c r="K543" s="35"/>
      <c r="L543" s="35"/>
      <c r="M543" s="35"/>
    </row>
    <row r="574" spans="9:13">
      <c r="I574" s="34"/>
      <c r="J574" s="35"/>
      <c r="K574" s="35"/>
      <c r="L574" s="35"/>
      <c r="M574" s="35"/>
    </row>
    <row r="603" spans="9:13">
      <c r="I603" s="34"/>
      <c r="J603" s="35"/>
      <c r="K603" s="35"/>
      <c r="L603" s="35"/>
      <c r="M603" s="35"/>
    </row>
    <row r="630" spans="9:13">
      <c r="I630" s="34"/>
      <c r="J630" s="35"/>
      <c r="K630" s="35"/>
      <c r="L630" s="35"/>
      <c r="M630" s="35"/>
    </row>
    <row r="664" spans="9:13">
      <c r="I664" s="34"/>
      <c r="J664" s="35"/>
      <c r="K664" s="35"/>
      <c r="L664" s="35"/>
      <c r="M664" s="35"/>
    </row>
    <row r="706" spans="9:13">
      <c r="I706" s="34"/>
      <c r="J706" s="35"/>
      <c r="K706" s="35"/>
      <c r="L706" s="35"/>
      <c r="M706" s="35"/>
    </row>
    <row r="737" spans="9:13">
      <c r="I737" s="34"/>
      <c r="J737" s="35"/>
      <c r="K737" s="35"/>
      <c r="L737" s="35"/>
      <c r="M737" s="35"/>
    </row>
    <row r="769" spans="9:13">
      <c r="I769" s="34"/>
      <c r="J769" s="35"/>
      <c r="K769" s="35"/>
      <c r="L769" s="35"/>
      <c r="M769" s="35"/>
    </row>
    <row r="802" spans="9:13">
      <c r="I802" s="34"/>
      <c r="J802" s="35"/>
      <c r="K802" s="35"/>
      <c r="L802" s="35"/>
      <c r="M802" s="35"/>
    </row>
    <row r="836" spans="9:13">
      <c r="I836" s="34"/>
      <c r="J836" s="35"/>
      <c r="K836" s="35"/>
      <c r="L836" s="35"/>
      <c r="M836" s="35"/>
    </row>
    <row r="868" spans="9:13">
      <c r="I868" s="34"/>
      <c r="J868" s="35"/>
      <c r="K868" s="35"/>
      <c r="L868" s="35"/>
      <c r="M868" s="35"/>
    </row>
    <row r="910" spans="9:13">
      <c r="I910" s="34"/>
      <c r="J910" s="35"/>
      <c r="K910" s="35"/>
      <c r="L910" s="35"/>
      <c r="M910" s="35"/>
    </row>
    <row r="953" spans="1:4">
      <c r="A953" t="s">
        <v>281</v>
      </c>
      <c r="B953" t="s">
        <v>449</v>
      </c>
      <c r="C953" t="s">
        <v>24</v>
      </c>
      <c r="D953">
        <v>0.1</v>
      </c>
    </row>
    <row r="954" spans="1:4">
      <c r="A954" t="s">
        <v>280</v>
      </c>
      <c r="B954" t="s">
        <v>449</v>
      </c>
      <c r="C954" t="s">
        <v>24</v>
      </c>
      <c r="D954">
        <v>18.420000000000002</v>
      </c>
    </row>
    <row r="955" spans="1:4">
      <c r="A955" t="s">
        <v>280</v>
      </c>
      <c r="B955" t="s">
        <v>451</v>
      </c>
      <c r="C955" t="s">
        <v>24</v>
      </c>
      <c r="D955">
        <v>2.96</v>
      </c>
    </row>
    <row r="956" spans="1:4">
      <c r="A956" t="s">
        <v>273</v>
      </c>
      <c r="B956" t="s">
        <v>449</v>
      </c>
      <c r="C956" t="s">
        <v>24</v>
      </c>
      <c r="D956">
        <v>2.1920000000000002</v>
      </c>
    </row>
    <row r="963" spans="9:11">
      <c r="I963" s="39" t="s">
        <v>273</v>
      </c>
      <c r="J963" t="s">
        <v>449</v>
      </c>
      <c r="K963">
        <v>0.10199999999999999</v>
      </c>
    </row>
    <row r="964" spans="9:11">
      <c r="I964" s="39" t="s">
        <v>283</v>
      </c>
      <c r="J964" t="s">
        <v>449</v>
      </c>
      <c r="K964">
        <v>1.024</v>
      </c>
    </row>
    <row r="965" spans="9:11">
      <c r="I965" s="40" t="s">
        <v>280</v>
      </c>
      <c r="J965" t="s">
        <v>449</v>
      </c>
      <c r="K965">
        <v>0.74129999999999996</v>
      </c>
    </row>
    <row r="966" spans="9:11">
      <c r="I966" s="39" t="s">
        <v>281</v>
      </c>
      <c r="J966" t="s">
        <v>449</v>
      </c>
      <c r="K966">
        <v>1.488</v>
      </c>
    </row>
    <row r="967" spans="9:11">
      <c r="I967" s="41" t="s">
        <v>325</v>
      </c>
      <c r="J967" t="s">
        <v>449</v>
      </c>
      <c r="K967">
        <v>23.545866999999998</v>
      </c>
    </row>
  </sheetData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4140625" defaultRowHeight="14.4"/>
  <cols>
    <col min="1" max="1" width="20.88671875" style="17" customWidth="1"/>
    <col min="2" max="2" width="23.44140625" bestFit="1" customWidth="1"/>
  </cols>
  <sheetData>
    <row r="1" spans="1:10">
      <c r="A1" s="17" t="s">
        <v>416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350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AE16" sqref="AE16"/>
    </sheetView>
  </sheetViews>
  <sheetFormatPr defaultColWidth="11.44140625" defaultRowHeight="14.4"/>
  <cols>
    <col min="1" max="2" width="23.44140625" customWidth="1"/>
    <col min="3" max="8" width="17.109375" customWidth="1"/>
    <col min="9" max="21" width="17" customWidth="1"/>
  </cols>
  <sheetData>
    <row r="1" spans="1:20">
      <c r="A1" t="s">
        <v>413</v>
      </c>
    </row>
    <row r="2" spans="1:20">
      <c r="A2" t="s">
        <v>347</v>
      </c>
    </row>
    <row r="3" spans="1:20">
      <c r="A3" t="s">
        <v>382</v>
      </c>
    </row>
    <row r="5" spans="1:20">
      <c r="A5" t="s">
        <v>26</v>
      </c>
      <c r="B5" t="s">
        <v>341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490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491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316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493</v>
      </c>
      <c r="B20" s="2">
        <v>1</v>
      </c>
      <c r="H20">
        <v>1</v>
      </c>
      <c r="N20">
        <v>1</v>
      </c>
    </row>
    <row r="21" spans="1:20">
      <c r="A21" s="2" t="s">
        <v>494</v>
      </c>
      <c r="B21" s="2">
        <v>1</v>
      </c>
      <c r="H21">
        <v>1</v>
      </c>
      <c r="T21">
        <v>1</v>
      </c>
    </row>
    <row r="22" spans="1:20">
      <c r="A22" s="2" t="s">
        <v>494</v>
      </c>
      <c r="B22" s="2">
        <v>2</v>
      </c>
      <c r="H22">
        <v>1</v>
      </c>
      <c r="N22">
        <v>1</v>
      </c>
    </row>
    <row r="23" spans="1:20">
      <c r="A23" s="2" t="s">
        <v>495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317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disablePrompts="1"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R486"/>
  <sheetViews>
    <sheetView zoomScale="85" zoomScaleNormal="85" workbookViewId="0">
      <selection activeCell="M35" sqref="M35"/>
    </sheetView>
  </sheetViews>
  <sheetFormatPr defaultColWidth="9.109375" defaultRowHeight="14.4"/>
  <cols>
    <col min="1" max="1" width="16.77734375" customWidth="1"/>
    <col min="2" max="2" width="17.88671875" bestFit="1" customWidth="1"/>
    <col min="3" max="3" width="5.109375" bestFit="1" customWidth="1"/>
    <col min="4" max="4" width="15.5546875" bestFit="1" customWidth="1"/>
    <col min="5" max="5" width="14.21875" bestFit="1" customWidth="1"/>
    <col min="6" max="6" width="13.21875" bestFit="1" customWidth="1"/>
    <col min="7" max="7" width="14.21875" bestFit="1" customWidth="1"/>
    <col min="8" max="8" width="21.77734375" bestFit="1" customWidth="1"/>
    <col min="9" max="9" width="20.5546875" bestFit="1" customWidth="1"/>
    <col min="10" max="10" width="19.5546875" bestFit="1" customWidth="1"/>
    <col min="11" max="11" width="20.5546875" bestFit="1" customWidth="1"/>
    <col min="12" max="12" width="18.88671875" bestFit="1" customWidth="1"/>
    <col min="13" max="13" width="19.109375" bestFit="1" customWidth="1"/>
    <col min="14" max="14" width="19.44140625" bestFit="1" customWidth="1"/>
  </cols>
  <sheetData>
    <row r="1" spans="1:18">
      <c r="A1" s="87" t="s">
        <v>417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8">
      <c r="A2" s="87" t="s">
        <v>351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8">
      <c r="A3" s="15" t="s">
        <v>383</v>
      </c>
      <c r="B3" s="88"/>
      <c r="C3" s="88"/>
      <c r="D3" s="88"/>
      <c r="E3" s="88"/>
      <c r="F3" s="88"/>
      <c r="G3" s="88"/>
      <c r="H3" s="88"/>
      <c r="I3" s="88"/>
      <c r="J3" s="87"/>
      <c r="K3" s="87"/>
      <c r="L3" s="87"/>
    </row>
    <row r="4" spans="1:18">
      <c r="A4" s="89"/>
      <c r="B4" s="89"/>
      <c r="C4" s="89"/>
      <c r="D4" s="89"/>
      <c r="E4" s="89"/>
      <c r="F4" s="89"/>
      <c r="G4" s="89"/>
      <c r="H4" s="89"/>
      <c r="I4" s="89"/>
      <c r="J4" s="87"/>
      <c r="K4" s="87"/>
      <c r="L4" s="87"/>
    </row>
    <row r="5" spans="1:18">
      <c r="A5" s="87" t="s">
        <v>20</v>
      </c>
      <c r="B5" s="87" t="s">
        <v>21</v>
      </c>
      <c r="C5" s="87" t="s">
        <v>27</v>
      </c>
      <c r="D5" s="90" t="s">
        <v>37</v>
      </c>
      <c r="E5" s="90" t="s">
        <v>38</v>
      </c>
      <c r="F5" s="90" t="s">
        <v>39</v>
      </c>
      <c r="G5" s="90" t="s">
        <v>492</v>
      </c>
      <c r="H5" s="91" t="s">
        <v>48</v>
      </c>
      <c r="I5" s="91" t="s">
        <v>49</v>
      </c>
      <c r="J5" s="91" t="s">
        <v>50</v>
      </c>
      <c r="K5" s="91" t="s">
        <v>491</v>
      </c>
      <c r="L5" s="92" t="s">
        <v>43</v>
      </c>
    </row>
    <row r="6" spans="1:18">
      <c r="A6" s="93" t="s">
        <v>482</v>
      </c>
      <c r="B6" s="93" t="s">
        <v>146</v>
      </c>
      <c r="C6" s="93">
        <v>2018</v>
      </c>
      <c r="D6" s="95">
        <v>0.26300000000000001</v>
      </c>
      <c r="E6" s="95">
        <v>0</v>
      </c>
      <c r="F6" s="95">
        <v>0.68060491999999995</v>
      </c>
      <c r="G6" s="95">
        <v>5.6000000000000001E-2</v>
      </c>
      <c r="H6" s="96">
        <v>0.26300000000000001</v>
      </c>
      <c r="I6" s="96">
        <v>0</v>
      </c>
      <c r="J6" s="96">
        <v>0.68100000000000005</v>
      </c>
      <c r="K6" s="96">
        <v>5.6000000000000001E-2</v>
      </c>
      <c r="L6" s="97"/>
      <c r="N6" s="85"/>
      <c r="O6" s="85"/>
      <c r="P6" s="85"/>
      <c r="Q6" s="85"/>
      <c r="R6" s="85"/>
    </row>
    <row r="7" spans="1:18">
      <c r="A7" s="87" t="s">
        <v>484</v>
      </c>
      <c r="B7" s="87" t="s">
        <v>146</v>
      </c>
      <c r="C7" s="87">
        <v>2018</v>
      </c>
      <c r="D7" s="95">
        <v>0.82499999999999996</v>
      </c>
      <c r="E7" s="95">
        <v>0</v>
      </c>
      <c r="F7" s="95">
        <v>0</v>
      </c>
      <c r="G7" s="95">
        <v>0.17499999999999999</v>
      </c>
      <c r="H7" s="96">
        <v>0.82499999999999996</v>
      </c>
      <c r="I7" s="96">
        <v>0</v>
      </c>
      <c r="J7" s="96">
        <v>0</v>
      </c>
      <c r="K7" s="96">
        <v>0.17499999999999999</v>
      </c>
      <c r="L7" s="97"/>
      <c r="N7" s="85"/>
      <c r="O7" s="85"/>
      <c r="P7" s="85"/>
      <c r="Q7" s="85"/>
      <c r="R7" s="85"/>
    </row>
    <row r="8" spans="1:18">
      <c r="A8" s="87" t="s">
        <v>479</v>
      </c>
      <c r="B8" s="87" t="s">
        <v>146</v>
      </c>
      <c r="C8" s="87">
        <v>2018</v>
      </c>
      <c r="D8" s="95">
        <v>0.82499999999999996</v>
      </c>
      <c r="E8" s="95">
        <v>0</v>
      </c>
      <c r="F8" s="95">
        <v>0</v>
      </c>
      <c r="G8" s="95">
        <v>0.17499999999999999</v>
      </c>
      <c r="H8" s="96">
        <v>0.82499999999999996</v>
      </c>
      <c r="I8" s="96">
        <v>0</v>
      </c>
      <c r="J8" s="96">
        <v>0</v>
      </c>
      <c r="K8" s="96">
        <v>0.17499999999999999</v>
      </c>
      <c r="L8" s="97"/>
      <c r="N8" s="85"/>
      <c r="O8" s="85"/>
      <c r="P8" s="85"/>
      <c r="Q8" s="85"/>
      <c r="R8" s="85"/>
    </row>
    <row r="9" spans="1:18">
      <c r="A9" s="87" t="s">
        <v>483</v>
      </c>
      <c r="B9" s="87" t="s">
        <v>146</v>
      </c>
      <c r="C9" s="87">
        <v>2018</v>
      </c>
      <c r="D9" s="95">
        <v>0.82499999999999996</v>
      </c>
      <c r="E9" s="95">
        <v>0</v>
      </c>
      <c r="F9" s="95">
        <v>0</v>
      </c>
      <c r="G9" s="95">
        <v>0.17499999999999999</v>
      </c>
      <c r="H9" s="96">
        <v>0.82499999999999996</v>
      </c>
      <c r="I9" s="96">
        <v>0</v>
      </c>
      <c r="J9" s="96">
        <v>0</v>
      </c>
      <c r="K9" s="96">
        <v>0.17499999999999999</v>
      </c>
      <c r="L9" s="97"/>
      <c r="N9" s="85"/>
      <c r="O9" s="85"/>
      <c r="P9" s="85"/>
      <c r="Q9" s="85"/>
      <c r="R9" s="85"/>
    </row>
    <row r="10" spans="1:18">
      <c r="A10" s="87" t="s">
        <v>478</v>
      </c>
      <c r="B10" s="87" t="s">
        <v>146</v>
      </c>
      <c r="C10" s="87">
        <v>2018</v>
      </c>
      <c r="D10" s="95">
        <v>0.82499999999999996</v>
      </c>
      <c r="E10" s="95">
        <v>0</v>
      </c>
      <c r="F10" s="95">
        <v>0</v>
      </c>
      <c r="G10" s="95">
        <v>0.17499999999999999</v>
      </c>
      <c r="H10" s="96">
        <v>0.82499999999999996</v>
      </c>
      <c r="I10" s="96">
        <v>0</v>
      </c>
      <c r="J10" s="96">
        <v>0</v>
      </c>
      <c r="K10" s="96">
        <v>0.17499999999999999</v>
      </c>
      <c r="L10" s="97"/>
      <c r="N10" s="85"/>
      <c r="O10" s="85"/>
      <c r="P10" s="85"/>
      <c r="Q10" s="85"/>
      <c r="R10" s="85"/>
    </row>
    <row r="11" spans="1:18">
      <c r="A11" s="87" t="s">
        <v>486</v>
      </c>
      <c r="B11" s="87" t="s">
        <v>146</v>
      </c>
      <c r="C11" s="87">
        <v>2018</v>
      </c>
      <c r="D11" s="95">
        <v>0.82499999999999996</v>
      </c>
      <c r="E11" s="95">
        <v>0</v>
      </c>
      <c r="F11" s="95">
        <v>0</v>
      </c>
      <c r="G11" s="95">
        <v>0.17499999999999999</v>
      </c>
      <c r="H11" s="96">
        <v>0.82499999999999996</v>
      </c>
      <c r="I11" s="96">
        <v>0</v>
      </c>
      <c r="J11" s="96">
        <v>0</v>
      </c>
      <c r="K11" s="96">
        <v>0.17499999999999999</v>
      </c>
      <c r="L11" s="97"/>
      <c r="N11" s="85"/>
      <c r="O11" s="85"/>
      <c r="P11" s="85"/>
      <c r="Q11" s="85"/>
      <c r="R11" s="85"/>
    </row>
    <row r="12" spans="1:18">
      <c r="A12" s="87" t="s">
        <v>485</v>
      </c>
      <c r="B12" s="87" t="s">
        <v>146</v>
      </c>
      <c r="C12" s="87">
        <v>2018</v>
      </c>
      <c r="D12" s="95">
        <v>0.82499999999999996</v>
      </c>
      <c r="E12" s="95">
        <v>0</v>
      </c>
      <c r="F12" s="95">
        <v>0</v>
      </c>
      <c r="G12" s="95">
        <v>0.17499999999999999</v>
      </c>
      <c r="H12" s="96">
        <v>0.82499999999999996</v>
      </c>
      <c r="I12" s="96">
        <v>0</v>
      </c>
      <c r="J12" s="96">
        <v>0</v>
      </c>
      <c r="K12" s="96">
        <v>0.17499999999999999</v>
      </c>
      <c r="L12" s="97"/>
      <c r="N12" s="85"/>
      <c r="O12" s="85"/>
      <c r="P12" s="85"/>
      <c r="Q12" s="85"/>
      <c r="R12" s="85"/>
    </row>
    <row r="13" spans="1:18">
      <c r="A13" s="87" t="s">
        <v>480</v>
      </c>
      <c r="B13" s="87" t="s">
        <v>146</v>
      </c>
      <c r="C13" s="87">
        <v>2018</v>
      </c>
      <c r="D13" s="95">
        <v>0.82499999999999996</v>
      </c>
      <c r="E13" s="95">
        <v>0</v>
      </c>
      <c r="F13" s="95">
        <v>0</v>
      </c>
      <c r="G13" s="95">
        <v>0.17499999999999999</v>
      </c>
      <c r="H13" s="96">
        <v>0.82499999999999996</v>
      </c>
      <c r="I13" s="96">
        <v>0</v>
      </c>
      <c r="J13" s="96">
        <v>0</v>
      </c>
      <c r="K13" s="96">
        <v>0.17499999999999999</v>
      </c>
      <c r="L13" s="97"/>
      <c r="N13" s="85"/>
      <c r="O13" s="85"/>
      <c r="P13" s="85"/>
      <c r="Q13" s="85"/>
      <c r="R13" s="85"/>
    </row>
    <row r="14" spans="1:18">
      <c r="A14" s="93" t="s">
        <v>482</v>
      </c>
      <c r="B14" s="93" t="s">
        <v>146</v>
      </c>
      <c r="C14" s="93">
        <v>2021</v>
      </c>
      <c r="D14" s="95">
        <v>0.28399999999999997</v>
      </c>
      <c r="E14" s="95">
        <v>0</v>
      </c>
      <c r="F14" s="95">
        <v>0.51588995400000004</v>
      </c>
      <c r="G14" s="95">
        <v>0.2</v>
      </c>
      <c r="H14" s="96">
        <v>0.28160000000000002</v>
      </c>
      <c r="I14" s="96">
        <v>0</v>
      </c>
      <c r="J14" s="96">
        <v>0.51070000000000004</v>
      </c>
      <c r="K14" s="96">
        <v>0.19769999999999999</v>
      </c>
      <c r="L14" s="97">
        <v>1E-4</v>
      </c>
      <c r="M14" s="85"/>
      <c r="N14" s="85"/>
      <c r="O14" s="85"/>
      <c r="P14" s="85"/>
      <c r="Q14" s="85"/>
      <c r="R14" s="85"/>
    </row>
    <row r="15" spans="1:18">
      <c r="A15" s="87" t="s">
        <v>484</v>
      </c>
      <c r="B15" s="87" t="s">
        <v>146</v>
      </c>
      <c r="C15" s="87">
        <v>2021</v>
      </c>
      <c r="D15" s="95">
        <v>0.58799999999999997</v>
      </c>
      <c r="E15" s="95">
        <v>0</v>
      </c>
      <c r="F15" s="95">
        <v>0</v>
      </c>
      <c r="G15" s="95">
        <v>0.41199999999999998</v>
      </c>
      <c r="H15" s="96">
        <v>0.58160000000000001</v>
      </c>
      <c r="I15" s="96">
        <v>0</v>
      </c>
      <c r="J15" s="96">
        <v>0</v>
      </c>
      <c r="K15" s="96">
        <v>0.40839999999999999</v>
      </c>
      <c r="L15" s="97">
        <v>2.0000000000000001E-4</v>
      </c>
      <c r="M15" s="85"/>
      <c r="N15" s="85"/>
      <c r="O15" s="85"/>
      <c r="P15" s="85"/>
      <c r="Q15" s="85"/>
      <c r="R15" s="85"/>
    </row>
    <row r="16" spans="1:18">
      <c r="A16" s="87" t="s">
        <v>479</v>
      </c>
      <c r="B16" s="87" t="s">
        <v>146</v>
      </c>
      <c r="C16" s="87">
        <v>2021</v>
      </c>
      <c r="D16" s="95">
        <v>0.58799999999999997</v>
      </c>
      <c r="E16" s="95">
        <v>0</v>
      </c>
      <c r="F16" s="95">
        <v>0</v>
      </c>
      <c r="G16" s="95">
        <v>0.41199999999999998</v>
      </c>
      <c r="H16" s="96">
        <v>0.58160000000000001</v>
      </c>
      <c r="I16" s="96">
        <v>0</v>
      </c>
      <c r="J16" s="96">
        <v>0</v>
      </c>
      <c r="K16" s="96">
        <v>0.40839999999999999</v>
      </c>
      <c r="L16" s="97">
        <v>5.0000000000000001E-3</v>
      </c>
      <c r="M16" s="85"/>
      <c r="N16" s="85"/>
      <c r="O16" s="85"/>
      <c r="P16" s="85"/>
      <c r="Q16" s="85"/>
      <c r="R16" s="85"/>
    </row>
    <row r="17" spans="1:18">
      <c r="A17" s="87" t="s">
        <v>483</v>
      </c>
      <c r="B17" s="87" t="s">
        <v>146</v>
      </c>
      <c r="C17" s="87">
        <v>2021</v>
      </c>
      <c r="D17" s="95">
        <v>0.58799999999999997</v>
      </c>
      <c r="E17" s="95">
        <v>0</v>
      </c>
      <c r="F17" s="95">
        <v>0</v>
      </c>
      <c r="G17" s="95">
        <v>0.41199999999999998</v>
      </c>
      <c r="H17" s="96">
        <v>0.58160000000000001</v>
      </c>
      <c r="I17" s="96">
        <v>0</v>
      </c>
      <c r="J17" s="96">
        <v>0</v>
      </c>
      <c r="K17" s="96">
        <v>0.40839999999999999</v>
      </c>
      <c r="L17" s="97">
        <v>2.0000000000000001E-4</v>
      </c>
      <c r="M17" s="85"/>
      <c r="N17" s="85"/>
      <c r="O17" s="85"/>
      <c r="P17" s="85"/>
      <c r="Q17" s="85"/>
      <c r="R17" s="85"/>
    </row>
    <row r="18" spans="1:18">
      <c r="A18" s="87" t="s">
        <v>478</v>
      </c>
      <c r="B18" s="87" t="s">
        <v>146</v>
      </c>
      <c r="C18" s="87">
        <v>2021</v>
      </c>
      <c r="D18" s="95">
        <v>0.58799999999999997</v>
      </c>
      <c r="E18" s="95">
        <v>0</v>
      </c>
      <c r="F18" s="95">
        <v>0</v>
      </c>
      <c r="G18" s="95">
        <v>0.41199999999999998</v>
      </c>
      <c r="H18" s="96">
        <v>0.58160000000000001</v>
      </c>
      <c r="I18" s="96">
        <v>0</v>
      </c>
      <c r="J18" s="96">
        <v>0</v>
      </c>
      <c r="K18" s="96">
        <v>0.40839999999999999</v>
      </c>
      <c r="L18" s="97">
        <v>5.0000000000000001E-3</v>
      </c>
      <c r="M18" s="85"/>
      <c r="N18" s="85"/>
      <c r="O18" s="85"/>
      <c r="P18" s="85"/>
      <c r="Q18" s="85"/>
      <c r="R18" s="85"/>
    </row>
    <row r="19" spans="1:18">
      <c r="A19" s="87" t="s">
        <v>486</v>
      </c>
      <c r="B19" s="87" t="s">
        <v>146</v>
      </c>
      <c r="C19" s="87">
        <v>2021</v>
      </c>
      <c r="D19" s="95">
        <v>0.58799999999999997</v>
      </c>
      <c r="E19" s="95">
        <v>0</v>
      </c>
      <c r="F19" s="95">
        <v>0</v>
      </c>
      <c r="G19" s="95">
        <v>0.41199999999999998</v>
      </c>
      <c r="H19" s="96">
        <v>0.58160000000000001</v>
      </c>
      <c r="I19" s="96">
        <v>0</v>
      </c>
      <c r="J19" s="96">
        <v>0</v>
      </c>
      <c r="K19" s="96">
        <v>0.40839999999999999</v>
      </c>
      <c r="L19" s="97">
        <v>2.0000000000000001E-4</v>
      </c>
      <c r="M19" s="85"/>
      <c r="N19" s="85"/>
      <c r="O19" s="85"/>
      <c r="P19" s="85"/>
      <c r="Q19" s="85"/>
      <c r="R19" s="85"/>
    </row>
    <row r="20" spans="1:18">
      <c r="A20" s="87" t="s">
        <v>485</v>
      </c>
      <c r="B20" s="87" t="s">
        <v>146</v>
      </c>
      <c r="C20" s="87">
        <v>2021</v>
      </c>
      <c r="D20" s="95">
        <v>0.58799999999999997</v>
      </c>
      <c r="E20" s="95">
        <v>0</v>
      </c>
      <c r="F20" s="95">
        <v>0</v>
      </c>
      <c r="G20" s="95">
        <v>0.41199999999999998</v>
      </c>
      <c r="H20" s="96">
        <v>0.58160000000000001</v>
      </c>
      <c r="I20" s="96">
        <v>0</v>
      </c>
      <c r="J20" s="96">
        <v>0</v>
      </c>
      <c r="K20" s="96">
        <v>0.40839999999999999</v>
      </c>
      <c r="L20" s="97">
        <v>2.0000000000000001E-4</v>
      </c>
      <c r="M20" s="85"/>
      <c r="N20" s="85"/>
      <c r="O20" s="85"/>
      <c r="P20" s="85"/>
      <c r="Q20" s="85"/>
      <c r="R20" s="85"/>
    </row>
    <row r="21" spans="1:18">
      <c r="A21" s="87" t="s">
        <v>480</v>
      </c>
      <c r="B21" s="87" t="s">
        <v>146</v>
      </c>
      <c r="C21" s="87">
        <v>2021</v>
      </c>
      <c r="D21" s="95">
        <v>0.58799999999999997</v>
      </c>
      <c r="E21" s="95">
        <v>0</v>
      </c>
      <c r="F21" s="95">
        <v>0</v>
      </c>
      <c r="G21" s="95">
        <v>0.41199999999999998</v>
      </c>
      <c r="H21" s="96">
        <v>0.58160000000000001</v>
      </c>
      <c r="I21" s="96">
        <v>0</v>
      </c>
      <c r="J21" s="96">
        <v>0</v>
      </c>
      <c r="K21" s="96">
        <v>0.40839999999999999</v>
      </c>
      <c r="L21" s="97">
        <v>5.0000000000000001E-3</v>
      </c>
      <c r="M21" s="85"/>
      <c r="N21" s="85"/>
      <c r="O21" s="85"/>
      <c r="P21" s="85"/>
      <c r="Q21" s="85"/>
      <c r="R21" s="85"/>
    </row>
    <row r="22" spans="1:18">
      <c r="A22" s="93" t="s">
        <v>482</v>
      </c>
      <c r="B22" s="93" t="s">
        <v>146</v>
      </c>
      <c r="C22" s="93">
        <v>2025</v>
      </c>
      <c r="D22" s="95">
        <v>0.271189923</v>
      </c>
      <c r="E22" s="95">
        <v>0</v>
      </c>
      <c r="F22" s="95">
        <v>0.52182677099999997</v>
      </c>
      <c r="G22" s="95">
        <v>0.196983305</v>
      </c>
      <c r="H22" s="96">
        <v>0.24399999999999999</v>
      </c>
      <c r="I22" s="96">
        <v>0</v>
      </c>
      <c r="J22" s="96">
        <v>0.47</v>
      </c>
      <c r="K22" s="96">
        <v>0.17699999999999999</v>
      </c>
      <c r="L22" s="97">
        <v>8.4474140000000003E-3</v>
      </c>
      <c r="M22" s="85"/>
      <c r="N22" s="85"/>
      <c r="O22" s="85"/>
      <c r="P22" s="85"/>
      <c r="Q22" s="85"/>
      <c r="R22" s="85"/>
    </row>
    <row r="23" spans="1:18">
      <c r="A23" s="87" t="s">
        <v>484</v>
      </c>
      <c r="B23" s="87" t="s">
        <v>146</v>
      </c>
      <c r="C23" s="87">
        <v>2025</v>
      </c>
      <c r="D23" s="95">
        <v>0.57259386499999998</v>
      </c>
      <c r="E23" s="95">
        <v>0</v>
      </c>
      <c r="F23" s="95">
        <v>0</v>
      </c>
      <c r="G23" s="95">
        <v>0.41740613500000001</v>
      </c>
      <c r="H23" s="96">
        <v>0.51500000000000001</v>
      </c>
      <c r="I23" s="96">
        <v>0</v>
      </c>
      <c r="J23" s="96">
        <v>0</v>
      </c>
      <c r="K23" s="96">
        <v>0.376</v>
      </c>
      <c r="L23" s="97">
        <v>1.7449367E-2</v>
      </c>
      <c r="M23" s="85"/>
      <c r="N23" s="85"/>
      <c r="O23" s="85"/>
      <c r="P23" s="85"/>
      <c r="Q23" s="85"/>
      <c r="R23" s="85"/>
    </row>
    <row r="24" spans="1:18">
      <c r="A24" s="87" t="s">
        <v>479</v>
      </c>
      <c r="B24" s="87" t="s">
        <v>146</v>
      </c>
      <c r="C24" s="87">
        <v>2025</v>
      </c>
      <c r="D24" s="95">
        <v>0.57259386499999998</v>
      </c>
      <c r="E24" s="95">
        <v>0</v>
      </c>
      <c r="F24" s="95">
        <v>0</v>
      </c>
      <c r="G24" s="95">
        <v>0.41740613500000001</v>
      </c>
      <c r="H24" s="96">
        <v>0.51500000000000001</v>
      </c>
      <c r="I24" s="96">
        <v>0</v>
      </c>
      <c r="J24" s="96">
        <v>0</v>
      </c>
      <c r="K24" s="96">
        <v>0.376</v>
      </c>
      <c r="L24" s="97">
        <v>1.7449367E-2</v>
      </c>
      <c r="M24" s="85"/>
      <c r="N24" s="85"/>
      <c r="O24" s="85"/>
      <c r="P24" s="85"/>
      <c r="Q24" s="85"/>
      <c r="R24" s="85"/>
    </row>
    <row r="25" spans="1:18">
      <c r="A25" s="87" t="s">
        <v>483</v>
      </c>
      <c r="B25" s="87" t="s">
        <v>146</v>
      </c>
      <c r="C25" s="87">
        <v>2025</v>
      </c>
      <c r="D25" s="95">
        <v>0.57259386499999998</v>
      </c>
      <c r="E25" s="95">
        <v>0</v>
      </c>
      <c r="F25" s="95">
        <v>0</v>
      </c>
      <c r="G25" s="95">
        <v>0.41740613500000001</v>
      </c>
      <c r="H25" s="96">
        <v>0.51500000000000001</v>
      </c>
      <c r="I25" s="96">
        <v>0</v>
      </c>
      <c r="J25" s="96">
        <v>0</v>
      </c>
      <c r="K25" s="96">
        <v>0.376</v>
      </c>
      <c r="L25" s="97">
        <v>1.7449367E-2</v>
      </c>
      <c r="M25" s="85"/>
      <c r="N25" s="85"/>
      <c r="O25" s="85"/>
      <c r="P25" s="85"/>
      <c r="Q25" s="85"/>
      <c r="R25" s="85"/>
    </row>
    <row r="26" spans="1:18">
      <c r="A26" s="87" t="s">
        <v>478</v>
      </c>
      <c r="B26" s="87" t="s">
        <v>146</v>
      </c>
      <c r="C26" s="87">
        <v>2025</v>
      </c>
      <c r="D26" s="95">
        <v>0.57259386499999998</v>
      </c>
      <c r="E26" s="95">
        <v>0</v>
      </c>
      <c r="F26" s="95">
        <v>0</v>
      </c>
      <c r="G26" s="95">
        <v>0.41740613500000001</v>
      </c>
      <c r="H26" s="96">
        <v>0.51500000000000001</v>
      </c>
      <c r="I26" s="96">
        <v>0</v>
      </c>
      <c r="J26" s="96">
        <v>0</v>
      </c>
      <c r="K26" s="96">
        <v>0.376</v>
      </c>
      <c r="L26" s="97">
        <v>1.7449367E-2</v>
      </c>
      <c r="M26" s="85"/>
      <c r="N26" s="85"/>
      <c r="O26" s="85"/>
      <c r="P26" s="85"/>
      <c r="Q26" s="85"/>
      <c r="R26" s="85"/>
    </row>
    <row r="27" spans="1:18">
      <c r="A27" s="87" t="s">
        <v>486</v>
      </c>
      <c r="B27" s="87" t="s">
        <v>146</v>
      </c>
      <c r="C27" s="87">
        <v>2025</v>
      </c>
      <c r="D27" s="95">
        <v>0.57259386499999998</v>
      </c>
      <c r="E27" s="95">
        <v>0</v>
      </c>
      <c r="F27" s="95">
        <v>0</v>
      </c>
      <c r="G27" s="95">
        <v>0.41740613500000001</v>
      </c>
      <c r="H27" s="96">
        <v>0.51500000000000001</v>
      </c>
      <c r="I27" s="96">
        <v>0</v>
      </c>
      <c r="J27" s="96">
        <v>0</v>
      </c>
      <c r="K27" s="96">
        <v>0.376</v>
      </c>
      <c r="L27" s="97">
        <v>1.7449367E-2</v>
      </c>
      <c r="M27" s="85"/>
      <c r="N27" s="85"/>
      <c r="O27" s="85"/>
      <c r="P27" s="85"/>
      <c r="Q27" s="85"/>
      <c r="R27" s="85"/>
    </row>
    <row r="28" spans="1:18">
      <c r="A28" s="87" t="s">
        <v>485</v>
      </c>
      <c r="B28" s="87" t="s">
        <v>146</v>
      </c>
      <c r="C28" s="87">
        <v>2025</v>
      </c>
      <c r="D28" s="95">
        <v>0.57259386499999998</v>
      </c>
      <c r="E28" s="95">
        <v>0</v>
      </c>
      <c r="F28" s="95">
        <v>0</v>
      </c>
      <c r="G28" s="95">
        <v>0.41740613500000001</v>
      </c>
      <c r="H28" s="96">
        <v>0.51500000000000001</v>
      </c>
      <c r="I28" s="96">
        <v>0</v>
      </c>
      <c r="J28" s="96">
        <v>0</v>
      </c>
      <c r="K28" s="96">
        <v>0.376</v>
      </c>
      <c r="L28" s="97">
        <v>1.7449367E-2</v>
      </c>
      <c r="M28" s="85"/>
      <c r="N28" s="85"/>
      <c r="O28" s="85"/>
      <c r="P28" s="85"/>
      <c r="Q28" s="85"/>
      <c r="R28" s="85"/>
    </row>
    <row r="29" spans="1:18">
      <c r="A29" s="87" t="s">
        <v>480</v>
      </c>
      <c r="B29" s="87" t="s">
        <v>146</v>
      </c>
      <c r="C29" s="87">
        <v>2025</v>
      </c>
      <c r="D29" s="95">
        <v>0.57259386499999998</v>
      </c>
      <c r="E29" s="95">
        <v>0</v>
      </c>
      <c r="F29" s="95">
        <v>0</v>
      </c>
      <c r="G29" s="95">
        <v>0.41740613500000001</v>
      </c>
      <c r="H29" s="96">
        <v>0.51500000000000001</v>
      </c>
      <c r="I29" s="96">
        <v>0</v>
      </c>
      <c r="J29" s="96">
        <v>0</v>
      </c>
      <c r="K29" s="96">
        <v>0.376</v>
      </c>
      <c r="L29" s="97">
        <v>1.7449367E-2</v>
      </c>
      <c r="M29" s="85"/>
      <c r="N29" s="85"/>
      <c r="O29" s="85"/>
      <c r="P29" s="85"/>
      <c r="Q29" s="85"/>
      <c r="R29" s="85"/>
    </row>
    <row r="30" spans="1:18">
      <c r="A30" s="93" t="s">
        <v>482</v>
      </c>
      <c r="B30" s="93" t="s">
        <v>146</v>
      </c>
      <c r="C30" s="93">
        <v>2030</v>
      </c>
      <c r="D30" s="95">
        <v>0.260142545</v>
      </c>
      <c r="E30" s="95">
        <v>0</v>
      </c>
      <c r="F30" s="95">
        <v>0.52618659400000001</v>
      </c>
      <c r="G30" s="95">
        <v>0.193670861</v>
      </c>
      <c r="H30" s="96">
        <v>0.19500000000000001</v>
      </c>
      <c r="I30" s="96">
        <v>0</v>
      </c>
      <c r="J30" s="96">
        <v>0.39500000000000002</v>
      </c>
      <c r="K30" s="96">
        <v>0.14499999999999999</v>
      </c>
      <c r="L30" s="97">
        <v>3.6239405000000002E-2</v>
      </c>
      <c r="M30" s="85"/>
      <c r="N30" s="85"/>
      <c r="O30" s="85"/>
      <c r="P30" s="85"/>
      <c r="Q30" s="85"/>
      <c r="R30" s="85"/>
    </row>
    <row r="31" spans="1:18">
      <c r="A31" s="87" t="s">
        <v>484</v>
      </c>
      <c r="B31" s="87" t="s">
        <v>146</v>
      </c>
      <c r="C31" s="87">
        <v>2030</v>
      </c>
      <c r="D31" s="95">
        <v>0.560145424</v>
      </c>
      <c r="E31" s="95">
        <v>0</v>
      </c>
      <c r="F31" s="95">
        <v>0</v>
      </c>
      <c r="G31" s="95">
        <v>0.41985457599999998</v>
      </c>
      <c r="H31" s="96">
        <v>0.42</v>
      </c>
      <c r="I31" s="96">
        <v>0</v>
      </c>
      <c r="J31" s="96">
        <v>0</v>
      </c>
      <c r="K31" s="96">
        <v>0.315</v>
      </c>
      <c r="L31" s="97">
        <v>7.4857782999999997E-2</v>
      </c>
      <c r="M31" s="85"/>
      <c r="N31" s="85"/>
      <c r="O31" s="85"/>
      <c r="P31" s="85"/>
      <c r="Q31" s="85"/>
      <c r="R31" s="85"/>
    </row>
    <row r="32" spans="1:18">
      <c r="A32" s="87" t="s">
        <v>479</v>
      </c>
      <c r="B32" s="87" t="s">
        <v>146</v>
      </c>
      <c r="C32" s="87">
        <v>2030</v>
      </c>
      <c r="D32" s="95">
        <v>0.560145424</v>
      </c>
      <c r="E32" s="95">
        <v>0</v>
      </c>
      <c r="F32" s="95">
        <v>0</v>
      </c>
      <c r="G32" s="95">
        <v>0.41985457599999998</v>
      </c>
      <c r="H32" s="96">
        <v>0.42</v>
      </c>
      <c r="I32" s="96">
        <v>0</v>
      </c>
      <c r="J32" s="96">
        <v>0</v>
      </c>
      <c r="K32" s="96">
        <v>0.315</v>
      </c>
      <c r="L32" s="97">
        <v>7.4857782999999997E-2</v>
      </c>
      <c r="M32" s="85"/>
      <c r="N32" s="85"/>
      <c r="O32" s="85"/>
      <c r="P32" s="85"/>
      <c r="Q32" s="85"/>
      <c r="R32" s="85"/>
    </row>
    <row r="33" spans="1:18">
      <c r="A33" s="87" t="s">
        <v>483</v>
      </c>
      <c r="B33" s="87" t="s">
        <v>146</v>
      </c>
      <c r="C33" s="87">
        <v>2030</v>
      </c>
      <c r="D33" s="95">
        <v>0.560145424</v>
      </c>
      <c r="E33" s="95">
        <v>0</v>
      </c>
      <c r="F33" s="95">
        <v>0</v>
      </c>
      <c r="G33" s="95">
        <v>0.41985457599999998</v>
      </c>
      <c r="H33" s="96">
        <v>0.42</v>
      </c>
      <c r="I33" s="96">
        <v>0</v>
      </c>
      <c r="J33" s="96">
        <v>0</v>
      </c>
      <c r="K33" s="96">
        <v>0.315</v>
      </c>
      <c r="L33" s="97">
        <v>7.4857782999999997E-2</v>
      </c>
      <c r="M33" s="85"/>
      <c r="N33" s="85"/>
      <c r="O33" s="85"/>
      <c r="P33" s="85"/>
      <c r="Q33" s="85"/>
      <c r="R33" s="85"/>
    </row>
    <row r="34" spans="1:18">
      <c r="A34" s="87" t="s">
        <v>478</v>
      </c>
      <c r="B34" s="87" t="s">
        <v>146</v>
      </c>
      <c r="C34" s="87">
        <v>2030</v>
      </c>
      <c r="D34" s="95">
        <v>0.560145424</v>
      </c>
      <c r="E34" s="95">
        <v>0</v>
      </c>
      <c r="F34" s="95">
        <v>0</v>
      </c>
      <c r="G34" s="95">
        <v>0.41985457599999998</v>
      </c>
      <c r="H34" s="96">
        <v>0.42</v>
      </c>
      <c r="I34" s="96">
        <v>0</v>
      </c>
      <c r="J34" s="96">
        <v>0</v>
      </c>
      <c r="K34" s="96">
        <v>0.315</v>
      </c>
      <c r="L34" s="97">
        <v>7.4857782999999997E-2</v>
      </c>
      <c r="M34" s="85"/>
      <c r="N34" s="85"/>
      <c r="O34" s="85"/>
      <c r="P34" s="85"/>
      <c r="Q34" s="85"/>
      <c r="R34" s="85"/>
    </row>
    <row r="35" spans="1:18">
      <c r="A35" s="87" t="s">
        <v>486</v>
      </c>
      <c r="B35" s="87" t="s">
        <v>146</v>
      </c>
      <c r="C35" s="87">
        <v>2030</v>
      </c>
      <c r="D35" s="95">
        <v>0.560145424</v>
      </c>
      <c r="E35" s="95">
        <v>0</v>
      </c>
      <c r="F35" s="95">
        <v>0</v>
      </c>
      <c r="G35" s="95">
        <v>0.41985457599999998</v>
      </c>
      <c r="H35" s="96">
        <v>0.42</v>
      </c>
      <c r="I35" s="96">
        <v>0</v>
      </c>
      <c r="J35" s="96">
        <v>0</v>
      </c>
      <c r="K35" s="96">
        <v>0.315</v>
      </c>
      <c r="L35" s="97">
        <v>7.4857782999999997E-2</v>
      </c>
      <c r="M35" s="85"/>
      <c r="N35" s="85"/>
      <c r="O35" s="85"/>
      <c r="P35" s="85"/>
      <c r="Q35" s="85"/>
      <c r="R35" s="85"/>
    </row>
    <row r="36" spans="1:18">
      <c r="A36" s="87" t="s">
        <v>485</v>
      </c>
      <c r="B36" s="87" t="s">
        <v>146</v>
      </c>
      <c r="C36" s="87">
        <v>2030</v>
      </c>
      <c r="D36" s="95">
        <v>0.560145424</v>
      </c>
      <c r="E36" s="95">
        <v>0</v>
      </c>
      <c r="F36" s="95">
        <v>0</v>
      </c>
      <c r="G36" s="95">
        <v>0.41985457599999998</v>
      </c>
      <c r="H36" s="96">
        <v>0.42</v>
      </c>
      <c r="I36" s="96">
        <v>0</v>
      </c>
      <c r="J36" s="96">
        <v>0</v>
      </c>
      <c r="K36" s="96">
        <v>0.315</v>
      </c>
      <c r="L36" s="97">
        <v>7.4857782999999997E-2</v>
      </c>
      <c r="M36" s="85"/>
      <c r="N36" s="85"/>
      <c r="O36" s="85"/>
      <c r="P36" s="85"/>
      <c r="Q36" s="85"/>
      <c r="R36" s="85"/>
    </row>
    <row r="37" spans="1:18">
      <c r="A37" s="87" t="s">
        <v>480</v>
      </c>
      <c r="B37" s="87" t="s">
        <v>146</v>
      </c>
      <c r="C37" s="87">
        <v>2030</v>
      </c>
      <c r="D37" s="95">
        <v>0.560145424</v>
      </c>
      <c r="E37" s="95">
        <v>0</v>
      </c>
      <c r="F37" s="95">
        <v>0</v>
      </c>
      <c r="G37" s="95">
        <v>0.41985457599999998</v>
      </c>
      <c r="H37" s="96">
        <v>0.42</v>
      </c>
      <c r="I37" s="96">
        <v>0</v>
      </c>
      <c r="J37" s="96">
        <v>0</v>
      </c>
      <c r="K37" s="96">
        <v>0.315</v>
      </c>
      <c r="L37" s="97">
        <v>7.4857782999999997E-2</v>
      </c>
      <c r="M37" s="85"/>
      <c r="N37" s="85"/>
      <c r="O37" s="85"/>
      <c r="P37" s="85"/>
      <c r="Q37" s="85"/>
      <c r="R37" s="85"/>
    </row>
    <row r="38" spans="1:18">
      <c r="A38" s="93" t="s">
        <v>482</v>
      </c>
      <c r="B38" s="93" t="s">
        <v>146</v>
      </c>
      <c r="C38" s="93">
        <v>2035</v>
      </c>
      <c r="D38" s="95">
        <v>0.246177813</v>
      </c>
      <c r="E38" s="95">
        <v>0</v>
      </c>
      <c r="F38" s="95">
        <v>0.52904494499999999</v>
      </c>
      <c r="G38" s="95">
        <v>0.18477724100000001</v>
      </c>
      <c r="H38" s="96">
        <v>0.123</v>
      </c>
      <c r="I38" s="96">
        <v>0</v>
      </c>
      <c r="J38" s="96">
        <v>0.29099999999999998</v>
      </c>
      <c r="K38" s="96">
        <v>0.10199999999999999</v>
      </c>
      <c r="L38" s="97">
        <v>7.1754021000000001E-2</v>
      </c>
      <c r="M38" s="85"/>
      <c r="N38" s="85"/>
      <c r="O38" s="85"/>
      <c r="P38" s="85"/>
      <c r="Q38" s="85"/>
      <c r="R38" s="85"/>
    </row>
    <row r="39" spans="1:18">
      <c r="A39" s="87" t="s">
        <v>484</v>
      </c>
      <c r="B39" s="87" t="s">
        <v>146</v>
      </c>
      <c r="C39" s="87">
        <v>2035</v>
      </c>
      <c r="D39" s="95">
        <v>0.54518729499999996</v>
      </c>
      <c r="E39" s="95">
        <v>0</v>
      </c>
      <c r="F39" s="95">
        <v>0</v>
      </c>
      <c r="G39" s="95">
        <v>0.414812705</v>
      </c>
      <c r="H39" s="96">
        <v>0.27300000000000002</v>
      </c>
      <c r="I39" s="96">
        <v>0</v>
      </c>
      <c r="J39" s="96">
        <v>0</v>
      </c>
      <c r="K39" s="96">
        <v>0.20699999999999999</v>
      </c>
      <c r="L39" s="97">
        <v>0.14821840999999999</v>
      </c>
      <c r="M39" s="85"/>
      <c r="N39" s="85"/>
      <c r="O39" s="85"/>
      <c r="P39" s="85"/>
      <c r="Q39" s="85"/>
      <c r="R39" s="85"/>
    </row>
    <row r="40" spans="1:18">
      <c r="A40" s="87" t="s">
        <v>479</v>
      </c>
      <c r="B40" s="87" t="s">
        <v>146</v>
      </c>
      <c r="C40" s="87">
        <v>2035</v>
      </c>
      <c r="D40" s="95">
        <v>0.54518729499999996</v>
      </c>
      <c r="E40" s="95">
        <v>0</v>
      </c>
      <c r="F40" s="95">
        <v>0</v>
      </c>
      <c r="G40" s="95">
        <v>0.414812705</v>
      </c>
      <c r="H40" s="96">
        <v>0.27300000000000002</v>
      </c>
      <c r="I40" s="96">
        <v>0</v>
      </c>
      <c r="J40" s="96">
        <v>0</v>
      </c>
      <c r="K40" s="96">
        <v>0.20699999999999999</v>
      </c>
      <c r="L40" s="97">
        <v>0.14821840999999999</v>
      </c>
      <c r="M40" s="85"/>
      <c r="N40" s="85"/>
      <c r="O40" s="85"/>
      <c r="P40" s="85"/>
      <c r="Q40" s="85"/>
      <c r="R40" s="85"/>
    </row>
    <row r="41" spans="1:18">
      <c r="A41" s="87" t="s">
        <v>483</v>
      </c>
      <c r="B41" s="87" t="s">
        <v>146</v>
      </c>
      <c r="C41" s="87">
        <v>2035</v>
      </c>
      <c r="D41" s="95">
        <v>0.54518729499999996</v>
      </c>
      <c r="E41" s="95">
        <v>0</v>
      </c>
      <c r="F41" s="95">
        <v>0</v>
      </c>
      <c r="G41" s="95">
        <v>0.414812705</v>
      </c>
      <c r="H41" s="96">
        <v>0.27300000000000002</v>
      </c>
      <c r="I41" s="96">
        <v>0</v>
      </c>
      <c r="J41" s="96">
        <v>0</v>
      </c>
      <c r="K41" s="96">
        <v>0.20699999999999999</v>
      </c>
      <c r="L41" s="97">
        <v>0.14821840999999999</v>
      </c>
      <c r="M41" s="85"/>
      <c r="N41" s="85"/>
      <c r="O41" s="85"/>
      <c r="P41" s="85"/>
      <c r="Q41" s="85"/>
      <c r="R41" s="85"/>
    </row>
    <row r="42" spans="1:18">
      <c r="A42" s="87" t="s">
        <v>478</v>
      </c>
      <c r="B42" s="87" t="s">
        <v>146</v>
      </c>
      <c r="C42" s="87">
        <v>2035</v>
      </c>
      <c r="D42" s="95">
        <v>0.54518729499999996</v>
      </c>
      <c r="E42" s="95">
        <v>0</v>
      </c>
      <c r="F42" s="95">
        <v>0</v>
      </c>
      <c r="G42" s="95">
        <v>0.414812705</v>
      </c>
      <c r="H42" s="96">
        <v>0.27300000000000002</v>
      </c>
      <c r="I42" s="96">
        <v>0</v>
      </c>
      <c r="J42" s="96">
        <v>0</v>
      </c>
      <c r="K42" s="96">
        <v>0.20699999999999999</v>
      </c>
      <c r="L42" s="97">
        <v>0.14821840999999999</v>
      </c>
      <c r="M42" s="85"/>
      <c r="N42" s="85"/>
      <c r="O42" s="85"/>
      <c r="P42" s="85"/>
      <c r="Q42" s="85"/>
      <c r="R42" s="85"/>
    </row>
    <row r="43" spans="1:18">
      <c r="A43" s="87" t="s">
        <v>486</v>
      </c>
      <c r="B43" s="87" t="s">
        <v>146</v>
      </c>
      <c r="C43" s="87">
        <v>2035</v>
      </c>
      <c r="D43" s="95">
        <v>0.54518729499999996</v>
      </c>
      <c r="E43" s="95">
        <v>0</v>
      </c>
      <c r="F43" s="95">
        <v>0</v>
      </c>
      <c r="G43" s="95">
        <v>0.414812705</v>
      </c>
      <c r="H43" s="96">
        <v>0.27300000000000002</v>
      </c>
      <c r="I43" s="96">
        <v>0</v>
      </c>
      <c r="J43" s="96">
        <v>0</v>
      </c>
      <c r="K43" s="96">
        <v>0.20699999999999999</v>
      </c>
      <c r="L43" s="97">
        <v>0.14821840999999999</v>
      </c>
      <c r="M43" s="85"/>
      <c r="N43" s="85"/>
      <c r="O43" s="85"/>
      <c r="P43" s="85"/>
      <c r="Q43" s="85"/>
      <c r="R43" s="85"/>
    </row>
    <row r="44" spans="1:18">
      <c r="A44" s="87" t="s">
        <v>485</v>
      </c>
      <c r="B44" s="87" t="s">
        <v>146</v>
      </c>
      <c r="C44" s="87">
        <v>2035</v>
      </c>
      <c r="D44" s="95">
        <v>0.54518729499999996</v>
      </c>
      <c r="E44" s="95">
        <v>0</v>
      </c>
      <c r="F44" s="95">
        <v>0</v>
      </c>
      <c r="G44" s="95">
        <v>0.414812705</v>
      </c>
      <c r="H44" s="96">
        <v>0.27300000000000002</v>
      </c>
      <c r="I44" s="96">
        <v>0</v>
      </c>
      <c r="J44" s="96">
        <v>0</v>
      </c>
      <c r="K44" s="96">
        <v>0.20699999999999999</v>
      </c>
      <c r="L44" s="97">
        <v>0.14821840999999999</v>
      </c>
      <c r="M44" s="85"/>
      <c r="N44" s="85"/>
      <c r="O44" s="85"/>
      <c r="P44" s="85"/>
      <c r="Q44" s="85"/>
      <c r="R44" s="85"/>
    </row>
    <row r="45" spans="1:18">
      <c r="A45" s="87" t="s">
        <v>480</v>
      </c>
      <c r="B45" s="87" t="s">
        <v>146</v>
      </c>
      <c r="C45" s="87">
        <v>2035</v>
      </c>
      <c r="D45" s="95">
        <v>0.54518729499999996</v>
      </c>
      <c r="E45" s="95">
        <v>0</v>
      </c>
      <c r="F45" s="95">
        <v>0</v>
      </c>
      <c r="G45" s="95">
        <v>0.414812705</v>
      </c>
      <c r="H45" s="96">
        <v>0.27300000000000002</v>
      </c>
      <c r="I45" s="96">
        <v>0</v>
      </c>
      <c r="J45" s="96">
        <v>0</v>
      </c>
      <c r="K45" s="96">
        <v>0.20699999999999999</v>
      </c>
      <c r="L45" s="97">
        <v>0.14821840999999999</v>
      </c>
      <c r="M45" s="85"/>
      <c r="N45" s="85"/>
      <c r="O45" s="85"/>
      <c r="P45" s="85"/>
      <c r="Q45" s="85"/>
      <c r="R45" s="85"/>
    </row>
    <row r="46" spans="1:18">
      <c r="A46" s="93" t="s">
        <v>482</v>
      </c>
      <c r="B46" s="93" t="s">
        <v>146</v>
      </c>
      <c r="C46" s="93">
        <v>2040</v>
      </c>
      <c r="D46" s="95">
        <v>0.23225036199999999</v>
      </c>
      <c r="E46" s="95">
        <v>0</v>
      </c>
      <c r="F46" s="95">
        <v>0.53187641900000004</v>
      </c>
      <c r="G46" s="95">
        <v>0.175873219</v>
      </c>
      <c r="H46" s="96">
        <v>0</v>
      </c>
      <c r="I46" s="96">
        <v>0</v>
      </c>
      <c r="J46" s="96">
        <v>0</v>
      </c>
      <c r="K46" s="96">
        <v>0</v>
      </c>
      <c r="L46" s="97">
        <v>0</v>
      </c>
      <c r="M46" s="85"/>
      <c r="N46" s="85"/>
      <c r="O46" s="85"/>
      <c r="P46" s="85"/>
      <c r="Q46" s="85"/>
      <c r="R46" s="85"/>
    </row>
    <row r="47" spans="1:18">
      <c r="A47" s="87" t="s">
        <v>484</v>
      </c>
      <c r="B47" s="87" t="s">
        <v>146</v>
      </c>
      <c r="C47" s="87">
        <v>2040</v>
      </c>
      <c r="D47" s="95">
        <v>0.53021608899999995</v>
      </c>
      <c r="E47" s="95">
        <v>0</v>
      </c>
      <c r="F47" s="95">
        <v>0</v>
      </c>
      <c r="G47" s="95">
        <v>0.409783911</v>
      </c>
      <c r="H47" s="96">
        <v>0</v>
      </c>
      <c r="I47" s="96">
        <v>0</v>
      </c>
      <c r="J47" s="96">
        <v>0</v>
      </c>
      <c r="K47" s="96">
        <v>0</v>
      </c>
      <c r="L47" s="97">
        <v>0</v>
      </c>
      <c r="M47" s="85"/>
      <c r="N47" s="85"/>
      <c r="O47" s="85"/>
      <c r="P47" s="85"/>
      <c r="Q47" s="85"/>
      <c r="R47" s="85"/>
    </row>
    <row r="48" spans="1:18">
      <c r="A48" s="87" t="s">
        <v>479</v>
      </c>
      <c r="B48" s="87" t="s">
        <v>146</v>
      </c>
      <c r="C48" s="87">
        <v>2040</v>
      </c>
      <c r="D48" s="95">
        <v>0.53021608899999995</v>
      </c>
      <c r="E48" s="95">
        <v>0</v>
      </c>
      <c r="F48" s="95">
        <v>0</v>
      </c>
      <c r="G48" s="95">
        <v>0.409783911</v>
      </c>
      <c r="H48" s="96">
        <v>0</v>
      </c>
      <c r="I48" s="96">
        <v>0</v>
      </c>
      <c r="J48" s="96">
        <v>0</v>
      </c>
      <c r="K48" s="96">
        <v>0</v>
      </c>
      <c r="L48" s="97">
        <v>0</v>
      </c>
      <c r="M48" s="85"/>
      <c r="N48" s="85"/>
      <c r="O48" s="85"/>
      <c r="P48" s="85"/>
      <c r="Q48" s="85"/>
      <c r="R48" s="85"/>
    </row>
    <row r="49" spans="1:18">
      <c r="A49" s="87" t="s">
        <v>483</v>
      </c>
      <c r="B49" s="87" t="s">
        <v>146</v>
      </c>
      <c r="C49" s="87">
        <v>2040</v>
      </c>
      <c r="D49" s="95">
        <v>0.53021608899999995</v>
      </c>
      <c r="E49" s="95">
        <v>0</v>
      </c>
      <c r="F49" s="95">
        <v>0</v>
      </c>
      <c r="G49" s="95">
        <v>0.409783911</v>
      </c>
      <c r="H49" s="96">
        <v>0</v>
      </c>
      <c r="I49" s="96">
        <v>0</v>
      </c>
      <c r="J49" s="96">
        <v>0</v>
      </c>
      <c r="K49" s="96">
        <v>0</v>
      </c>
      <c r="L49" s="97">
        <v>0</v>
      </c>
      <c r="M49" s="85"/>
      <c r="N49" s="85"/>
      <c r="O49" s="85"/>
      <c r="P49" s="85"/>
      <c r="Q49" s="85"/>
      <c r="R49" s="85"/>
    </row>
    <row r="50" spans="1:18">
      <c r="A50" s="87" t="s">
        <v>478</v>
      </c>
      <c r="B50" s="87" t="s">
        <v>146</v>
      </c>
      <c r="C50" s="87">
        <v>2040</v>
      </c>
      <c r="D50" s="95">
        <v>0.53021608899999995</v>
      </c>
      <c r="E50" s="95">
        <v>0</v>
      </c>
      <c r="F50" s="95">
        <v>0</v>
      </c>
      <c r="G50" s="95">
        <v>0.409783911</v>
      </c>
      <c r="H50" s="96">
        <v>0</v>
      </c>
      <c r="I50" s="96">
        <v>0</v>
      </c>
      <c r="J50" s="96">
        <v>0</v>
      </c>
      <c r="K50" s="96">
        <v>0</v>
      </c>
      <c r="L50" s="97">
        <v>0</v>
      </c>
      <c r="M50" s="85"/>
      <c r="N50" s="85"/>
      <c r="O50" s="85"/>
      <c r="P50" s="85"/>
      <c r="Q50" s="85"/>
      <c r="R50" s="85"/>
    </row>
    <row r="51" spans="1:18">
      <c r="A51" s="87" t="s">
        <v>486</v>
      </c>
      <c r="B51" s="87" t="s">
        <v>146</v>
      </c>
      <c r="C51" s="87">
        <v>2040</v>
      </c>
      <c r="D51" s="95">
        <v>0.53021608899999995</v>
      </c>
      <c r="E51" s="95">
        <v>0</v>
      </c>
      <c r="F51" s="95">
        <v>0</v>
      </c>
      <c r="G51" s="95">
        <v>0.409783911</v>
      </c>
      <c r="H51" s="96">
        <v>0</v>
      </c>
      <c r="I51" s="96">
        <v>0</v>
      </c>
      <c r="J51" s="96">
        <v>0</v>
      </c>
      <c r="K51" s="96">
        <v>0</v>
      </c>
      <c r="L51" s="97">
        <v>0</v>
      </c>
      <c r="M51" s="85"/>
      <c r="N51" s="85"/>
      <c r="O51" s="85"/>
      <c r="P51" s="85"/>
      <c r="Q51" s="85"/>
      <c r="R51" s="85"/>
    </row>
    <row r="52" spans="1:18">
      <c r="A52" s="87" t="s">
        <v>485</v>
      </c>
      <c r="B52" s="87" t="s">
        <v>146</v>
      </c>
      <c r="C52" s="87">
        <v>2040</v>
      </c>
      <c r="D52" s="95">
        <v>0.53021608899999995</v>
      </c>
      <c r="E52" s="95">
        <v>0</v>
      </c>
      <c r="F52" s="95">
        <v>0</v>
      </c>
      <c r="G52" s="95">
        <v>0.409783911</v>
      </c>
      <c r="H52" s="96">
        <v>0</v>
      </c>
      <c r="I52" s="96">
        <v>0</v>
      </c>
      <c r="J52" s="96">
        <v>0</v>
      </c>
      <c r="K52" s="96">
        <v>0</v>
      </c>
      <c r="L52" s="97">
        <v>0</v>
      </c>
      <c r="M52" s="85"/>
      <c r="N52" s="85"/>
      <c r="O52" s="85"/>
      <c r="P52" s="85"/>
      <c r="Q52" s="85"/>
      <c r="R52" s="85"/>
    </row>
    <row r="53" spans="1:18">
      <c r="A53" s="87" t="s">
        <v>480</v>
      </c>
      <c r="B53" s="87" t="s">
        <v>146</v>
      </c>
      <c r="C53" s="87">
        <v>2040</v>
      </c>
      <c r="D53" s="95">
        <v>0.53021608899999995</v>
      </c>
      <c r="E53" s="95">
        <v>0</v>
      </c>
      <c r="F53" s="95">
        <v>0</v>
      </c>
      <c r="G53" s="95">
        <v>0.409783911</v>
      </c>
      <c r="H53" s="96">
        <v>0</v>
      </c>
      <c r="I53" s="96">
        <v>0</v>
      </c>
      <c r="J53" s="96">
        <v>0</v>
      </c>
      <c r="K53" s="96">
        <v>0</v>
      </c>
      <c r="L53" s="97">
        <v>0</v>
      </c>
      <c r="M53" s="85"/>
      <c r="N53" s="85"/>
      <c r="O53" s="85"/>
      <c r="P53" s="85"/>
      <c r="Q53" s="85"/>
      <c r="R53" s="85"/>
    </row>
    <row r="54" spans="1:18">
      <c r="A54" s="93" t="s">
        <v>482</v>
      </c>
      <c r="B54" s="93" t="s">
        <v>146</v>
      </c>
      <c r="C54" s="93">
        <v>2045</v>
      </c>
      <c r="D54" s="95">
        <v>0.21836045700000001</v>
      </c>
      <c r="E54" s="95">
        <v>0</v>
      </c>
      <c r="F54" s="95">
        <v>0.53468082400000005</v>
      </c>
      <c r="G54" s="95">
        <v>0.16695871900000001</v>
      </c>
      <c r="H54" s="96">
        <v>0</v>
      </c>
      <c r="I54" s="96">
        <v>0</v>
      </c>
      <c r="J54" s="96">
        <v>0</v>
      </c>
      <c r="K54" s="96">
        <v>0</v>
      </c>
      <c r="L54" s="97">
        <v>0</v>
      </c>
      <c r="M54" s="85"/>
      <c r="N54" s="85"/>
      <c r="O54" s="85"/>
      <c r="P54" s="85"/>
      <c r="Q54" s="85"/>
      <c r="R54" s="85"/>
    </row>
    <row r="55" spans="1:18">
      <c r="A55" s="87" t="s">
        <v>484</v>
      </c>
      <c r="B55" s="87" t="s">
        <v>146</v>
      </c>
      <c r="C55" s="87">
        <v>2045</v>
      </c>
      <c r="D55" s="95">
        <v>0.515232774</v>
      </c>
      <c r="E55" s="95">
        <v>0</v>
      </c>
      <c r="F55" s="95">
        <v>0</v>
      </c>
      <c r="G55" s="95">
        <v>0.40476722599999998</v>
      </c>
      <c r="H55" s="96">
        <v>0</v>
      </c>
      <c r="I55" s="96">
        <v>0</v>
      </c>
      <c r="J55" s="96">
        <v>0</v>
      </c>
      <c r="K55" s="96">
        <v>0</v>
      </c>
      <c r="L55" s="97">
        <v>0</v>
      </c>
      <c r="M55" s="85"/>
      <c r="N55" s="85"/>
      <c r="O55" s="85"/>
      <c r="P55" s="85"/>
      <c r="Q55" s="85"/>
      <c r="R55" s="85"/>
    </row>
    <row r="56" spans="1:18">
      <c r="A56" s="87" t="s">
        <v>479</v>
      </c>
      <c r="B56" s="87" t="s">
        <v>146</v>
      </c>
      <c r="C56" s="87">
        <v>2045</v>
      </c>
      <c r="D56" s="95">
        <v>0.515232774</v>
      </c>
      <c r="E56" s="95">
        <v>0</v>
      </c>
      <c r="F56" s="95">
        <v>0</v>
      </c>
      <c r="G56" s="95">
        <v>0.40476722599999998</v>
      </c>
      <c r="H56" s="96">
        <v>0</v>
      </c>
      <c r="I56" s="96">
        <v>0</v>
      </c>
      <c r="J56" s="96">
        <v>0</v>
      </c>
      <c r="K56" s="96">
        <v>0</v>
      </c>
      <c r="L56" s="97">
        <v>0</v>
      </c>
      <c r="M56" s="85"/>
      <c r="N56" s="85"/>
      <c r="O56" s="85"/>
      <c r="P56" s="85"/>
      <c r="Q56" s="85"/>
      <c r="R56" s="85"/>
    </row>
    <row r="57" spans="1:18">
      <c r="A57" s="87" t="s">
        <v>483</v>
      </c>
      <c r="B57" s="87" t="s">
        <v>146</v>
      </c>
      <c r="C57" s="87">
        <v>2045</v>
      </c>
      <c r="D57" s="95">
        <v>0.515232774</v>
      </c>
      <c r="E57" s="95">
        <v>0</v>
      </c>
      <c r="F57" s="95">
        <v>0</v>
      </c>
      <c r="G57" s="95">
        <v>0.40476722599999998</v>
      </c>
      <c r="H57" s="96">
        <v>0</v>
      </c>
      <c r="I57" s="96">
        <v>0</v>
      </c>
      <c r="J57" s="96">
        <v>0</v>
      </c>
      <c r="K57" s="96">
        <v>0</v>
      </c>
      <c r="L57" s="97">
        <v>0</v>
      </c>
      <c r="M57" s="85"/>
      <c r="N57" s="85"/>
      <c r="O57" s="85"/>
      <c r="P57" s="85"/>
      <c r="Q57" s="85"/>
      <c r="R57" s="85"/>
    </row>
    <row r="58" spans="1:18">
      <c r="A58" s="87" t="s">
        <v>478</v>
      </c>
      <c r="B58" s="87" t="s">
        <v>146</v>
      </c>
      <c r="C58" s="87">
        <v>2045</v>
      </c>
      <c r="D58" s="95">
        <v>0.515232774</v>
      </c>
      <c r="E58" s="95">
        <v>0</v>
      </c>
      <c r="F58" s="95">
        <v>0</v>
      </c>
      <c r="G58" s="95">
        <v>0.40476722599999998</v>
      </c>
      <c r="H58" s="96">
        <v>0</v>
      </c>
      <c r="I58" s="96">
        <v>0</v>
      </c>
      <c r="J58" s="96">
        <v>0</v>
      </c>
      <c r="K58" s="96">
        <v>0</v>
      </c>
      <c r="L58" s="97">
        <v>0</v>
      </c>
      <c r="M58" s="85"/>
      <c r="N58" s="85"/>
      <c r="O58" s="85"/>
      <c r="P58" s="85"/>
      <c r="Q58" s="85"/>
      <c r="R58" s="85"/>
    </row>
    <row r="59" spans="1:18">
      <c r="A59" s="87" t="s">
        <v>486</v>
      </c>
      <c r="B59" s="87" t="s">
        <v>146</v>
      </c>
      <c r="C59" s="87">
        <v>2045</v>
      </c>
      <c r="D59" s="95">
        <v>0.515232774</v>
      </c>
      <c r="E59" s="95">
        <v>0</v>
      </c>
      <c r="F59" s="95">
        <v>0</v>
      </c>
      <c r="G59" s="95">
        <v>0.40476722599999998</v>
      </c>
      <c r="H59" s="96">
        <v>0</v>
      </c>
      <c r="I59" s="96">
        <v>0</v>
      </c>
      <c r="J59" s="96">
        <v>0</v>
      </c>
      <c r="K59" s="96">
        <v>0</v>
      </c>
      <c r="L59" s="97">
        <v>0</v>
      </c>
      <c r="M59" s="85"/>
      <c r="N59" s="85"/>
      <c r="O59" s="85"/>
      <c r="P59" s="85"/>
      <c r="Q59" s="85"/>
      <c r="R59" s="85"/>
    </row>
    <row r="60" spans="1:18">
      <c r="A60" s="87" t="s">
        <v>485</v>
      </c>
      <c r="B60" s="87" t="s">
        <v>146</v>
      </c>
      <c r="C60" s="87">
        <v>2045</v>
      </c>
      <c r="D60" s="95">
        <v>0.515232774</v>
      </c>
      <c r="E60" s="95">
        <v>0</v>
      </c>
      <c r="F60" s="95">
        <v>0</v>
      </c>
      <c r="G60" s="95">
        <v>0.40476722599999998</v>
      </c>
      <c r="H60" s="96">
        <v>0</v>
      </c>
      <c r="I60" s="96">
        <v>0</v>
      </c>
      <c r="J60" s="96">
        <v>0</v>
      </c>
      <c r="K60" s="96">
        <v>0</v>
      </c>
      <c r="L60" s="97">
        <v>0</v>
      </c>
      <c r="M60" s="85"/>
      <c r="N60" s="85"/>
      <c r="O60" s="85"/>
      <c r="P60" s="85"/>
      <c r="Q60" s="85"/>
      <c r="R60" s="85"/>
    </row>
    <row r="61" spans="1:18">
      <c r="A61" s="87" t="s">
        <v>480</v>
      </c>
      <c r="B61" s="87" t="s">
        <v>146</v>
      </c>
      <c r="C61" s="87">
        <v>2045</v>
      </c>
      <c r="D61" s="95">
        <v>0.515232774</v>
      </c>
      <c r="E61" s="95">
        <v>0</v>
      </c>
      <c r="F61" s="95">
        <v>0</v>
      </c>
      <c r="G61" s="95">
        <v>0.40476722599999998</v>
      </c>
      <c r="H61" s="96">
        <v>0</v>
      </c>
      <c r="I61" s="96">
        <v>0</v>
      </c>
      <c r="J61" s="96">
        <v>0</v>
      </c>
      <c r="K61" s="96">
        <v>0</v>
      </c>
      <c r="L61" s="97">
        <v>0</v>
      </c>
      <c r="M61" s="85"/>
      <c r="N61" s="85"/>
      <c r="O61" s="85"/>
      <c r="P61" s="85"/>
      <c r="Q61" s="85"/>
      <c r="R61" s="85"/>
    </row>
    <row r="62" spans="1:18">
      <c r="A62" s="93" t="s">
        <v>482</v>
      </c>
      <c r="B62" s="93" t="s">
        <v>146</v>
      </c>
      <c r="C62" s="93">
        <v>2050</v>
      </c>
      <c r="D62" s="95">
        <v>0.20450834500000001</v>
      </c>
      <c r="E62" s="95">
        <v>0</v>
      </c>
      <c r="F62" s="95">
        <v>0.53745798199999995</v>
      </c>
      <c r="G62" s="95">
        <v>0.15803367300000001</v>
      </c>
      <c r="H62" s="96">
        <v>0</v>
      </c>
      <c r="I62" s="96">
        <v>0</v>
      </c>
      <c r="J62" s="96">
        <v>0</v>
      </c>
      <c r="K62" s="96">
        <v>0</v>
      </c>
      <c r="L62" s="97">
        <v>0</v>
      </c>
      <c r="M62" s="85"/>
      <c r="N62" s="85"/>
      <c r="O62" s="85"/>
      <c r="P62" s="85"/>
      <c r="Q62" s="85"/>
      <c r="R62" s="85"/>
    </row>
    <row r="63" spans="1:18">
      <c r="A63" s="87" t="s">
        <v>484</v>
      </c>
      <c r="B63" s="87" t="s">
        <v>146</v>
      </c>
      <c r="C63" s="87">
        <v>2050</v>
      </c>
      <c r="D63" s="95">
        <v>0.50023832499999998</v>
      </c>
      <c r="E63" s="95">
        <v>0</v>
      </c>
      <c r="F63" s="95">
        <v>0</v>
      </c>
      <c r="G63" s="95">
        <v>0.39976167499999998</v>
      </c>
      <c r="H63" s="96">
        <v>0</v>
      </c>
      <c r="I63" s="96">
        <v>0</v>
      </c>
      <c r="J63" s="96">
        <v>0</v>
      </c>
      <c r="K63" s="96">
        <v>0</v>
      </c>
      <c r="L63" s="97">
        <v>0</v>
      </c>
      <c r="M63" s="85"/>
      <c r="N63" s="85"/>
      <c r="O63" s="85"/>
      <c r="P63" s="85"/>
      <c r="Q63" s="85"/>
      <c r="R63" s="85"/>
    </row>
    <row r="64" spans="1:18">
      <c r="A64" s="87" t="s">
        <v>479</v>
      </c>
      <c r="B64" s="87" t="s">
        <v>146</v>
      </c>
      <c r="C64" s="87">
        <v>2050</v>
      </c>
      <c r="D64" s="95">
        <v>0.50023832499999998</v>
      </c>
      <c r="E64" s="95">
        <v>0</v>
      </c>
      <c r="F64" s="95">
        <v>0</v>
      </c>
      <c r="G64" s="95">
        <v>0.39976167499999998</v>
      </c>
      <c r="H64" s="96">
        <v>0</v>
      </c>
      <c r="I64" s="96">
        <v>0</v>
      </c>
      <c r="J64" s="96">
        <v>0</v>
      </c>
      <c r="K64" s="96">
        <v>0</v>
      </c>
      <c r="L64" s="97">
        <v>0</v>
      </c>
      <c r="M64" s="85"/>
      <c r="N64" s="85"/>
      <c r="O64" s="85"/>
      <c r="P64" s="85"/>
      <c r="Q64" s="85"/>
      <c r="R64" s="85"/>
    </row>
    <row r="65" spans="1:18">
      <c r="A65" s="87" t="s">
        <v>483</v>
      </c>
      <c r="B65" s="87" t="s">
        <v>146</v>
      </c>
      <c r="C65" s="87">
        <v>2050</v>
      </c>
      <c r="D65" s="95">
        <v>0.50023832499999998</v>
      </c>
      <c r="E65" s="95">
        <v>0</v>
      </c>
      <c r="F65" s="95">
        <v>0</v>
      </c>
      <c r="G65" s="95">
        <v>0.39976167499999998</v>
      </c>
      <c r="H65" s="96">
        <v>0</v>
      </c>
      <c r="I65" s="96">
        <v>0</v>
      </c>
      <c r="J65" s="96">
        <v>0</v>
      </c>
      <c r="K65" s="96">
        <v>0</v>
      </c>
      <c r="L65" s="97">
        <v>0</v>
      </c>
      <c r="M65" s="85"/>
      <c r="N65" s="85"/>
      <c r="O65" s="85"/>
      <c r="P65" s="85"/>
      <c r="Q65" s="85"/>
      <c r="R65" s="85"/>
    </row>
    <row r="66" spans="1:18">
      <c r="A66" s="87" t="s">
        <v>478</v>
      </c>
      <c r="B66" s="87" t="s">
        <v>146</v>
      </c>
      <c r="C66" s="87">
        <v>2050</v>
      </c>
      <c r="D66" s="95">
        <v>0.50023832499999998</v>
      </c>
      <c r="E66" s="95">
        <v>0</v>
      </c>
      <c r="F66" s="95">
        <v>0</v>
      </c>
      <c r="G66" s="95">
        <v>0.39976167499999998</v>
      </c>
      <c r="H66" s="96">
        <v>0</v>
      </c>
      <c r="I66" s="96">
        <v>0</v>
      </c>
      <c r="J66" s="96">
        <v>0</v>
      </c>
      <c r="K66" s="96">
        <v>0</v>
      </c>
      <c r="L66" s="97">
        <v>0</v>
      </c>
      <c r="M66" s="85"/>
      <c r="N66" s="85"/>
      <c r="O66" s="85"/>
      <c r="P66" s="85"/>
      <c r="Q66" s="85"/>
      <c r="R66" s="85"/>
    </row>
    <row r="67" spans="1:18">
      <c r="A67" s="87" t="s">
        <v>486</v>
      </c>
      <c r="B67" s="87" t="s">
        <v>146</v>
      </c>
      <c r="C67" s="87">
        <v>2050</v>
      </c>
      <c r="D67" s="95">
        <v>0.50023832499999998</v>
      </c>
      <c r="E67" s="95">
        <v>0</v>
      </c>
      <c r="F67" s="95">
        <v>0</v>
      </c>
      <c r="G67" s="95">
        <v>0.39976167499999998</v>
      </c>
      <c r="H67" s="96">
        <v>0</v>
      </c>
      <c r="I67" s="96">
        <v>0</v>
      </c>
      <c r="J67" s="96">
        <v>0</v>
      </c>
      <c r="K67" s="96">
        <v>0</v>
      </c>
      <c r="L67" s="97">
        <v>0</v>
      </c>
      <c r="M67" s="85"/>
      <c r="N67" s="85"/>
      <c r="O67" s="85"/>
      <c r="P67" s="85"/>
      <c r="Q67" s="85"/>
      <c r="R67" s="85"/>
    </row>
    <row r="68" spans="1:18">
      <c r="A68" s="87" t="s">
        <v>485</v>
      </c>
      <c r="B68" s="87" t="s">
        <v>146</v>
      </c>
      <c r="C68" s="87">
        <v>2050</v>
      </c>
      <c r="D68" s="95">
        <v>0.50023832499999998</v>
      </c>
      <c r="E68" s="95">
        <v>0</v>
      </c>
      <c r="F68" s="95">
        <v>0</v>
      </c>
      <c r="G68" s="95">
        <v>0.39976167499999998</v>
      </c>
      <c r="H68" s="96">
        <v>0</v>
      </c>
      <c r="I68" s="96">
        <v>0</v>
      </c>
      <c r="J68" s="96">
        <v>0</v>
      </c>
      <c r="K68" s="96">
        <v>0</v>
      </c>
      <c r="L68" s="97">
        <v>0</v>
      </c>
      <c r="M68" s="85"/>
      <c r="N68" s="85"/>
      <c r="O68" s="85"/>
      <c r="P68" s="85"/>
      <c r="Q68" s="85"/>
      <c r="R68" s="85"/>
    </row>
    <row r="69" spans="1:18">
      <c r="A69" s="87" t="s">
        <v>480</v>
      </c>
      <c r="B69" s="87" t="s">
        <v>146</v>
      </c>
      <c r="C69" s="87">
        <v>2050</v>
      </c>
      <c r="D69" s="95">
        <v>0.50023832499999998</v>
      </c>
      <c r="E69" s="95">
        <v>0</v>
      </c>
      <c r="F69" s="95">
        <v>0</v>
      </c>
      <c r="G69" s="95">
        <v>0.39976167499999998</v>
      </c>
      <c r="H69" s="96">
        <v>0</v>
      </c>
      <c r="I69" s="96">
        <v>0</v>
      </c>
      <c r="J69" s="96">
        <v>0</v>
      </c>
      <c r="K69" s="96">
        <v>0</v>
      </c>
      <c r="L69" s="97">
        <v>0</v>
      </c>
      <c r="M69" s="85"/>
      <c r="N69" s="85"/>
      <c r="O69" s="85"/>
      <c r="P69" s="85"/>
      <c r="Q69" s="85"/>
      <c r="R69" s="85"/>
    </row>
    <row r="70" spans="1:18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</row>
    <row r="71" spans="1:18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</row>
    <row r="72" spans="1:18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</row>
    <row r="73" spans="1:18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</row>
    <row r="74" spans="1:18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</row>
    <row r="75" spans="1:18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</row>
    <row r="76" spans="1:18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8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</row>
    <row r="78" spans="1:1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</row>
    <row r="79" spans="1:18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</row>
    <row r="80" spans="1:18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</row>
    <row r="81" spans="1:12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</row>
    <row r="82" spans="1:1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</row>
    <row r="83" spans="1:12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</row>
    <row r="84" spans="1:12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</row>
    <row r="85" spans="1:12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</row>
    <row r="86" spans="1:12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</row>
    <row r="87" spans="1:12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</row>
    <row r="88" spans="1:12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</row>
    <row r="89" spans="1:12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</row>
    <row r="90" spans="1:12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</row>
    <row r="91" spans="1:12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</row>
    <row r="92" spans="1:1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</row>
    <row r="93" spans="1:12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</row>
    <row r="94" spans="1:12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</row>
    <row r="95" spans="1:12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</row>
    <row r="96" spans="1:12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</row>
    <row r="97" spans="1:12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</row>
    <row r="98" spans="1:12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</row>
    <row r="99" spans="1:12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</row>
    <row r="100" spans="1:12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</row>
    <row r="101" spans="1:12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</row>
    <row r="102" spans="1:1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</row>
    <row r="103" spans="1:12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</row>
    <row r="104" spans="1:12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</row>
    <row r="105" spans="1:12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</row>
    <row r="106" spans="1:12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</row>
    <row r="107" spans="1:12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</row>
    <row r="108" spans="1:12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</row>
    <row r="109" spans="1:12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</row>
    <row r="110" spans="1:12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</row>
    <row r="111" spans="1:12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</row>
    <row r="112" spans="1: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</row>
    <row r="113" spans="1:12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</row>
    <row r="114" spans="1:12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</row>
    <row r="115" spans="1:12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</row>
    <row r="116" spans="1:12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</row>
    <row r="117" spans="1:12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</row>
    <row r="118" spans="1:12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</row>
    <row r="119" spans="1:12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</row>
    <row r="120" spans="1:12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</row>
    <row r="121" spans="1:12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</row>
    <row r="122" spans="1:1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</row>
    <row r="123" spans="1:12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</row>
    <row r="124" spans="1:12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</row>
    <row r="125" spans="1:12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</row>
    <row r="126" spans="1:12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</row>
    <row r="127" spans="1:12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</row>
    <row r="128" spans="1:12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</row>
    <row r="129" spans="1:12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</row>
    <row r="130" spans="1:12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</row>
    <row r="131" spans="1:12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</row>
    <row r="132" spans="1:1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</row>
    <row r="133" spans="1:12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</row>
    <row r="134" spans="1:12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</row>
    <row r="135" spans="1:12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</row>
    <row r="136" spans="1:12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</row>
    <row r="137" spans="1:12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</row>
    <row r="138" spans="1:12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</row>
    <row r="139" spans="1:12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</row>
    <row r="140" spans="1:12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</row>
    <row r="141" spans="1:12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</row>
    <row r="142" spans="1:1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</row>
    <row r="143" spans="1:12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</row>
    <row r="144" spans="1:12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</row>
    <row r="145" spans="1:12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</row>
    <row r="146" spans="1:12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</row>
    <row r="147" spans="1:12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</row>
    <row r="148" spans="1:12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</row>
    <row r="149" spans="1:12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</row>
    <row r="150" spans="1:12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</row>
    <row r="151" spans="1:12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</row>
    <row r="152" spans="1:1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</row>
    <row r="153" spans="1:12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</row>
    <row r="154" spans="1:12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</row>
    <row r="155" spans="1:12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</row>
    <row r="156" spans="1:12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</row>
    <row r="157" spans="1:12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</row>
    <row r="158" spans="1:12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</row>
    <row r="159" spans="1:12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</row>
    <row r="160" spans="1:12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</row>
    <row r="161" spans="1:12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</row>
    <row r="162" spans="1:1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</row>
    <row r="163" spans="1:12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</row>
    <row r="164" spans="1:12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</row>
    <row r="165" spans="1:12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</row>
    <row r="166" spans="1:12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</row>
    <row r="167" spans="1:12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</row>
    <row r="168" spans="1:12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</row>
    <row r="169" spans="1:12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</row>
    <row r="170" spans="1:12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</row>
    <row r="171" spans="1:12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</row>
    <row r="172" spans="1:1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</row>
    <row r="173" spans="1:12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</row>
    <row r="174" spans="1:12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</row>
    <row r="175" spans="1:12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</row>
    <row r="176" spans="1:12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</row>
    <row r="177" spans="1:12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</row>
    <row r="178" spans="1:12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</row>
    <row r="179" spans="1:12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</row>
    <row r="180" spans="1:12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</row>
    <row r="181" spans="1:12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</row>
    <row r="182" spans="1:1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</row>
    <row r="183" spans="1:12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</row>
    <row r="184" spans="1:12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</row>
    <row r="185" spans="1:12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</row>
    <row r="186" spans="1:12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</row>
    <row r="187" spans="1:12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</row>
    <row r="188" spans="1:12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</row>
    <row r="189" spans="1:12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</row>
    <row r="190" spans="1:12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</row>
    <row r="191" spans="1:12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</row>
    <row r="192" spans="1:1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</row>
    <row r="193" spans="1:12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</row>
    <row r="194" spans="1:12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</row>
    <row r="195" spans="1:12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</row>
    <row r="196" spans="1:12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</row>
    <row r="197" spans="1:12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</row>
    <row r="198" spans="1:12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</row>
    <row r="199" spans="1:12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</row>
    <row r="200" spans="1:12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</row>
    <row r="201" spans="1:12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</row>
    <row r="202" spans="1:1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</row>
    <row r="203" spans="1:12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</row>
    <row r="204" spans="1:12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</row>
    <row r="205" spans="1:12">
      <c r="A205" s="94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</row>
    <row r="206" spans="1:12">
      <c r="A206" s="94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</row>
    <row r="207" spans="1:12">
      <c r="A207" s="94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</row>
    <row r="208" spans="1:12">
      <c r="A208" s="94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</row>
    <row r="209" spans="1:12">
      <c r="A209" s="94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</row>
    <row r="210" spans="1:12">
      <c r="A210" s="94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</row>
    <row r="211" spans="1:12">
      <c r="A211" s="94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</row>
    <row r="212" spans="1:12">
      <c r="A212" s="94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</row>
    <row r="213" spans="1:12">
      <c r="A213" s="94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</row>
    <row r="214" spans="1:12">
      <c r="A214" s="94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</row>
    <row r="215" spans="1:12">
      <c r="A215" s="94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</row>
    <row r="216" spans="1:12">
      <c r="A216" s="94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</row>
    <row r="217" spans="1:12">
      <c r="A217" s="94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</row>
    <row r="218" spans="1:12">
      <c r="A218" s="94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</row>
    <row r="219" spans="1:12">
      <c r="A219" s="94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</row>
    <row r="220" spans="1:12">
      <c r="A220" s="94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</row>
    <row r="221" spans="1:12">
      <c r="A221" s="94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</row>
    <row r="222" spans="1:12">
      <c r="A222" s="94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</row>
    <row r="223" spans="1:12">
      <c r="A223" s="94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</row>
    <row r="224" spans="1:12">
      <c r="A224" s="94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</row>
    <row r="225" spans="1:12">
      <c r="A225" s="94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</row>
    <row r="226" spans="1:12">
      <c r="A226" s="94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</row>
    <row r="227" spans="1:12">
      <c r="A227" s="94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</row>
    <row r="228" spans="1:12">
      <c r="A228" s="94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</row>
    <row r="229" spans="1:12">
      <c r="A229" s="94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</row>
    <row r="230" spans="1:12">
      <c r="A230" s="94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</row>
    <row r="231" spans="1:12">
      <c r="A231" s="94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</row>
    <row r="232" spans="1:12">
      <c r="A232" s="94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</row>
    <row r="233" spans="1:12">
      <c r="A233" s="94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</row>
    <row r="234" spans="1:12">
      <c r="A234" s="94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</row>
    <row r="235" spans="1:12">
      <c r="A235" s="94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</row>
    <row r="236" spans="1:12">
      <c r="A236" s="94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</row>
    <row r="237" spans="1:12">
      <c r="A237" s="94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</row>
    <row r="238" spans="1:12">
      <c r="A238" s="94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</row>
    <row r="239" spans="1:12">
      <c r="A239" s="94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</row>
    <row r="240" spans="1:12">
      <c r="A240" s="94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</row>
    <row r="241" spans="1:12">
      <c r="A241" s="94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</row>
    <row r="242" spans="1:12">
      <c r="A242" s="94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</row>
    <row r="243" spans="1:12">
      <c r="A243" s="94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</row>
    <row r="244" spans="1:12">
      <c r="A244" s="94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</row>
    <row r="245" spans="1:12">
      <c r="A245" s="94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</row>
    <row r="246" spans="1:12">
      <c r="A246" s="94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</row>
    <row r="247" spans="1:12">
      <c r="A247" s="94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</row>
    <row r="248" spans="1:12">
      <c r="A248" s="94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</row>
    <row r="249" spans="1:12">
      <c r="A249" s="94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</row>
    <row r="250" spans="1:12">
      <c r="A250" s="94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</row>
    <row r="251" spans="1:12">
      <c r="A251" s="94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</row>
    <row r="252" spans="1:12">
      <c r="A252" s="94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</row>
    <row r="253" spans="1:12">
      <c r="A253" s="94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</row>
    <row r="254" spans="1:12">
      <c r="A254" s="94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</row>
    <row r="255" spans="1:12">
      <c r="A255" s="94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</row>
    <row r="256" spans="1:12">
      <c r="A256" s="94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</row>
    <row r="257" spans="1:12">
      <c r="A257" s="94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</row>
    <row r="258" spans="1:12">
      <c r="A258" s="94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</row>
    <row r="259" spans="1:12">
      <c r="A259" s="94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</row>
    <row r="260" spans="1:12">
      <c r="A260" s="94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</row>
    <row r="261" spans="1:12">
      <c r="A261" s="94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</row>
    <row r="262" spans="1:12">
      <c r="A262" s="94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</row>
    <row r="263" spans="1:12">
      <c r="A263" s="94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</row>
    <row r="264" spans="1:12">
      <c r="A264" s="94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</row>
    <row r="265" spans="1:12">
      <c r="A265" s="94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</row>
    <row r="266" spans="1:12">
      <c r="A266" s="94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</row>
    <row r="267" spans="1:12">
      <c r="A267" s="94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</row>
    <row r="268" spans="1:12">
      <c r="A268" s="94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</row>
    <row r="269" spans="1:12">
      <c r="A269" s="94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</row>
    <row r="270" spans="1:12">
      <c r="A270" s="94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</row>
    <row r="271" spans="1:12">
      <c r="A271" s="94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</row>
    <row r="272" spans="1:12">
      <c r="A272" s="94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</row>
    <row r="273" spans="1:12">
      <c r="A273" s="94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</row>
    <row r="274" spans="1:12">
      <c r="A274" s="94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</row>
    <row r="275" spans="1:12">
      <c r="A275" s="94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</row>
    <row r="276" spans="1:12">
      <c r="A276" s="94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</row>
    <row r="277" spans="1:12">
      <c r="A277" s="94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</row>
    <row r="278" spans="1:12">
      <c r="A278" s="94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</row>
    <row r="279" spans="1:12">
      <c r="A279" s="94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</row>
    <row r="280" spans="1:12">
      <c r="A280" s="94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</row>
    <row r="281" spans="1:12">
      <c r="A281" s="94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</row>
    <row r="282" spans="1:12">
      <c r="A282" s="94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</row>
    <row r="283" spans="1:12">
      <c r="A283" s="94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</row>
    <row r="284" spans="1:12">
      <c r="A284" s="94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</row>
    <row r="285" spans="1:12">
      <c r="A285" s="94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</row>
    <row r="286" spans="1:12">
      <c r="A286" s="94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</row>
    <row r="287" spans="1:12">
      <c r="A287" s="94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</row>
    <row r="288" spans="1:12">
      <c r="A288" s="94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</row>
    <row r="289" spans="1:12">
      <c r="A289" s="94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</row>
    <row r="290" spans="1:12">
      <c r="A290" s="94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</row>
    <row r="291" spans="1:12">
      <c r="A291" s="94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</row>
    <row r="292" spans="1:12">
      <c r="A292" s="94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</row>
    <row r="293" spans="1:12">
      <c r="A293" s="94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</row>
    <row r="294" spans="1:12">
      <c r="A294" s="94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</row>
    <row r="295" spans="1:12">
      <c r="A295" s="94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</row>
    <row r="296" spans="1:12">
      <c r="A296" s="94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</row>
    <row r="297" spans="1:12">
      <c r="A297" s="94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</row>
    <row r="298" spans="1:12">
      <c r="A298" s="94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</row>
    <row r="299" spans="1:12">
      <c r="A299" s="94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</row>
    <row r="300" spans="1:12">
      <c r="A300" s="94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</row>
    <row r="301" spans="1:12">
      <c r="A301" s="94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</row>
    <row r="302" spans="1:12">
      <c r="A302" s="94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</row>
    <row r="303" spans="1:12">
      <c r="A303" s="94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</row>
    <row r="304" spans="1:12">
      <c r="A304" s="94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</row>
    <row r="305" spans="1:12">
      <c r="A305" s="94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</row>
    <row r="306" spans="1:12">
      <c r="A306" s="94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</row>
    <row r="307" spans="1:12">
      <c r="A307" s="94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</row>
    <row r="308" spans="1:12">
      <c r="A308" s="94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</row>
    <row r="309" spans="1:12">
      <c r="A309" s="94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</row>
    <row r="310" spans="1:12">
      <c r="A310" s="94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</row>
    <row r="311" spans="1:12">
      <c r="A311" s="94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</row>
    <row r="312" spans="1:12">
      <c r="A312" s="94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</row>
    <row r="313" spans="1:12">
      <c r="A313" s="94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</row>
    <row r="314" spans="1:12">
      <c r="A314" s="94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</row>
    <row r="315" spans="1:12">
      <c r="A315" s="94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</row>
    <row r="316" spans="1:12">
      <c r="A316" s="94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</row>
    <row r="317" spans="1:12">
      <c r="A317" s="94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</row>
    <row r="318" spans="1:12">
      <c r="A318" s="94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</row>
    <row r="319" spans="1:12">
      <c r="A319" s="94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</row>
    <row r="320" spans="1:12">
      <c r="A320" s="94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</row>
    <row r="321" spans="1:12">
      <c r="A321" s="94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</row>
    <row r="322" spans="1:12">
      <c r="A322" s="94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</row>
    <row r="323" spans="1:12">
      <c r="A323" s="94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</row>
    <row r="324" spans="1:12">
      <c r="A324" s="94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</row>
    <row r="325" spans="1:12">
      <c r="A325" s="94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</row>
    <row r="326" spans="1:12">
      <c r="A326" s="94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</row>
    <row r="327" spans="1:12">
      <c r="A327" s="94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</row>
    <row r="328" spans="1:12">
      <c r="A328" s="94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</row>
    <row r="329" spans="1:12">
      <c r="A329" s="94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</row>
    <row r="330" spans="1:12">
      <c r="A330" s="94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</row>
    <row r="331" spans="1:12">
      <c r="A331" s="94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</row>
    <row r="332" spans="1:12">
      <c r="A332" s="94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</row>
    <row r="333" spans="1:12">
      <c r="A333" s="94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</row>
    <row r="334" spans="1:12">
      <c r="A334" s="94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</row>
    <row r="335" spans="1:12">
      <c r="A335" s="94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</row>
    <row r="336" spans="1:12">
      <c r="A336" s="94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</row>
    <row r="337" spans="1:12">
      <c r="A337" s="94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</row>
    <row r="338" spans="1:12">
      <c r="A338" s="94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</row>
    <row r="339" spans="1:12">
      <c r="A339" s="94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</row>
    <row r="340" spans="1:12">
      <c r="A340" s="94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</row>
    <row r="341" spans="1:12">
      <c r="A341" s="94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</row>
    <row r="342" spans="1:12">
      <c r="A342" s="94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</row>
    <row r="343" spans="1:12">
      <c r="A343" s="94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</row>
    <row r="344" spans="1:12">
      <c r="A344" s="94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</row>
    <row r="345" spans="1:12">
      <c r="A345" s="94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</row>
    <row r="346" spans="1:12">
      <c r="A346" s="94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</row>
    <row r="347" spans="1:12">
      <c r="A347" s="94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</row>
    <row r="348" spans="1:12">
      <c r="A348" s="94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</row>
    <row r="349" spans="1:12">
      <c r="A349" s="94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</row>
    <row r="350" spans="1:12">
      <c r="A350" s="94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</row>
    <row r="351" spans="1:12">
      <c r="A351" s="94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</row>
    <row r="352" spans="1:12">
      <c r="A352" s="94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</row>
    <row r="353" spans="1:12">
      <c r="A353" s="94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</row>
    <row r="354" spans="1:12">
      <c r="A354" s="94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</row>
    <row r="355" spans="1:12">
      <c r="A355" s="94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</row>
    <row r="356" spans="1:12">
      <c r="A356" s="94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</row>
    <row r="357" spans="1:12">
      <c r="A357" s="94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</row>
    <row r="358" spans="1:12">
      <c r="A358" s="94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</row>
    <row r="359" spans="1:12">
      <c r="A359" s="94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</row>
    <row r="360" spans="1:12">
      <c r="A360" s="94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</row>
    <row r="361" spans="1:12">
      <c r="A361" s="94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</row>
    <row r="362" spans="1:12">
      <c r="A362" s="94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</row>
    <row r="363" spans="1:12">
      <c r="A363" s="94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</row>
    <row r="364" spans="1:12">
      <c r="A364" s="94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</row>
    <row r="365" spans="1:12">
      <c r="A365" s="94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</row>
    <row r="366" spans="1:12">
      <c r="A366" s="94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</row>
    <row r="367" spans="1:12">
      <c r="A367" s="94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</row>
    <row r="368" spans="1:12">
      <c r="A368" s="94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</row>
    <row r="369" spans="1:12">
      <c r="A369" s="94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</row>
    <row r="370" spans="1:12">
      <c r="A370" s="94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</row>
    <row r="371" spans="1:12">
      <c r="A371" s="94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</row>
    <row r="372" spans="1:12">
      <c r="A372" s="94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</row>
    <row r="373" spans="1:12">
      <c r="A373" s="94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</row>
    <row r="374" spans="1:12">
      <c r="A374" s="94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</row>
    <row r="375" spans="1:12">
      <c r="A375" s="94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</row>
    <row r="376" spans="1:12">
      <c r="A376" s="94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</row>
    <row r="377" spans="1:12">
      <c r="A377" s="94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</row>
    <row r="378" spans="1:12">
      <c r="A378" s="94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</row>
    <row r="379" spans="1:12">
      <c r="A379" s="94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</row>
    <row r="380" spans="1:12">
      <c r="A380" s="94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</row>
    <row r="381" spans="1:12">
      <c r="A381" s="94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</row>
    <row r="382" spans="1:12">
      <c r="A382" s="94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</row>
    <row r="383" spans="1:12">
      <c r="A383" s="94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</row>
    <row r="384" spans="1:12">
      <c r="A384" s="94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</row>
    <row r="385" spans="1:12">
      <c r="A385" s="94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</row>
    <row r="386" spans="1:12">
      <c r="A386" s="94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</row>
    <row r="387" spans="1:12">
      <c r="A387" s="94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</row>
    <row r="388" spans="1:12">
      <c r="A388" s="94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</row>
    <row r="389" spans="1:12">
      <c r="A389" s="94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</row>
    <row r="390" spans="1:12">
      <c r="A390" s="94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</row>
    <row r="391" spans="1:12">
      <c r="A391" s="94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</row>
    <row r="392" spans="1:12">
      <c r="A392" s="94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</row>
    <row r="393" spans="1:12">
      <c r="A393" s="94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</row>
    <row r="394" spans="1:12">
      <c r="A394" s="94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</row>
    <row r="395" spans="1:12">
      <c r="A395" s="94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</row>
    <row r="396" spans="1:12">
      <c r="A396" s="94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</row>
    <row r="397" spans="1:12">
      <c r="A397" s="94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</row>
    <row r="398" spans="1:12">
      <c r="A398" s="94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</row>
    <row r="399" spans="1:12">
      <c r="A399" s="94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</row>
    <row r="400" spans="1:12">
      <c r="A400" s="94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</row>
    <row r="401" spans="1:12">
      <c r="A401" s="94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</row>
    <row r="402" spans="1:12">
      <c r="A402" s="94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</row>
    <row r="403" spans="1:12">
      <c r="A403" s="94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</row>
    <row r="404" spans="1:12">
      <c r="A404" s="94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</row>
    <row r="405" spans="1:12">
      <c r="A405" s="94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</row>
    <row r="406" spans="1:12">
      <c r="A406" s="94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</row>
    <row r="407" spans="1:12">
      <c r="A407" s="94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</row>
    <row r="408" spans="1:12">
      <c r="A408" s="94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</row>
    <row r="409" spans="1:12">
      <c r="A409" s="94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</row>
    <row r="410" spans="1:12">
      <c r="A410" s="94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</row>
    <row r="411" spans="1:12">
      <c r="A411" s="94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</row>
    <row r="412" spans="1:12">
      <c r="A412" s="94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</row>
    <row r="413" spans="1:12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</row>
    <row r="414" spans="1:12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</row>
    <row r="415" spans="1:12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</row>
    <row r="416" spans="1:12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</row>
    <row r="417" spans="1:12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</row>
    <row r="418" spans="1:12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</row>
    <row r="419" spans="1:12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</row>
    <row r="420" spans="1:12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</row>
    <row r="421" spans="1:12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</row>
    <row r="422" spans="1:1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</row>
    <row r="423" spans="1:12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</row>
    <row r="424" spans="1:12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</row>
    <row r="425" spans="1:12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</row>
    <row r="426" spans="1:12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</row>
    <row r="427" spans="1:12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</row>
    <row r="428" spans="1:12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</row>
    <row r="429" spans="1:12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</row>
    <row r="430" spans="1:12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</row>
    <row r="431" spans="1:12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</row>
    <row r="432" spans="1:1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</row>
    <row r="433" spans="1:12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</row>
    <row r="434" spans="1:12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</row>
    <row r="435" spans="1:12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</row>
    <row r="436" spans="1:12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</row>
    <row r="437" spans="1:12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</row>
    <row r="438" spans="1:12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</row>
    <row r="439" spans="1:12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</row>
    <row r="440" spans="1:12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</row>
    <row r="441" spans="1:12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</row>
    <row r="442" spans="1:1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</row>
    <row r="443" spans="1:12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</row>
    <row r="444" spans="1:12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</row>
    <row r="445" spans="1:12">
      <c r="A445" s="94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</row>
    <row r="446" spans="1:12">
      <c r="A446" s="94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</row>
    <row r="447" spans="1:12">
      <c r="A447" s="94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</row>
    <row r="448" spans="1:12">
      <c r="A448" s="94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</row>
    <row r="449" spans="1:12">
      <c r="A449" s="94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</row>
    <row r="450" spans="1:12">
      <c r="A450" s="94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</row>
    <row r="451" spans="1:12">
      <c r="A451" s="94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</row>
    <row r="452" spans="1:12">
      <c r="A452" s="94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</row>
    <row r="453" spans="1:12">
      <c r="A453" s="94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</row>
    <row r="454" spans="1:12">
      <c r="A454" s="94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</row>
    <row r="455" spans="1:12">
      <c r="A455" s="94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</row>
    <row r="456" spans="1:12">
      <c r="A456" s="94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</row>
    <row r="457" spans="1:12">
      <c r="A457" s="94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</row>
    <row r="458" spans="1:12">
      <c r="A458" s="94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</row>
    <row r="459" spans="1:12">
      <c r="A459" s="94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</row>
    <row r="460" spans="1:12">
      <c r="A460" s="94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</row>
    <row r="461" spans="1:12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</row>
    <row r="462" spans="1:1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</row>
    <row r="463" spans="1:12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</row>
    <row r="464" spans="1:12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</row>
    <row r="465" spans="1:12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</row>
    <row r="466" spans="1:12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</row>
    <row r="467" spans="1:12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</row>
    <row r="468" spans="1:12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</row>
    <row r="469" spans="1:12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</row>
    <row r="470" spans="1:12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</row>
    <row r="471" spans="1:12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</row>
    <row r="472" spans="1:1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</row>
    <row r="473" spans="1:12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</row>
    <row r="474" spans="1:12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</row>
    <row r="475" spans="1:12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</row>
    <row r="476" spans="1:12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</row>
    <row r="477" spans="1:12">
      <c r="A477" s="94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</row>
    <row r="478" spans="1:12">
      <c r="A478" s="94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</row>
    <row r="479" spans="1:12">
      <c r="A479" s="94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</row>
    <row r="480" spans="1:12">
      <c r="A480" s="94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</row>
    <row r="481" spans="1:12">
      <c r="A481" s="94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</row>
    <row r="482" spans="1:12">
      <c r="A482" s="94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</row>
    <row r="483" spans="1:12">
      <c r="A483" s="94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</row>
    <row r="484" spans="1:12">
      <c r="A484" s="94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</row>
    <row r="485" spans="1:12">
      <c r="A485" s="94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</row>
    <row r="486" spans="1:12">
      <c r="A486" s="94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</row>
  </sheetData>
  <autoFilter ref="A4:L69" xr:uid="{00000000-0001-0000-2B00-000000000000}"/>
  <pageMargins left="0.7" right="0.7" top="0.75" bottom="0.75" header="0.3" footer="0.3"/>
  <pageSetup paperSize="9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topLeftCell="A28" zoomScaleNormal="100" workbookViewId="0">
      <selection activeCell="J46" sqref="J46:J53"/>
    </sheetView>
  </sheetViews>
  <sheetFormatPr defaultColWidth="9.109375" defaultRowHeight="14.4"/>
  <cols>
    <col min="1" max="1" width="9.109375" style="4"/>
    <col min="2" max="2" width="15.44140625" style="4" bestFit="1" customWidth="1"/>
    <col min="3" max="3" width="13.44140625" style="4" bestFit="1" customWidth="1"/>
    <col min="4" max="5" width="9.109375" style="4"/>
    <col min="6" max="7" width="13.44140625" style="4" bestFit="1" customWidth="1"/>
    <col min="8" max="8" width="14.109375" style="4" bestFit="1" customWidth="1"/>
    <col min="9" max="16384" width="9.109375" style="4"/>
  </cols>
  <sheetData>
    <row r="1" spans="1:12">
      <c r="A1" s="4" t="s">
        <v>418</v>
      </c>
    </row>
    <row r="2" spans="1:12">
      <c r="A2" s="4" t="s">
        <v>353</v>
      </c>
    </row>
    <row r="3" spans="1:12">
      <c r="A3" s="4" t="s">
        <v>383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topLeftCell="A45" zoomScaleNormal="100" workbookViewId="0">
      <selection activeCell="N52" sqref="N52"/>
    </sheetView>
  </sheetViews>
  <sheetFormatPr defaultColWidth="9.109375" defaultRowHeight="14.4"/>
  <cols>
    <col min="1" max="2" width="9.109375" style="4"/>
    <col min="3" max="3" width="18.44140625" style="4" customWidth="1"/>
    <col min="4" max="16384" width="9.109375" style="4"/>
  </cols>
  <sheetData>
    <row r="1" spans="1:11">
      <c r="A1" s="4" t="s">
        <v>419</v>
      </c>
    </row>
    <row r="2" spans="1:11">
      <c r="A2" s="4" t="s">
        <v>352</v>
      </c>
    </row>
    <row r="3" spans="1:11">
      <c r="A3" s="4" t="s">
        <v>383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">
      <c r="A1" s="4" t="s">
        <v>421</v>
      </c>
    </row>
    <row r="2" spans="1:1">
      <c r="A2" s="4" t="s">
        <v>420</v>
      </c>
    </row>
    <row r="3" spans="1:1">
      <c r="A3" s="4" t="s">
        <v>390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09375" defaultRowHeight="14.4"/>
  <cols>
    <col min="1" max="1" width="43.6640625" style="4" bestFit="1" customWidth="1"/>
    <col min="2" max="4" width="9.109375" style="4"/>
    <col min="5" max="5" width="14.6640625" style="4" bestFit="1" customWidth="1"/>
    <col min="6" max="6" width="15.109375" style="4" bestFit="1" customWidth="1"/>
    <col min="7" max="7" width="10.44140625" style="4" bestFit="1" customWidth="1"/>
    <col min="8" max="16384" width="9.109375" style="4"/>
  </cols>
  <sheetData>
    <row r="1" spans="1:11">
      <c r="A1" s="4" t="s">
        <v>422</v>
      </c>
    </row>
    <row r="2" spans="1:11">
      <c r="A2" s="4" t="s">
        <v>354</v>
      </c>
    </row>
    <row r="3" spans="1:11">
      <c r="A3" s="4" t="s">
        <v>365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483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109375" defaultRowHeight="14.4"/>
  <cols>
    <col min="1" max="16384" width="9.109375" style="28"/>
  </cols>
  <sheetData>
    <row r="1" spans="1:9">
      <c r="A1" s="28" t="s">
        <v>423</v>
      </c>
    </row>
    <row r="2" spans="1:9">
      <c r="A2" s="28" t="s">
        <v>355</v>
      </c>
    </row>
    <row r="3" spans="1:9">
      <c r="A3" s="28" t="s">
        <v>365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483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0">
      <c r="A1" s="4" t="s">
        <v>425</v>
      </c>
    </row>
    <row r="2" spans="1:10">
      <c r="A2" s="4" t="s">
        <v>424</v>
      </c>
    </row>
    <row r="3" spans="1:10">
      <c r="A3" s="4" t="s">
        <v>383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109375" defaultRowHeight="14.4"/>
  <cols>
    <col min="1" max="1" width="51.88671875" style="4" bestFit="1" customWidth="1"/>
    <col min="2" max="16384" width="9.109375" style="4"/>
  </cols>
  <sheetData>
    <row r="1" spans="1:10">
      <c r="A1" s="4" t="s">
        <v>427</v>
      </c>
    </row>
    <row r="2" spans="1:10">
      <c r="A2" s="4" t="s">
        <v>426</v>
      </c>
    </row>
    <row r="3" spans="1:10">
      <c r="A3" s="4" t="s">
        <v>406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483</v>
      </c>
      <c r="B6" t="s">
        <v>142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483</v>
      </c>
      <c r="B7" t="s">
        <v>149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483</v>
      </c>
      <c r="B8" t="s">
        <v>150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483</v>
      </c>
      <c r="B9" t="s">
        <v>143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483</v>
      </c>
      <c r="B10" t="s">
        <v>144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483</v>
      </c>
      <c r="B11" t="s">
        <v>246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483</v>
      </c>
      <c r="B12" t="s">
        <v>192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483</v>
      </c>
      <c r="B13" t="s">
        <v>248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2" width="9.109375" style="4"/>
    <col min="3" max="10" width="16.88671875" style="4" customWidth="1"/>
    <col min="11" max="16384" width="9.109375" style="4"/>
  </cols>
  <sheetData>
    <row r="1" spans="1:10">
      <c r="A1" s="4" t="s">
        <v>429</v>
      </c>
    </row>
    <row r="2" spans="1:10">
      <c r="A2" s="4" t="s">
        <v>428</v>
      </c>
    </row>
    <row r="3" spans="1:10">
      <c r="A3" s="4" t="s">
        <v>363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M13" sqref="M13"/>
    </sheetView>
  </sheetViews>
  <sheetFormatPr defaultColWidth="9.109375" defaultRowHeight="14.4"/>
  <cols>
    <col min="1" max="16384" width="9.109375" style="4"/>
  </cols>
  <sheetData>
    <row r="1" spans="1:10">
      <c r="A1" s="4" t="s">
        <v>432</v>
      </c>
    </row>
    <row r="2" spans="1:10">
      <c r="A2" s="4" t="s">
        <v>431</v>
      </c>
    </row>
    <row r="3" spans="1:10">
      <c r="A3" s="4" t="s">
        <v>390</v>
      </c>
    </row>
    <row r="5" spans="1:10">
      <c r="A5" s="4" t="s">
        <v>430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Par_OverallBaseYearMinActivity</vt:lpstr>
      <vt:lpstr>Par_OverallBaseYearMaxActivity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2024-01-01T20:37:26Z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