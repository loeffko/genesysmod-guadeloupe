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 codeName="DieseArbeitsmappe" autoCompressPictures="0"/>
  <xr:revisionPtr revIDLastSave="119" documentId="8_{2EB3E95A-BEFA-49B3-AA11-AFF1B14DD427}" xr6:coauthVersionLast="47" xr6:coauthVersionMax="47" xr10:uidLastSave="{F8A1D136-45F9-40A7-A552-4E65B73C6C01}"/>
  <bookViews>
    <workbookView xWindow="14370" yWindow="0" windowWidth="14535" windowHeight="15585" tabRatio="804" firstSheet="21" activeTab="21" xr2:uid="{00000000-000D-0000-FFFF-FFFF00000000}"/>
  </bookViews>
  <sheets>
    <sheet name="Sets" sheetId="41" r:id="rId1"/>
    <sheet name="Par_DaySplit" sheetId="62" r:id="rId2"/>
    <sheet name="Par_YearSplit" sheetId="42" r:id="rId3"/>
    <sheet name="Par_TagTechnologyToSector" sheetId="85" r:id="rId4"/>
    <sheet name="Par_CapacityToActivityUnit" sheetId="43" r:id="rId5"/>
    <sheet name="Par_Conversionls" sheetId="44" r:id="rId6"/>
    <sheet name="Par_Conversionld" sheetId="45" r:id="rId7"/>
    <sheet name="Par_Conversionlh" sheetId="46" r:id="rId8"/>
    <sheet name="Par_TradeRoute" sheetId="37" r:id="rId9"/>
    <sheet name="Par_TradeCosts" sheetId="47" r:id="rId10"/>
    <sheet name="Par_TradeCapacity" sheetId="64" r:id="rId11"/>
    <sheet name="Par_TradeCapacityGrowthCosts" sheetId="67" r:id="rId12"/>
    <sheet name="Par_GrowthRateTradeCapacity" sheetId="68" r:id="rId13"/>
    <sheet name="Par_AnnualExogenousEmission" sheetId="60" r:id="rId14"/>
    <sheet name="Par_AnnualEmissionLimit" sheetId="71" r:id="rId15"/>
    <sheet name="Par_AnnualSectoralEmissionLimit" sheetId="86" r:id="rId16"/>
    <sheet name="Par_RegionalAnnualEmissionLimit" sheetId="61" r:id="rId17"/>
    <sheet name="Par_EmissionActivityRatio" sheetId="22" r:id="rId18"/>
    <sheet name="Par_EmissionPenaltyTagTech" sheetId="70" r:id="rId19"/>
    <sheet name="Par_EmissionContentPerFuel" sheetId="69" r:id="rId20"/>
    <sheet name="Par_EmissionsPenalty" sheetId="48" r:id="rId21"/>
    <sheet name="Par_SpecifiedAnnualDemand" sheetId="31" r:id="rId22"/>
    <sheet name="Par_ReserveMargin" sheetId="59" r:id="rId23"/>
    <sheet name="Par_ReserveMarginTagFuel" sheetId="33" r:id="rId24"/>
    <sheet name="Par_ReserveMarginTagTechnology" sheetId="26" r:id="rId25"/>
    <sheet name="Par_InputActivityRatio" sheetId="17" r:id="rId26"/>
    <sheet name="Par_OutputActivityRatio" sheetId="18" r:id="rId27"/>
    <sheet name="Par_CapitalCost" sheetId="20" r:id="rId28"/>
    <sheet name="Par_VariableCost" sheetId="3" r:id="rId29"/>
    <sheet name="Par_FixedCost" sheetId="19" r:id="rId30"/>
    <sheet name="Par_ResidualCapacity" sheetId="21" r:id="rId31"/>
    <sheet name="Par_AvailabilityFactor" sheetId="4" r:id="rId32"/>
    <sheet name="Par_CapacityFactor" sheetId="5" r:id="rId33"/>
    <sheet name="Par_OperationalLife" sheetId="6" r:id="rId34"/>
    <sheet name="Par_TotalAnnualMinActivity" sheetId="40" r:id="rId35"/>
    <sheet name="Par_TotalAnnualMaxActivity" sheetId="39" r:id="rId36"/>
    <sheet name="Par_TotalAnnualMaxCapacity" sheetId="8" r:id="rId37"/>
    <sheet name="Par_ModelPeriodActivityMaxLimit" sheetId="63" r:id="rId38"/>
    <sheet name="Par_TotalAnnualMinCapacity" sheetId="27" r:id="rId39"/>
    <sheet name="Par_RegionalCCSLimit" sheetId="89" r:id="rId40"/>
    <sheet name="Par_RegionalBaseYearProduction" sheetId="75" r:id="rId41"/>
    <sheet name="Par_BaseYearProduction" sheetId="74" r:id="rId42"/>
    <sheet name="Par_TagTechnologyToModalType" sheetId="65" r:id="rId43"/>
    <sheet name="Par_ModalSplitByFuel" sheetId="66" r:id="rId44"/>
    <sheet name="Par_TechnologyToStorage" sheetId="49" r:id="rId45"/>
    <sheet name="Par_TechnologyFromStorage" sheetId="50" r:id="rId46"/>
    <sheet name="Par_StorageLevelStart" sheetId="51" r:id="rId47"/>
    <sheet name="Par_StorageMaxChargeRate" sheetId="52" r:id="rId48"/>
    <sheet name="Par_StorageMaxDischargeRate" sheetId="53" r:id="rId49"/>
    <sheet name="Par_MinStorageCharge" sheetId="54" r:id="rId50"/>
    <sheet name="Par_OperationalLifeStorage" sheetId="55" r:id="rId51"/>
    <sheet name="Par_CapitalCostStorage" sheetId="56" r:id="rId52"/>
    <sheet name="Par_ResidualStorageCapacity" sheetId="57" r:id="rId53"/>
  </sheets>
  <definedNames>
    <definedName name="_xlnm._FilterDatabase" localSheetId="32" hidden="1">Par_CapacityFactor!$A$5:$O$24485</definedName>
    <definedName name="_xlnm._FilterDatabase" localSheetId="27" hidden="1">Par_CapitalCost!$A$5:$J$5</definedName>
    <definedName name="_xlnm._FilterDatabase" localSheetId="51" hidden="1">Par_CapitalCostStorage!$A$5:$D$5</definedName>
    <definedName name="_xlnm._FilterDatabase" localSheetId="17" hidden="1">Par_EmissionActivityRatio!$A$5:$AF$58</definedName>
    <definedName name="_xlnm._FilterDatabase" localSheetId="18" hidden="1">Par_EmissionPenaltyTagTech!$A$5:$AE$5</definedName>
    <definedName name="_xlnm._FilterDatabase" localSheetId="29" hidden="1">Par_FixedCost!$A$5:$M$5</definedName>
    <definedName name="_xlnm._FilterDatabase" localSheetId="25" hidden="1">Par_InputActivityRatio!$A$5:$R$5</definedName>
    <definedName name="_xlnm._FilterDatabase" localSheetId="43" hidden="1">Par_ModalSplitByFuel!$A$5:$U$469</definedName>
    <definedName name="_xlnm._FilterDatabase" localSheetId="50" hidden="1">Par_OperationalLifeStorage!$A$5:$M$5</definedName>
    <definedName name="_xlnm._FilterDatabase" localSheetId="26" hidden="1">Par_OutputActivityRatio!$A$5:$S$234</definedName>
    <definedName name="_xlnm._FilterDatabase" localSheetId="40" hidden="1">Par_RegionalBaseYearProduction!$A$5:$D$991</definedName>
    <definedName name="_xlnm._FilterDatabase" localSheetId="39" hidden="1">Par_RegionalCCSLimit!$A$5:$B$5</definedName>
    <definedName name="_xlnm._FilterDatabase" localSheetId="24" hidden="1">Par_ReserveMarginTagTechnology!$A$5:$J$11</definedName>
    <definedName name="_xlnm._FilterDatabase" localSheetId="30" hidden="1">Par_ResidualCapacity!$A$5:$J$1399</definedName>
    <definedName name="_xlnm._FilterDatabase" localSheetId="21" hidden="1">Par_SpecifiedAnnualDemand!$A$5:$BH$61</definedName>
    <definedName name="_xlnm._FilterDatabase" localSheetId="42" hidden="1">Par_TagTechnologyToModalType!$A$5:$T$5</definedName>
    <definedName name="_xlnm._FilterDatabase" localSheetId="36" hidden="1">Par_TotalAnnualMaxCapacity!$A$5:$U$745</definedName>
    <definedName name="_xlnm._FilterDatabase" localSheetId="10" hidden="1">Par_TradeCapacity!$B$5:$I$34</definedName>
    <definedName name="_xlnm._FilterDatabase" localSheetId="8" hidden="1">Par_TradeRoute!$A$5:$AE$423</definedName>
    <definedName name="_xlnm._FilterDatabase" localSheetId="28" hidden="1">Par_VariableCost!$A$5:$O$5</definedName>
    <definedName name="_xlnm._FilterDatabase" localSheetId="0" hidden="1">Sets!$B$2:$B$580</definedName>
    <definedName name="Emissions" localSheetId="14">#REF!</definedName>
    <definedName name="Emissions" localSheetId="15">#REF!</definedName>
    <definedName name="Emissions" localSheetId="1">#REF!</definedName>
    <definedName name="Emissions" localSheetId="18">#REF!</definedName>
    <definedName name="Emissions" localSheetId="12">#REF!</definedName>
    <definedName name="Emissions" localSheetId="40">#REF!</definedName>
    <definedName name="Emissions" localSheetId="39">#REF!</definedName>
    <definedName name="Emissions" localSheetId="3">#REF!</definedName>
    <definedName name="Emissions" localSheetId="10">#REF!</definedName>
    <definedName name="Emissions" localSheetId="11">#REF!</definedName>
    <definedName name="Emissions">#REF!</definedName>
    <definedName name="Fuels" localSheetId="14">#REF!</definedName>
    <definedName name="Fuels" localSheetId="13">#REF!</definedName>
    <definedName name="Fuels" localSheetId="15">#REF!</definedName>
    <definedName name="Fuels" localSheetId="1">#REF!</definedName>
    <definedName name="Fuels" localSheetId="18">#REF!</definedName>
    <definedName name="Fuels" localSheetId="12">#REF!</definedName>
    <definedName name="Fuels" localSheetId="16">#REF!</definedName>
    <definedName name="Fuels" localSheetId="40">#REF!</definedName>
    <definedName name="Fuels" localSheetId="39">#REF!</definedName>
    <definedName name="Fuels" localSheetId="22">#REF!</definedName>
    <definedName name="Fuels" localSheetId="3">#REF!</definedName>
    <definedName name="Fuels" localSheetId="35">#REF!</definedName>
    <definedName name="Fuels" localSheetId="34">#REF!</definedName>
    <definedName name="Fuels" localSheetId="10">#REF!</definedName>
    <definedName name="Fuels" localSheetId="11">#REF!</definedName>
    <definedName name="Fuels">#REF!</definedName>
    <definedName name="Regions" localSheetId="14">#REF!</definedName>
    <definedName name="Regions" localSheetId="13">#REF!</definedName>
    <definedName name="Regions" localSheetId="15">#REF!</definedName>
    <definedName name="Regions" localSheetId="1">#REF!</definedName>
    <definedName name="Regions" localSheetId="18">#REF!</definedName>
    <definedName name="Regions" localSheetId="12">#REF!</definedName>
    <definedName name="Regions" localSheetId="16">#REF!</definedName>
    <definedName name="Regions" localSheetId="40">#REF!</definedName>
    <definedName name="Regions" localSheetId="39">#REF!</definedName>
    <definedName name="Regions" localSheetId="22">#REF!</definedName>
    <definedName name="Regions" localSheetId="3">#REF!</definedName>
    <definedName name="Regions" localSheetId="35">#REF!</definedName>
    <definedName name="Regions" localSheetId="34">#REF!</definedName>
    <definedName name="Regions" localSheetId="10">#REF!</definedName>
    <definedName name="Regions" localSheetId="11">#REF!</definedName>
    <definedName name="Regions">#REF!</definedName>
    <definedName name="Storages" localSheetId="14">#REF!</definedName>
    <definedName name="Storages" localSheetId="15">#REF!</definedName>
    <definedName name="Storages" localSheetId="1">#REF!</definedName>
    <definedName name="Storages" localSheetId="18">#REF!</definedName>
    <definedName name="Storages" localSheetId="12">#REF!</definedName>
    <definedName name="Storages" localSheetId="40">#REF!</definedName>
    <definedName name="Storages" localSheetId="39">#REF!</definedName>
    <definedName name="Storages" localSheetId="3">#REF!</definedName>
    <definedName name="Storages" localSheetId="10">#REF!</definedName>
    <definedName name="Storages" localSheetId="11">#REF!</definedName>
    <definedName name="Storages">#REF!</definedName>
    <definedName name="Technologies" localSheetId="14">#REF!:B</definedName>
    <definedName name="Technologies" localSheetId="15">#REF!:B</definedName>
    <definedName name="Technologies" localSheetId="1">#REF!:B</definedName>
    <definedName name="Technologies" localSheetId="18">#REF!:B</definedName>
    <definedName name="Technologies" localSheetId="12">#REF!:B</definedName>
    <definedName name="Technologies" localSheetId="43">#REF!</definedName>
    <definedName name="Technologies" localSheetId="40">#REF!:B</definedName>
    <definedName name="Technologies" localSheetId="39">#REF!:B</definedName>
    <definedName name="Technologies" localSheetId="3">#REF!:B</definedName>
    <definedName name="Technologies" localSheetId="35">#REF!</definedName>
    <definedName name="Technologies" localSheetId="34">#REF!</definedName>
    <definedName name="Technologies" localSheetId="10">#REF!:B</definedName>
    <definedName name="Technologies" localSheetId="11">#REF!:B</definedName>
    <definedName name="Technologies">#REF!:B</definedName>
    <definedName name="Timeslices" localSheetId="14">#REF!</definedName>
    <definedName name="Timeslices" localSheetId="15">#REF!</definedName>
    <definedName name="Timeslices" localSheetId="1">#REF!</definedName>
    <definedName name="Timeslices" localSheetId="18">#REF!</definedName>
    <definedName name="Timeslices" localSheetId="12">#REF!</definedName>
    <definedName name="Timeslices" localSheetId="40">#REF!</definedName>
    <definedName name="Timeslices" localSheetId="39">#REF!</definedName>
    <definedName name="Timeslices" localSheetId="42">#REF!</definedName>
    <definedName name="Timeslices" localSheetId="3">#REF!</definedName>
    <definedName name="Timeslices" localSheetId="10">#REF!</definedName>
    <definedName name="Timeslices" localSheetId="11">#REF!</definedName>
    <definedName name="Timeslices">#REF!</definedName>
    <definedName name="Years" localSheetId="14">#REF!</definedName>
    <definedName name="Years" localSheetId="15">#REF!</definedName>
    <definedName name="Years" localSheetId="1">#REF!</definedName>
    <definedName name="Years" localSheetId="18">#REF!</definedName>
    <definedName name="Years" localSheetId="12">#REF!</definedName>
    <definedName name="Years" localSheetId="40">#REF!</definedName>
    <definedName name="Years" localSheetId="39">#REF!</definedName>
    <definedName name="Years" localSheetId="3">#REF!</definedName>
    <definedName name="Years" localSheetId="10">#REF!</definedName>
    <definedName name="Years" localSheetId="11">#REF!</definedName>
    <definedName name="Years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1" l="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F33" i="21"/>
  <c r="F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E33" i="21"/>
  <c r="E6" i="21"/>
  <c r="C24" i="47"/>
  <c r="D54" i="47"/>
  <c r="E54" i="47"/>
  <c r="F54" i="47"/>
  <c r="G54" i="47"/>
  <c r="H54" i="47"/>
  <c r="I54" i="47"/>
  <c r="J54" i="47"/>
  <c r="D55" i="47"/>
  <c r="E55" i="47"/>
  <c r="F55" i="47"/>
  <c r="G55" i="47"/>
  <c r="H55" i="47"/>
  <c r="I55" i="47"/>
  <c r="J55" i="47"/>
  <c r="D56" i="47"/>
  <c r="E56" i="47"/>
  <c r="F56" i="47"/>
  <c r="G56" i="47"/>
  <c r="H56" i="47"/>
  <c r="I56" i="47"/>
  <c r="J56" i="47"/>
  <c r="D57" i="47"/>
  <c r="E57" i="47"/>
  <c r="F57" i="47"/>
  <c r="G57" i="47"/>
  <c r="H57" i="47"/>
  <c r="I57" i="47"/>
  <c r="J57" i="47"/>
  <c r="D58" i="47"/>
  <c r="E58" i="47"/>
  <c r="F58" i="47"/>
  <c r="G58" i="47"/>
  <c r="H58" i="47"/>
  <c r="I58" i="47"/>
  <c r="J58" i="47"/>
  <c r="D59" i="47"/>
  <c r="E59" i="47"/>
  <c r="F59" i="47"/>
  <c r="G59" i="47"/>
  <c r="H59" i="47"/>
  <c r="I59" i="47"/>
  <c r="J59" i="47"/>
  <c r="D60" i="47"/>
  <c r="E60" i="47"/>
  <c r="F60" i="47"/>
  <c r="G60" i="47"/>
  <c r="H60" i="47"/>
  <c r="I60" i="47"/>
  <c r="J60" i="47"/>
  <c r="D61" i="47"/>
  <c r="E61" i="47"/>
  <c r="F61" i="47"/>
  <c r="G61" i="47"/>
  <c r="H61" i="47"/>
  <c r="I61" i="47"/>
  <c r="J61" i="47"/>
  <c r="C55" i="47"/>
  <c r="C56" i="47"/>
  <c r="C57" i="47"/>
  <c r="C58" i="47"/>
  <c r="C59" i="47"/>
  <c r="C60" i="47"/>
  <c r="C61" i="47"/>
  <c r="C54" i="47"/>
  <c r="D46" i="47"/>
  <c r="E46" i="47"/>
  <c r="F46" i="47"/>
  <c r="G46" i="47"/>
  <c r="H46" i="47"/>
  <c r="I46" i="47"/>
  <c r="J46" i="47"/>
  <c r="D47" i="47"/>
  <c r="E47" i="47"/>
  <c r="F47" i="47"/>
  <c r="G47" i="47"/>
  <c r="H47" i="47"/>
  <c r="I47" i="47"/>
  <c r="J47" i="47"/>
  <c r="D48" i="47"/>
  <c r="E48" i="47"/>
  <c r="F48" i="47"/>
  <c r="G48" i="47"/>
  <c r="H48" i="47"/>
  <c r="I48" i="47"/>
  <c r="J48" i="47"/>
  <c r="D49" i="47"/>
  <c r="E49" i="47"/>
  <c r="F49" i="47"/>
  <c r="G49" i="47"/>
  <c r="H49" i="47"/>
  <c r="I49" i="47"/>
  <c r="J49" i="47"/>
  <c r="D50" i="47"/>
  <c r="E50" i="47"/>
  <c r="F50" i="47"/>
  <c r="G50" i="47"/>
  <c r="H50" i="47"/>
  <c r="I50" i="47"/>
  <c r="J50" i="47"/>
  <c r="D51" i="47"/>
  <c r="E51" i="47"/>
  <c r="F51" i="47"/>
  <c r="G51" i="47"/>
  <c r="H51" i="47"/>
  <c r="I51" i="47"/>
  <c r="J51" i="47"/>
  <c r="D52" i="47"/>
  <c r="E52" i="47"/>
  <c r="F52" i="47"/>
  <c r="G52" i="47"/>
  <c r="H52" i="47"/>
  <c r="I52" i="47"/>
  <c r="J52" i="47"/>
  <c r="D53" i="47"/>
  <c r="E53" i="47"/>
  <c r="F53" i="47"/>
  <c r="G53" i="47"/>
  <c r="H53" i="47"/>
  <c r="I53" i="47"/>
  <c r="J53" i="47"/>
  <c r="C47" i="47"/>
  <c r="C48" i="47"/>
  <c r="C49" i="47"/>
  <c r="C50" i="47"/>
  <c r="C51" i="47"/>
  <c r="C52" i="47"/>
  <c r="C53" i="47"/>
  <c r="C46" i="47"/>
  <c r="I45" i="47"/>
  <c r="D38" i="47"/>
  <c r="E38" i="47"/>
  <c r="F38" i="47"/>
  <c r="G38" i="47"/>
  <c r="H38" i="47"/>
  <c r="I38" i="47"/>
  <c r="J38" i="47"/>
  <c r="D39" i="47"/>
  <c r="E39" i="47"/>
  <c r="F39" i="47"/>
  <c r="G39" i="47"/>
  <c r="H39" i="47"/>
  <c r="I39" i="47"/>
  <c r="J39" i="47"/>
  <c r="D40" i="47"/>
  <c r="E40" i="47"/>
  <c r="F40" i="47"/>
  <c r="G40" i="47"/>
  <c r="H40" i="47"/>
  <c r="I40" i="47"/>
  <c r="J40" i="47"/>
  <c r="D41" i="47"/>
  <c r="E41" i="47"/>
  <c r="F41" i="47"/>
  <c r="G41" i="47"/>
  <c r="H41" i="47"/>
  <c r="I41" i="47"/>
  <c r="J41" i="47"/>
  <c r="D42" i="47"/>
  <c r="E42" i="47"/>
  <c r="F42" i="47"/>
  <c r="G42" i="47"/>
  <c r="H42" i="47"/>
  <c r="I42" i="47"/>
  <c r="J42" i="47"/>
  <c r="D43" i="47"/>
  <c r="E43" i="47"/>
  <c r="F43" i="47"/>
  <c r="G43" i="47"/>
  <c r="H43" i="47"/>
  <c r="I43" i="47"/>
  <c r="J43" i="47"/>
  <c r="D44" i="47"/>
  <c r="E44" i="47"/>
  <c r="F44" i="47"/>
  <c r="G44" i="47"/>
  <c r="H44" i="47"/>
  <c r="I44" i="47"/>
  <c r="J44" i="47"/>
  <c r="D45" i="47"/>
  <c r="E45" i="47"/>
  <c r="F45" i="47"/>
  <c r="G45" i="47"/>
  <c r="H45" i="47"/>
  <c r="J45" i="47"/>
  <c r="C39" i="47"/>
  <c r="C40" i="47"/>
  <c r="C41" i="47"/>
  <c r="C42" i="47"/>
  <c r="C43" i="47"/>
  <c r="C44" i="47"/>
  <c r="C45" i="47"/>
  <c r="C38" i="47"/>
  <c r="D30" i="47"/>
  <c r="E30" i="47"/>
  <c r="F30" i="47"/>
  <c r="G30" i="47"/>
  <c r="H30" i="47"/>
  <c r="I30" i="47"/>
  <c r="J30" i="47"/>
  <c r="D31" i="47"/>
  <c r="E31" i="47"/>
  <c r="F31" i="47"/>
  <c r="G31" i="47"/>
  <c r="H31" i="47"/>
  <c r="I31" i="47"/>
  <c r="J31" i="47"/>
  <c r="D32" i="47"/>
  <c r="E32" i="47"/>
  <c r="F32" i="47"/>
  <c r="G32" i="47"/>
  <c r="H32" i="47"/>
  <c r="I32" i="47"/>
  <c r="J32" i="47"/>
  <c r="D33" i="47"/>
  <c r="E33" i="47"/>
  <c r="F33" i="47"/>
  <c r="G33" i="47"/>
  <c r="H33" i="47"/>
  <c r="I33" i="47"/>
  <c r="J33" i="47"/>
  <c r="D34" i="47"/>
  <c r="E34" i="47"/>
  <c r="F34" i="47"/>
  <c r="G34" i="47"/>
  <c r="H34" i="47"/>
  <c r="I34" i="47"/>
  <c r="J34" i="47"/>
  <c r="D35" i="47"/>
  <c r="E35" i="47"/>
  <c r="F35" i="47"/>
  <c r="G35" i="47"/>
  <c r="H35" i="47"/>
  <c r="I35" i="47"/>
  <c r="J35" i="47"/>
  <c r="D36" i="47"/>
  <c r="E36" i="47"/>
  <c r="F36" i="47"/>
  <c r="G36" i="47"/>
  <c r="H36" i="47"/>
  <c r="I36" i="47"/>
  <c r="J36" i="47"/>
  <c r="D37" i="47"/>
  <c r="E37" i="47"/>
  <c r="F37" i="47"/>
  <c r="G37" i="47"/>
  <c r="H37" i="47"/>
  <c r="I37" i="47"/>
  <c r="J37" i="47"/>
  <c r="C31" i="47"/>
  <c r="C32" i="47"/>
  <c r="C33" i="47"/>
  <c r="C34" i="47"/>
  <c r="C35" i="47"/>
  <c r="C36" i="47"/>
  <c r="C37" i="47"/>
  <c r="C30" i="47"/>
  <c r="C29" i="47"/>
  <c r="D22" i="47"/>
  <c r="E22" i="47"/>
  <c r="F22" i="47"/>
  <c r="G22" i="47"/>
  <c r="H22" i="47"/>
  <c r="I22" i="47"/>
  <c r="J22" i="47"/>
  <c r="D23" i="47"/>
  <c r="E23" i="47"/>
  <c r="F23" i="47"/>
  <c r="G23" i="47"/>
  <c r="H23" i="47"/>
  <c r="I23" i="47"/>
  <c r="J23" i="47"/>
  <c r="D24" i="47"/>
  <c r="E24" i="47"/>
  <c r="F24" i="47"/>
  <c r="G24" i="47"/>
  <c r="H24" i="47"/>
  <c r="I24" i="47"/>
  <c r="J24" i="47"/>
  <c r="D25" i="47"/>
  <c r="E25" i="47"/>
  <c r="F25" i="47"/>
  <c r="G25" i="47"/>
  <c r="H25" i="47"/>
  <c r="I25" i="47"/>
  <c r="J25" i="47"/>
  <c r="D26" i="47"/>
  <c r="E26" i="47"/>
  <c r="F26" i="47"/>
  <c r="G26" i="47"/>
  <c r="H26" i="47"/>
  <c r="I26" i="47"/>
  <c r="J26" i="47"/>
  <c r="D27" i="47"/>
  <c r="E27" i="47"/>
  <c r="F27" i="47"/>
  <c r="G27" i="47"/>
  <c r="H27" i="47"/>
  <c r="I27" i="47"/>
  <c r="J27" i="47"/>
  <c r="D28" i="47"/>
  <c r="E28" i="47"/>
  <c r="F28" i="47"/>
  <c r="G28" i="47"/>
  <c r="H28" i="47"/>
  <c r="I28" i="47"/>
  <c r="J28" i="47"/>
  <c r="D29" i="47"/>
  <c r="E29" i="47"/>
  <c r="F29" i="47"/>
  <c r="G29" i="47"/>
  <c r="H29" i="47"/>
  <c r="I29" i="47"/>
  <c r="J29" i="47"/>
  <c r="C23" i="47"/>
  <c r="C25" i="47"/>
  <c r="C26" i="47"/>
  <c r="C27" i="47"/>
  <c r="C28" i="47"/>
  <c r="C22" i="47"/>
  <c r="C15" i="47"/>
  <c r="D15" i="47"/>
  <c r="E15" i="47"/>
  <c r="F15" i="47"/>
  <c r="G15" i="47"/>
  <c r="H15" i="47"/>
  <c r="I15" i="47"/>
  <c r="J15" i="47"/>
  <c r="C16" i="47"/>
  <c r="D16" i="47"/>
  <c r="E16" i="47"/>
  <c r="F16" i="47"/>
  <c r="G16" i="47"/>
  <c r="H16" i="47"/>
  <c r="I16" i="47"/>
  <c r="J16" i="47"/>
  <c r="C17" i="47"/>
  <c r="D17" i="47"/>
  <c r="E17" i="47"/>
  <c r="F17" i="47"/>
  <c r="G17" i="47"/>
  <c r="H17" i="47"/>
  <c r="I17" i="47"/>
  <c r="J17" i="47"/>
  <c r="C18" i="47"/>
  <c r="D18" i="47"/>
  <c r="E18" i="47"/>
  <c r="F18" i="47"/>
  <c r="G18" i="47"/>
  <c r="H18" i="47"/>
  <c r="I18" i="47"/>
  <c r="J18" i="47"/>
  <c r="C19" i="47"/>
  <c r="D19" i="47"/>
  <c r="E19" i="47"/>
  <c r="F19" i="47"/>
  <c r="G19" i="47"/>
  <c r="H19" i="47"/>
  <c r="I19" i="47"/>
  <c r="J19" i="47"/>
  <c r="C20" i="47"/>
  <c r="D20" i="47"/>
  <c r="E20" i="47"/>
  <c r="F20" i="47"/>
  <c r="G20" i="47"/>
  <c r="H20" i="47"/>
  <c r="I20" i="47"/>
  <c r="J20" i="47"/>
  <c r="C21" i="47"/>
  <c r="D21" i="47"/>
  <c r="E21" i="47"/>
  <c r="F21" i="47"/>
  <c r="G21" i="47"/>
  <c r="H21" i="47"/>
  <c r="I21" i="47"/>
  <c r="J21" i="47"/>
  <c r="D14" i="47"/>
  <c r="E14" i="47"/>
  <c r="F14" i="47"/>
  <c r="G14" i="47"/>
  <c r="H14" i="47"/>
  <c r="I14" i="47"/>
  <c r="J14" i="47"/>
  <c r="C14" i="47"/>
  <c r="C7" i="21" l="1"/>
  <c r="C6" i="21"/>
  <c r="C8" i="69" l="1"/>
  <c r="C7" i="69"/>
  <c r="C11" i="69" s="1"/>
  <c r="C6" i="69"/>
  <c r="C5" i="69"/>
  <c r="V394" i="8" l="1"/>
  <c r="U394" i="8"/>
  <c r="T394" i="8"/>
  <c r="S394" i="8"/>
  <c r="R394" i="8"/>
  <c r="Q394" i="8"/>
  <c r="P394" i="8"/>
  <c r="O394" i="8"/>
  <c r="V377" i="8"/>
  <c r="U377" i="8"/>
  <c r="T377" i="8"/>
  <c r="S377" i="8"/>
  <c r="R377" i="8"/>
  <c r="Q377" i="8"/>
  <c r="P377" i="8"/>
  <c r="O377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tc={E2F12CA3-4881-48EB-8F44-59140E9E4E48}</author>
    <author>tc={3F016CE0-A873-49D6-8CD0-5B09BD62E174}</author>
    <author>tc={0201B00D-01FF-4213-94DF-2A7FDE52F56A}</author>
    <author>tc={42B6BA52-C6C1-4BEF-B147-5E5746F2D303}</author>
  </authors>
  <commentList>
    <comment ref="B17" authorId="0" shapeId="0" xr:uid="{E2F12CA3-4881-48EB-8F44-59140E9E4E48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</text>
    </comment>
    <comment ref="B22" authorId="1" shapeId="0" xr:uid="{3F016CE0-A873-49D6-8CD0-5B09BD62E174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</text>
    </comment>
    <comment ref="B26" authorId="2" shapeId="0" xr:uid="{0201B00D-01FF-4213-94DF-2A7FDE52F56A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Biogas</t>
      </text>
    </comment>
    <comment ref="B31" authorId="3" shapeId="0" xr:uid="{42B6BA52-C6C1-4BEF-B147-5E5746F2D303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Sourced from Bagasse - residue from sugar production</t>
      </text>
    </comment>
  </commentList>
</comments>
</file>

<file path=xl/sharedStrings.xml><?xml version="1.0" encoding="utf-8"?>
<sst xmlns="http://schemas.openxmlformats.org/spreadsheetml/2006/main" count="5751" uniqueCount="501">
  <si>
    <t>CO2</t>
  </si>
  <si>
    <t>YearSplit{l in TIMESLICE, y in YEAR}  Units: Fraction of 8760 hours</t>
  </si>
  <si>
    <t>The fraction of the year in each time slice.</t>
  </si>
  <si>
    <t>The annual cost per unit of capacity of a technology.</t>
  </si>
  <si>
    <t>Total capital cost (including interest paid during construction)per unit of capacity for new capacity additions</t>
  </si>
  <si>
    <t>The capacity left over from periods prior to the modeling period.</t>
  </si>
  <si>
    <t>Indicates the maximum time technology may run in a given time slice.</t>
  </si>
  <si>
    <t>Emissions factor per unit of activity.</t>
  </si>
  <si>
    <t>Externality cost per unit of emission</t>
  </si>
  <si>
    <t>Indicates if the output fuel has a reserve margin associated with it</t>
  </si>
  <si>
    <t>Amount the technology contributes to the reserve margin 1=100%  0.2=20%.</t>
  </si>
  <si>
    <t>Operational lifespan of a process in years.</t>
  </si>
  <si>
    <t>Maximum total (residual and new) capacity each year.</t>
  </si>
  <si>
    <t>Minimum total (residual and new) capacity each year.</t>
  </si>
  <si>
    <t>Conversionls{l in TIMESLICE, ls in SEASON}</t>
  </si>
  <si>
    <t>Set equal to 1 to assign a particular time slice to a season. Set equal to 0 in order not to assign a particular time slice to a season.</t>
  </si>
  <si>
    <t>Conversionld{l in TIMESLICE, ld in DAYTYPE}</t>
  </si>
  <si>
    <t>Set equal to 1 to assign a particular time slice to a day type. Set equal to 0 in order not to assign a particular time slice to a day type.</t>
  </si>
  <si>
    <t xml:space="preserve">Conversionlh{l in TIMESLICE, lh in DAILYTIMEBRACKET} </t>
  </si>
  <si>
    <t>Set equal to 1 to assign a particular time slice to a daily time bracket. Set equal to 0 in order not to assign a particular time slice to a daily time bracket.</t>
  </si>
  <si>
    <t>Region</t>
  </si>
  <si>
    <t>Fuel</t>
  </si>
  <si>
    <t>P_Gas</t>
  </si>
  <si>
    <t>P_Nuclear</t>
  </si>
  <si>
    <t>Power</t>
  </si>
  <si>
    <t>Emission</t>
  </si>
  <si>
    <t>Technology</t>
  </si>
  <si>
    <t>Year</t>
  </si>
  <si>
    <t>Timeslice</t>
  </si>
  <si>
    <t>Mode_of_operation</t>
  </si>
  <si>
    <t>Season</t>
  </si>
  <si>
    <t>Daytype</t>
  </si>
  <si>
    <t>Daylitimebracket</t>
  </si>
  <si>
    <t>Storage</t>
  </si>
  <si>
    <t>Heat_Low</t>
  </si>
  <si>
    <t>Value</t>
  </si>
  <si>
    <t>power</t>
  </si>
  <si>
    <t>MT_PSNG_ROAD</t>
  </si>
  <si>
    <t>MT_PSNG_RAIL</t>
  </si>
  <si>
    <t>MT_PSNG_AIR</t>
  </si>
  <si>
    <t>MT_FRT_ROAD</t>
  </si>
  <si>
    <t>MT_FRT_RAIL</t>
  </si>
  <si>
    <t>MT_FRT_SHIP</t>
  </si>
  <si>
    <t>MT_PSNG_ROAD_RE</t>
  </si>
  <si>
    <t>MT_PSNG_RAIL_RE</t>
  </si>
  <si>
    <t>MT_PSNG_AIR_RE</t>
  </si>
  <si>
    <t>MT_FRT_ROAD_RE</t>
  </si>
  <si>
    <t>MT_FRT_RAIL_RE</t>
  </si>
  <si>
    <t>MT_PSNG_ROAD_CONV</t>
  </si>
  <si>
    <t>MT_PSNG_RAIL_CONV</t>
  </si>
  <si>
    <t>MT_PSNG_AIR_CONV</t>
  </si>
  <si>
    <t>MT_FRT_ROAD_CONV</t>
  </si>
  <si>
    <t>MT_FRT_RAIL_CONV</t>
  </si>
  <si>
    <t>Defines trade links between regions for specific fuels. If r is linked to rr, rr has also to be linked with r. Symmetrical matrix with diagonal of zeroes</t>
  </si>
  <si>
    <t>Minimum total activity each year.</t>
  </si>
  <si>
    <t>ModalType</t>
  </si>
  <si>
    <t>P_Oil</t>
  </si>
  <si>
    <t>FRT_Road_H2</t>
  </si>
  <si>
    <t>PSNG_Air_Conv</t>
  </si>
  <si>
    <t>PSNG_Road_ICE</t>
  </si>
  <si>
    <t>PSNG_Road_BEV</t>
  </si>
  <si>
    <t>Mode of operation</t>
  </si>
  <si>
    <t>Amount of external Emissions for a year in a certain region.</t>
  </si>
  <si>
    <t>Limits the maximum amount of Emissions for a certain region in a year.</t>
  </si>
  <si>
    <t>Q1A</t>
  </si>
  <si>
    <t>Q1N</t>
  </si>
  <si>
    <t>Q1M</t>
  </si>
  <si>
    <t>Q1P</t>
  </si>
  <si>
    <t>Q2N</t>
  </si>
  <si>
    <t>Q2M</t>
  </si>
  <si>
    <t>Q2P</t>
  </si>
  <si>
    <t>Q2A</t>
  </si>
  <si>
    <t>Q3N</t>
  </si>
  <si>
    <t>Q3M</t>
  </si>
  <si>
    <t>Q3P</t>
  </si>
  <si>
    <t>Q3A</t>
  </si>
  <si>
    <t>Q4N</t>
  </si>
  <si>
    <t>Q4M</t>
  </si>
  <si>
    <t>Q4P</t>
  </si>
  <si>
    <t>Q4A</t>
  </si>
  <si>
    <t>N</t>
  </si>
  <si>
    <t>M</t>
  </si>
  <si>
    <t>P</t>
  </si>
  <si>
    <t>A</t>
  </si>
  <si>
    <t>R_Gas</t>
  </si>
  <si>
    <t>R_Coal_Lignite</t>
  </si>
  <si>
    <t>R_Coal_Hardcoal</t>
  </si>
  <si>
    <t>R_Nuclear</t>
  </si>
  <si>
    <t>R_Oil</t>
  </si>
  <si>
    <t>RES_PV_Utility_Inf</t>
  </si>
  <si>
    <t>RES_PV_Utility_Avg</t>
  </si>
  <si>
    <t>RES_PV_Utility_Opt</t>
  </si>
  <si>
    <t>RES_Wind_Onshore_Inf</t>
  </si>
  <si>
    <t>RES_Wind_Onshore_Avg</t>
  </si>
  <si>
    <t>RES_Wind_Onshore_Opt</t>
  </si>
  <si>
    <t>RES_PV_Rooftop</t>
  </si>
  <si>
    <t>RES_CSP</t>
  </si>
  <si>
    <t>RES_CSP_Storage</t>
  </si>
  <si>
    <t>RES_Hydro_Large</t>
  </si>
  <si>
    <t>RES_Hydro_Small</t>
  </si>
  <si>
    <t>RES_Ocean</t>
  </si>
  <si>
    <t>RES_Geothermal</t>
  </si>
  <si>
    <t>P_Coal_Lignite</t>
  </si>
  <si>
    <t>P_Coal_Hardcoal</t>
  </si>
  <si>
    <t>CHP_Coal_Hardcoal</t>
  </si>
  <si>
    <t>CHP_Coal_Lignite</t>
  </si>
  <si>
    <t>CHP_Gas</t>
  </si>
  <si>
    <t>CHP_Nuclear</t>
  </si>
  <si>
    <t>HHT_Biomass</t>
  </si>
  <si>
    <t>HHT_Coal_Hardcoal</t>
  </si>
  <si>
    <t>HHT_Coal_Lignite</t>
  </si>
  <si>
    <t>HHT_Electric_Furnace</t>
  </si>
  <si>
    <t>HHT_Gas</t>
  </si>
  <si>
    <t>HHT_Geothermal</t>
  </si>
  <si>
    <t>HLT_Biomass</t>
  </si>
  <si>
    <t>HLT_Coal_Hardcoal</t>
  </si>
  <si>
    <t>HLT_Coal_Lignite</t>
  </si>
  <si>
    <t>HLT_Electric_Furnace</t>
  </si>
  <si>
    <t>HLT_Gas</t>
  </si>
  <si>
    <t>HLT_Geothermal</t>
  </si>
  <si>
    <t>HLT_Heatpump</t>
  </si>
  <si>
    <t>X_Electrolysis</t>
  </si>
  <si>
    <t>X_Fuel_Cell</t>
  </si>
  <si>
    <t>PSNG_Road_H2</t>
  </si>
  <si>
    <t>PSNG_Road_PHEV</t>
  </si>
  <si>
    <t>FRT_Road_BEV</t>
  </si>
  <si>
    <t>FRT_Road_ICE</t>
  </si>
  <si>
    <t>FRT_Road_PHEV</t>
  </si>
  <si>
    <t>PSNG_Rail_Conv</t>
  </si>
  <si>
    <t>PSNG_Rail_Electric</t>
  </si>
  <si>
    <t>FRT_Rail_Conv</t>
  </si>
  <si>
    <t>FRT_Rail_Electric</t>
  </si>
  <si>
    <t>PSNG_Air_Bio</t>
  </si>
  <si>
    <t>PSNG_Air_H2</t>
  </si>
  <si>
    <t>D_PHS</t>
  </si>
  <si>
    <t>D_Battery_Li-Ion</t>
  </si>
  <si>
    <t>D_Battery_Redox</t>
  </si>
  <si>
    <t>D_PHS_Residual</t>
  </si>
  <si>
    <t>Oil</t>
  </si>
  <si>
    <t>Nuclear</t>
  </si>
  <si>
    <t>H2</t>
  </si>
  <si>
    <t>Biomass</t>
  </si>
  <si>
    <t>S_PHS</t>
  </si>
  <si>
    <t>S_Battery_Li-Ion</t>
  </si>
  <si>
    <t>S_Battery_Redox</t>
  </si>
  <si>
    <t>Mobility_Freight</t>
  </si>
  <si>
    <t>Mobility_Passenger</t>
  </si>
  <si>
    <t>D_Gas_H2</t>
  </si>
  <si>
    <t>D_Gas_Methane</t>
  </si>
  <si>
    <t>S_Gas_H2</t>
  </si>
  <si>
    <t>S_Gas_Methane</t>
  </si>
  <si>
    <t>Hardcoal</t>
  </si>
  <si>
    <t>Lignite</t>
  </si>
  <si>
    <t>RES_Biomass</t>
  </si>
  <si>
    <t>CHP_Biomass</t>
  </si>
  <si>
    <t>HLT_Oil</t>
  </si>
  <si>
    <t>HHT_Oil</t>
  </si>
  <si>
    <t>X_Methanation</t>
  </si>
  <si>
    <t>P_Biomass</t>
  </si>
  <si>
    <t>same as Fuel_Cell</t>
  </si>
  <si>
    <t>norden = opt</t>
  </si>
  <si>
    <t>süden = inf</t>
  </si>
  <si>
    <t>avg</t>
  </si>
  <si>
    <t>opt = süden</t>
  </si>
  <si>
    <t>inf norden</t>
  </si>
  <si>
    <t>RES_Wind_Offshore_Transitional</t>
  </si>
  <si>
    <t>RES_Wind_Offshore_Shallow</t>
  </si>
  <si>
    <t>RES_Wind_Offshore_Deep</t>
  </si>
  <si>
    <t>Area_Rooftop_Residential</t>
  </si>
  <si>
    <t>Area_Rooftop_Commercial</t>
  </si>
  <si>
    <t>A_Rooftop_Commercial</t>
  </si>
  <si>
    <t>A_Rooftop_Residential</t>
  </si>
  <si>
    <t>RES_PV_Rooftop_Commercial</t>
  </si>
  <si>
    <t>RES_PV_Rooftop_Residential</t>
  </si>
  <si>
    <t>HLT_Rooftop_Commercial</t>
  </si>
  <si>
    <t>HLT_Rooftop_Residential</t>
  </si>
  <si>
    <t>FRT_Road_OH</t>
  </si>
  <si>
    <t xml:space="preserve">Defines the capacities for trade between two regions in a specific year and for a specific fuel. </t>
  </si>
  <si>
    <t>Infeasability_Mob_pass</t>
  </si>
  <si>
    <t>Infeasability_Mob_freight</t>
  </si>
  <si>
    <t>Z_Import_Gas</t>
  </si>
  <si>
    <t>Z_Import_Hardcoal</t>
  </si>
  <si>
    <t>Z_Import_Oil</t>
  </si>
  <si>
    <t>FRT_Road_ICE_Bio</t>
  </si>
  <si>
    <t>FRT_Road_PHEV_Bio</t>
  </si>
  <si>
    <t>PSNG_Road_ICE_Bio</t>
  </si>
  <si>
    <t>PSNG_Road_PHEV_Bio</t>
  </si>
  <si>
    <t>PSNG_Road_PHEV_bio</t>
  </si>
  <si>
    <t>FRT_Road_PHEV_bio</t>
  </si>
  <si>
    <t>PSNG_Road_ICE_bio</t>
  </si>
  <si>
    <t>HHT_H2</t>
  </si>
  <si>
    <t>D_CAES</t>
  </si>
  <si>
    <t>S_CAES</t>
  </si>
  <si>
    <t>CHP_Biomass_CCS</t>
  </si>
  <si>
    <t>P_Biomass_CCS</t>
  </si>
  <si>
    <t>A_CCS_Capacity</t>
  </si>
  <si>
    <t>CCS</t>
  </si>
  <si>
    <t>Gas_Natural</t>
  </si>
  <si>
    <t>Gas_Bio</t>
  </si>
  <si>
    <t>Gas_Synth</t>
  </si>
  <si>
    <t>obsolete</t>
  </si>
  <si>
    <t>HLR_Biomass</t>
  </si>
  <si>
    <t>HLR_Hardcoal</t>
  </si>
  <si>
    <t>HLR_Lignite</t>
  </si>
  <si>
    <t>HLR_Hardcoal_CHP</t>
  </si>
  <si>
    <t>HLR_Biomass_CHP</t>
  </si>
  <si>
    <t>HLR_Gas_CHP</t>
  </si>
  <si>
    <t>Heat_Low_Industrial</t>
  </si>
  <si>
    <t>Heat_Medium_Industrial</t>
  </si>
  <si>
    <t>Heat_High_Industrial</t>
  </si>
  <si>
    <t>HLR_Geothermal</t>
  </si>
  <si>
    <t>HLI_Gas_CHP</t>
  </si>
  <si>
    <t>HLI_Biomass</t>
  </si>
  <si>
    <t>HLI_Biomass_CHP</t>
  </si>
  <si>
    <t>HLI_Hardcoal</t>
  </si>
  <si>
    <t>HLI_Lignite</t>
  </si>
  <si>
    <t>HLI_Hardcoal_CHP</t>
  </si>
  <si>
    <t>HLI_Geothermal</t>
  </si>
  <si>
    <t>HLI_Oil_CHP</t>
  </si>
  <si>
    <t>HLR_Gas_Boiler</t>
  </si>
  <si>
    <t>HLR_Oil_Boiler</t>
  </si>
  <si>
    <t>HLI_Gas_Boiler</t>
  </si>
  <si>
    <t>HLI_Oil_Boiler</t>
  </si>
  <si>
    <t>HMI_Biomass</t>
  </si>
  <si>
    <t>HMI_HardCoal</t>
  </si>
  <si>
    <t>HMI_Gas</t>
  </si>
  <si>
    <t>HMI_Oil</t>
  </si>
  <si>
    <t>HLR_Lignite_CHP</t>
  </si>
  <si>
    <t>HLR_Direct_Electric</t>
  </si>
  <si>
    <t>HLR_Solar_Thermal</t>
  </si>
  <si>
    <t>HLR_Heatpump_Aerial</t>
  </si>
  <si>
    <t>HLR_Heatpump_Ground</t>
  </si>
  <si>
    <t>HLI_Direct_Electric</t>
  </si>
  <si>
    <t>HLI_Solar_Thermal</t>
  </si>
  <si>
    <t>HLI_Fuelcell</t>
  </si>
  <si>
    <t>HMI_Steam_Electric</t>
  </si>
  <si>
    <t>HMI_H2</t>
  </si>
  <si>
    <t>ignore</t>
  </si>
  <si>
    <t>HHI_BF_BOF</t>
  </si>
  <si>
    <t>HHI_DRI_EAF</t>
  </si>
  <si>
    <t>HHI_Scrap_EAF</t>
  </si>
  <si>
    <t>HHI_H2DRI_EAF</t>
  </si>
  <si>
    <t>HHI_Molten_Electrolysis</t>
  </si>
  <si>
    <t>HHI_Bio_BF_BOF</t>
  </si>
  <si>
    <t>HLI_Lignite_CHP</t>
  </si>
  <si>
    <t>D_Heat_HLI</t>
  </si>
  <si>
    <t>S_Heat_HLI</t>
  </si>
  <si>
    <t>D_Heat_HLR</t>
  </si>
  <si>
    <t>S_Heat_HLR</t>
  </si>
  <si>
    <t>HHI_BF_BOF_CCS</t>
  </si>
  <si>
    <t>HHI_DRI_EAF_CCS</t>
  </si>
  <si>
    <t>P_Coal_Hardcoal_CCS</t>
  </si>
  <si>
    <t>P_Coal_Lignite_CCS</t>
  </si>
  <si>
    <t>P_Gas_CCS</t>
  </si>
  <si>
    <t>HLR_Hardcoal_CHP_CCS</t>
  </si>
  <si>
    <t>HLR_Lignite_CHP_CCS</t>
  </si>
  <si>
    <t>HLI_Hardcoal_CHP_CCS</t>
  </si>
  <si>
    <t>HLI_Lignite_CHP_CCS</t>
  </si>
  <si>
    <t>HMI_Gas_CCS</t>
  </si>
  <si>
    <t>HMI_HardCoal_CCS</t>
  </si>
  <si>
    <t>X_SMR</t>
  </si>
  <si>
    <t>X_SMR_CCS</t>
  </si>
  <si>
    <t>HLI_Biomass_CHP_CCS</t>
  </si>
  <si>
    <t>HLR_Biomass_CHP_CCS</t>
  </si>
  <si>
    <t>X_DAC</t>
  </si>
  <si>
    <t>A_Air</t>
  </si>
  <si>
    <t>Air</t>
  </si>
  <si>
    <t>HLR_H2_Boiler</t>
  </si>
  <si>
    <t>HLI_H2_Boiler</t>
  </si>
  <si>
    <t>X_Biofuel</t>
  </si>
  <si>
    <t>Biofuel</t>
  </si>
  <si>
    <t>Heat_Low_Residential</t>
  </si>
  <si>
    <t>AT</t>
  </si>
  <si>
    <t>BG</t>
  </si>
  <si>
    <t>CZ</t>
  </si>
  <si>
    <t>ES</t>
  </si>
  <si>
    <t>FR</t>
  </si>
  <si>
    <t>GR</t>
  </si>
  <si>
    <t>HU</t>
  </si>
  <si>
    <t>NO</t>
  </si>
  <si>
    <t>PL</t>
  </si>
  <si>
    <t>SE</t>
  </si>
  <si>
    <t>UK</t>
  </si>
  <si>
    <t>LV</t>
  </si>
  <si>
    <t>Industry</t>
  </si>
  <si>
    <t>Europe_AT</t>
  </si>
  <si>
    <t>Europe_Balt</t>
  </si>
  <si>
    <t>Europe_BeLux</t>
  </si>
  <si>
    <t>Europe_CH</t>
  </si>
  <si>
    <t>Europe_CZ</t>
  </si>
  <si>
    <t>Europe_DE</t>
  </si>
  <si>
    <t>Europe_DK</t>
  </si>
  <si>
    <t>Europe_FR</t>
  </si>
  <si>
    <t>Europe_GB</t>
  </si>
  <si>
    <t>Europe_Iberia</t>
  </si>
  <si>
    <t>Europe_IT</t>
  </si>
  <si>
    <t>Europe_NL</t>
  </si>
  <si>
    <t>Europe_PL</t>
  </si>
  <si>
    <t>Europe_Scand</t>
  </si>
  <si>
    <t>Powerfuel</t>
  </si>
  <si>
    <t>X_Powerfuel</t>
  </si>
  <si>
    <t>RES_Grass</t>
  </si>
  <si>
    <t>RES_Wood</t>
  </si>
  <si>
    <t>RES_Residues</t>
  </si>
  <si>
    <t>RES_Paper_Cardboard</t>
  </si>
  <si>
    <t>RES_Roundwood</t>
  </si>
  <si>
    <t>RES_Biogas</t>
  </si>
  <si>
    <t>Europe_SouthEast</t>
  </si>
  <si>
    <t>RES_Hydro_Large_Base</t>
  </si>
  <si>
    <t>Z_Import_LNG</t>
  </si>
  <si>
    <t>X_Gasifier</t>
  </si>
  <si>
    <t>X_Liquifier</t>
  </si>
  <si>
    <t>LNG</t>
  </si>
  <si>
    <t>LBG</t>
  </si>
  <si>
    <t>LH2</t>
  </si>
  <si>
    <t>LSG</t>
  </si>
  <si>
    <t>FRT_Road_LNG</t>
  </si>
  <si>
    <t>PSNG_Road_LNG</t>
  </si>
  <si>
    <t>Buildings</t>
  </si>
  <si>
    <t>Transportation</t>
  </si>
  <si>
    <t>Resources</t>
  </si>
  <si>
    <t>Storages</t>
  </si>
  <si>
    <t>Transformation</t>
  </si>
  <si>
    <t>Sectors</t>
  </si>
  <si>
    <t>Sector</t>
  </si>
  <si>
    <t>TR</t>
  </si>
  <si>
    <t>https://sci-hub.se/10.1016/j.solener.2017.09.030</t>
  </si>
  <si>
    <t>P_H2_OCGT</t>
  </si>
  <si>
    <t>DAC_Dummy</t>
  </si>
  <si>
    <t>X_DAC_LT</t>
  </si>
  <si>
    <t>X_DAC_HT</t>
  </si>
  <si>
    <t>Z_Import_H2</t>
  </si>
  <si>
    <t>Z_ETS_Buy</t>
  </si>
  <si>
    <t>Z_ETS_Sell</t>
  </si>
  <si>
    <t>ETS</t>
  </si>
  <si>
    <t>ETS_Source</t>
  </si>
  <si>
    <t>Limits the maximum amount of Emissions for a specific sector and region in a year.</t>
  </si>
  <si>
    <t>Tags all technologies which produce emissions.</t>
  </si>
  <si>
    <t>Emission content per unit of energy per fuel</t>
  </si>
  <si>
    <t>The annual demand for each output fuel. Hourly Data parameters distribute this demand over the timesteps.</t>
  </si>
  <si>
    <t>The reserve (installed) capacity required relative to the peak demand.</t>
  </si>
  <si>
    <t>ModeOfOperation</t>
  </si>
  <si>
    <t>The input (use) of fuel per unit of activity for each technology. Describes, in combination with the OutputActivityRatio, the efficiency of the technology.</t>
  </si>
  <si>
    <t>Ratio of output to activity. Desribes, together with the InputActivityRatio, the efficiency of the technology.</t>
  </si>
  <si>
    <t>Cost per unit of activity of the technology.</t>
  </si>
  <si>
    <t>Maximum total activity each year.</t>
  </si>
  <si>
    <t>Maximum total activity for the complete model period per region.</t>
  </si>
  <si>
    <t>Tags technologies which belong to a certain modal type</t>
  </si>
  <si>
    <t>Describes how much carbon can be stored per region.</t>
  </si>
  <si>
    <t>Describes how much of a fuel has to be produced by specific technologies in the base year per region.</t>
  </si>
  <si>
    <t>Describes how much of a fuel has to be produced by specific technologies in the base year across all regions.</t>
  </si>
  <si>
    <t>Describes the distribution of technologies within a specific modal type.</t>
  </si>
  <si>
    <t>Connects Storaged to their respective dummy technologies and describes the efficiency of storage discharging</t>
  </si>
  <si>
    <t>Connects Storaged to their respective dummy technologies and describes the efficiency of storage charging</t>
  </si>
  <si>
    <t>Describes the capacity the storage can take</t>
  </si>
  <si>
    <t>Describes how much capacity the storage can give</t>
  </si>
  <si>
    <t xml:space="preserve">YearSplit{l in TIMESLICE, y in YEAR} </t>
  </si>
  <si>
    <t>Assigns Technologies to the different sectors.</t>
  </si>
  <si>
    <t>CapacityToActivityUnit{r in REGION, t in TECHNOLOGY}</t>
  </si>
  <si>
    <t>Converts capacity to activity. Here we use a factor of 31.536, which is the level of energy production in PJ produced from 1 GW operating for 1 year (1GW * 8760 * 3600 / 10^6)</t>
  </si>
  <si>
    <t>Unit: km</t>
  </si>
  <si>
    <t>Unit: Fraction of 8760 hours</t>
  </si>
  <si>
    <t>Unit: PJ/GW-YR</t>
  </si>
  <si>
    <t>Unit: M€/PJ</t>
  </si>
  <si>
    <t>Costs for trading a fuel from one region to another.</t>
  </si>
  <si>
    <t>Unit: GW</t>
  </si>
  <si>
    <t>TradeRoute{f in FUEL, r in REGION1, rr in REGION2}</t>
  </si>
  <si>
    <t>TradeCapacity{y in YEAR, f in FUEL, r in REGION1, rr in REGION2}</t>
  </si>
  <si>
    <t>TradeCosts{f in FUEL, r in REGION1, rr in REGION2}</t>
  </si>
  <si>
    <t>TradeCapacityGrowthCosts{f in FUEL, r in REGION1, rr in REGION2}</t>
  </si>
  <si>
    <t>Costs of expanding trade capacity.</t>
  </si>
  <si>
    <t>Unit: M€/GW</t>
  </si>
  <si>
    <t>Unit: Factor</t>
  </si>
  <si>
    <t>Defines by how much the trade capacity between two regions can grow</t>
  </si>
  <si>
    <t>GrowthRateTradeCapacity{y in YEAR, f in FUEL, r in REGION1, rr in REGION2}</t>
  </si>
  <si>
    <t>AnnualExogenousEmission{r in REGION, e in EMISSION, y in YEAR)</t>
  </si>
  <si>
    <t>AnnualEmissionLimit{e in EMISSION, y in YEAR}</t>
  </si>
  <si>
    <t>Limits the maximum amount of Emissions in a year.</t>
  </si>
  <si>
    <t>Unit: Megatonnes</t>
  </si>
  <si>
    <t>AnnualSectoralEmissionLimit{e in EMISSION, se in SECTOR, y in YEAR}</t>
  </si>
  <si>
    <t>RegionalAnnualEmissionLimit{r in REGION, e in EMISSION, y in YEAR}</t>
  </si>
  <si>
    <t>EmissionPenaltyTagTech{r in REGION, t in TECHNOLOGY, e in EMISSION, y in YEAR}</t>
  </si>
  <si>
    <t>Unit: Binary</t>
  </si>
  <si>
    <t>Unit: Fraction</t>
  </si>
  <si>
    <t>EmissionActivityRatio{r in REGION, t in TECHNOLOGY, e in EMISSION, m in MODEOFOPERATION, y in YEAR}</t>
  </si>
  <si>
    <t>TagTechnologyToSector{t in TECHNOLOGY, se in SECTOR}</t>
  </si>
  <si>
    <t>EmissionContentPerFuel{f in FUEL, e in EMISSION}</t>
  </si>
  <si>
    <t>Unit: Megatonnes/PJ</t>
  </si>
  <si>
    <t>Unit: M€/Megatonnes</t>
  </si>
  <si>
    <t xml:space="preserve">EmissionsPenalty{r in REGION, e in EMISSION, y in YEAR} </t>
  </si>
  <si>
    <t>Unit: PJ</t>
  </si>
  <si>
    <t>Unit: PJ/mtkm/mpkm</t>
  </si>
  <si>
    <t>SpecifiedAnnualDemand{r in REGION, f in FUEL, y in YEAR}</t>
  </si>
  <si>
    <t>Unit: Ratio</t>
  </si>
  <si>
    <t>ReserveMargin{r in REGION, y in YEAR}</t>
  </si>
  <si>
    <t>ReserveMarginTagFuel{r in REGION, f in FUEL, y in YEAR}</t>
  </si>
  <si>
    <t>ReserveMarginTagTechnology{r in REGION, t in TECHNOLOGY, y in YEAR}</t>
  </si>
  <si>
    <t>InputActivityRatio{r in REGION, t in TECHNOLOGY, f in FUEL, m in MODEOFOPERATION, y in YEAR}</t>
  </si>
  <si>
    <t>OutputActivityRatio{r in REGION, t in TECHNOLOGY, f in FUEL, m in MODEOFOPERATION, y in YEAR}</t>
  </si>
  <si>
    <t>CapitalCost{r in REGION, t in TECHNOLOGY, y in YEAR}</t>
  </si>
  <si>
    <t>VariableCost{r in REGION, t in TECHNOLOGY, m in MODEOFOPERATION, y in YEAR}</t>
  </si>
  <si>
    <t>FixedCost{r in REGION, t in TECHNOLOGY, y in YEAR}</t>
  </si>
  <si>
    <t>ResidualCapacity{r in REGION, t in TECHNOLOGY, y in YEAR}</t>
  </si>
  <si>
    <t>Maximum time a technology may run for the whole year. Often used to simulate planned outages. GENeSYS-MOD will choose when to run or not run.</t>
  </si>
  <si>
    <t xml:space="preserve">AvailabilityFactor{r in REGION, t in TECHNOLOGY, y in YEAR} </t>
  </si>
  <si>
    <t>CapacityFactor{r in REGION, t in TECHNOLOGY, l in TIMESLICE, y in YEAR}</t>
  </si>
  <si>
    <t>Unit: Years</t>
  </si>
  <si>
    <t>OperationalLife{r in REGION, t in TECHNOLOGY}</t>
  </si>
  <si>
    <t>TotalAnnualMinActivity{r in REGION, t in TECHNOLOGY, y in YEAR}</t>
  </si>
  <si>
    <t>TotalAnnualMaxActivity{r in REGION, t in TECHNOLOGY, y in YEAR}</t>
  </si>
  <si>
    <t>TotalAnnualMaxCapacity{r in REGION, t in TECHNOLOGY, y in YEAR}</t>
  </si>
  <si>
    <t>ModelPeriodActivityMaxLimit{r in REGION, t in TECHNOLOGY}</t>
  </si>
  <si>
    <t>TotalAnnualMinCapacity{r in REGION, t in TECHNOLOGY, y in YEAR}</t>
  </si>
  <si>
    <t>TagTechnologyToModalType{t in TECHNOLOGY, m in MODEOFOPERATION, md in MODALTYPE}</t>
  </si>
  <si>
    <t>RegionalCCSLimit{r in REGION}</t>
  </si>
  <si>
    <t>RegionalBaseYearProduction{r in REGION, t in TECHNOLOGY, f in FUEL}</t>
  </si>
  <si>
    <t>BaseYearProduction{t in TECHNOLOGY, f in FUEL}</t>
  </si>
  <si>
    <t>ModalSplitByFuelAndModalType(r in REGION, f in FUEL, y in YEAR, md in MODALTYPE)</t>
  </si>
  <si>
    <t>TechnologyToStorage{y in YEAR, m in MODE_OF_OPERATION, t in TECHNOLOGY, s in STORAGE}</t>
  </si>
  <si>
    <t>TechnologyFromStorage{r in REGION, m in MODE_OF_OPERATION, t in TECHNOLOGY, s in STORAGE}</t>
  </si>
  <si>
    <t>Defines the level of storage at the beginning of a year</t>
  </si>
  <si>
    <t>StorageLevelStart{r in REGION, s in STORAGE}</t>
  </si>
  <si>
    <t>StorageMaxChargeRate{r in REGION, s in STORAGE}</t>
  </si>
  <si>
    <t>StorageMaxDischargeRate{r in REGION, s in STORAGE}</t>
  </si>
  <si>
    <t>Lower bound (fraction) of total storage capacity which always has to be charged.</t>
  </si>
  <si>
    <t>MinStorageCharge{r in REGION, s in STORAGE, y in YEAR}</t>
  </si>
  <si>
    <t>Operational Life of Storages</t>
  </si>
  <si>
    <t>OperationalLifeStorage{r in REGION, s in STORAGE, y in YEAR}</t>
  </si>
  <si>
    <t>Capital Cost of storages per energy content</t>
  </si>
  <si>
    <t>CapitalCostStorage{r in REGION, s in STORAGE, y in YEAR}</t>
  </si>
  <si>
    <t xml:space="preserve">Region </t>
  </si>
  <si>
    <t>Residual Storage Capacity</t>
  </si>
  <si>
    <t>ResidualStorageCapacity{r in REGION, s in STORAGE, y in YEAR}</t>
  </si>
  <si>
    <t>Distance</t>
  </si>
  <si>
    <t>Heat_District</t>
  </si>
  <si>
    <t>CHP</t>
  </si>
  <si>
    <t>CHP_Biomass_Solid</t>
  </si>
  <si>
    <t>CHP_Biomass_Solid_CCS</t>
  </si>
  <si>
    <t>CHP_Coal_Hardcoal_CCS</t>
  </si>
  <si>
    <t>CHP_Coal_Lignite_CCS</t>
  </si>
  <si>
    <t>CHP_Gas_CCGT_Biogas</t>
  </si>
  <si>
    <t>CHP_Gas_CCGT_Biogas_CCS</t>
  </si>
  <si>
    <t>CHP_Gas_CCGT_Natural</t>
  </si>
  <si>
    <t>CHP_Gas_CCGT_Natural_CCS</t>
  </si>
  <si>
    <t>CHP_Gas_CCGT_SynGas</t>
  </si>
  <si>
    <t>CHP_Hydrogen_FuelCell</t>
  </si>
  <si>
    <t>CHP_Oil</t>
  </si>
  <si>
    <t>HLI_Convert_DH</t>
  </si>
  <si>
    <t>HLR_Convert_DH</t>
  </si>
  <si>
    <t>P_Gas_CCGT</t>
  </si>
  <si>
    <t>P_Gas_Engines</t>
  </si>
  <si>
    <t>P_Gas_OCGT</t>
  </si>
  <si>
    <t>JRC TIMES</t>
  </si>
  <si>
    <t>Power only</t>
  </si>
  <si>
    <t>5% eff loss due to CO2 capture</t>
  </si>
  <si>
    <t>Power+Heat</t>
  </si>
  <si>
    <t>old data (90% eff, Kevin)</t>
  </si>
  <si>
    <t>using lignite values</t>
  </si>
  <si>
    <t>ETRI 2014</t>
  </si>
  <si>
    <t>normalized to power with additional efficiencies</t>
  </si>
  <si>
    <t>Res_PV_Utility_Tracking</t>
  </si>
  <si>
    <t>JRC-TIMES+DEA</t>
  </si>
  <si>
    <t>10% on PP, PP prices from JRC TIMES</t>
  </si>
  <si>
    <t>own assumption</t>
  </si>
  <si>
    <t>50% higher than normal PP</t>
  </si>
  <si>
    <t>marginal costs</t>
  </si>
  <si>
    <t>Mapping and analyses of the current and future (2020 - 2030) heating/cooling fuel deployment (fossil/renewables), EUROPEAN COMMISSION DIRECTORATE-GENERAL FOR ENERGY, 2012</t>
  </si>
  <si>
    <t>assumption</t>
  </si>
  <si>
    <t xml:space="preserve">annahme 3,5% capex nach </t>
  </si>
  <si>
    <t xml:space="preserve"> </t>
  </si>
  <si>
    <t>JRC-TIMES</t>
  </si>
  <si>
    <t>same as other CHPs</t>
  </si>
  <si>
    <t>*+1 year</t>
  </si>
  <si>
    <t>old data</t>
  </si>
  <si>
    <t>same as other chps</t>
  </si>
  <si>
    <t>Res_pv_utility_tracking</t>
  </si>
  <si>
    <t>EWI</t>
  </si>
  <si>
    <t>EUROSTAT</t>
  </si>
  <si>
    <t>Unit: GW for Power; PJ for Gas</t>
  </si>
  <si>
    <t>MarieGalante</t>
  </si>
  <si>
    <t>LaDesirade</t>
  </si>
  <si>
    <t>MinorIslands</t>
  </si>
  <si>
    <t>most likely just 0 for guadeloupe</t>
  </si>
  <si>
    <t>CapExcellence</t>
  </si>
  <si>
    <t>GrandeTerreNorth</t>
  </si>
  <si>
    <t>RivieraDuLevant</t>
  </si>
  <si>
    <t>GrandSud</t>
  </si>
  <si>
    <t>BasseTerreNorth</t>
  </si>
  <si>
    <t>s</t>
  </si>
  <si>
    <t>RES_Wind_Onshore_avg</t>
  </si>
  <si>
    <t>RES_Wind_Onshore_inf</t>
  </si>
  <si>
    <t>RES_Wind_Onshore_opt</t>
  </si>
  <si>
    <t>MT_PSNG_SHIP_RE</t>
  </si>
  <si>
    <t>MT_PSNG_SHIP_CONV</t>
  </si>
  <si>
    <t>MT_PSNG_SHIP</t>
  </si>
  <si>
    <t>PSNG_Ship_Bio</t>
  </si>
  <si>
    <t>PSNG_Ship_Conv</t>
  </si>
  <si>
    <t>PSNG_Ship_LNG</t>
  </si>
  <si>
    <t>MT_PSNG_Ship_CONV</t>
  </si>
  <si>
    <t>MT_PSNG_Ship_RE</t>
  </si>
  <si>
    <t>PSNG_Ship_H2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</si>
</sst>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00"/>
  </numFmts>
  <fonts count="3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rgb="FFFF0000"/>
      <name val="Calibri (Textkörper)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326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4" fillId="0" borderId="0" applyNumberFormat="0" applyFill="0" applyBorder="0" applyAlignment="0" applyProtection="0"/>
    <xf numFmtId="0" fontId="15" fillId="0" borderId="1" applyNumberFormat="0" applyFill="0" applyAlignment="0" applyProtection="0"/>
    <xf numFmtId="0" fontId="16" fillId="0" borderId="2" applyNumberFormat="0" applyFill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0" fontId="20" fillId="5" borderId="0" applyNumberFormat="0" applyBorder="0" applyAlignment="0" applyProtection="0"/>
    <xf numFmtId="0" fontId="21" fillId="6" borderId="4" applyNumberFormat="0" applyAlignment="0" applyProtection="0"/>
    <xf numFmtId="0" fontId="22" fillId="7" borderId="5" applyNumberFormat="0" applyAlignment="0" applyProtection="0"/>
    <xf numFmtId="0" fontId="23" fillId="7" borderId="4" applyNumberFormat="0" applyAlignment="0" applyProtection="0"/>
    <xf numFmtId="0" fontId="24" fillId="0" borderId="6" applyNumberFormat="0" applyFill="0" applyAlignment="0" applyProtection="0"/>
    <xf numFmtId="0" fontId="25" fillId="8" borderId="7" applyNumberFormat="0" applyAlignment="0" applyProtection="0"/>
    <xf numFmtId="0" fontId="4" fillId="0" borderId="0" applyNumberFormat="0" applyFill="0" applyBorder="0" applyAlignment="0" applyProtection="0"/>
    <xf numFmtId="0" fontId="11" fillId="9" borderId="8" applyNumberFormat="0" applyFont="0" applyAlignment="0" applyProtection="0"/>
    <xf numFmtId="0" fontId="26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7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7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7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1" borderId="0" applyNumberFormat="0" applyBorder="0" applyAlignment="0" applyProtection="0"/>
    <xf numFmtId="0" fontId="7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7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7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0" fontId="5" fillId="2" borderId="0" xfId="0" applyFont="1" applyFill="1"/>
    <xf numFmtId="0" fontId="0" fillId="0" borderId="0" xfId="0" applyAlignment="1">
      <alignment wrapText="1"/>
    </xf>
    <xf numFmtId="0" fontId="7" fillId="0" borderId="0" xfId="0" applyFont="1"/>
    <xf numFmtId="0" fontId="9" fillId="0" borderId="0" xfId="1282"/>
    <xf numFmtId="0" fontId="11" fillId="0" borderId="0" xfId="0" applyFont="1"/>
    <xf numFmtId="0" fontId="13" fillId="0" borderId="0" xfId="0" applyFont="1"/>
    <xf numFmtId="0" fontId="0" fillId="0" borderId="0" xfId="0" applyAlignment="1">
      <alignment horizontal="left" vertical="center"/>
    </xf>
    <xf numFmtId="1" fontId="0" fillId="0" borderId="0" xfId="0" applyNumberFormat="1"/>
    <xf numFmtId="0" fontId="5" fillId="0" borderId="0" xfId="0" applyFont="1"/>
    <xf numFmtId="164" fontId="11" fillId="0" borderId="0" xfId="0" applyNumberFormat="1" applyFont="1"/>
    <xf numFmtId="0" fontId="0" fillId="0" borderId="0" xfId="0" applyAlignment="1">
      <alignment vertical="top"/>
    </xf>
    <xf numFmtId="0" fontId="0" fillId="0" borderId="0" xfId="0" quotePrefix="1"/>
    <xf numFmtId="0" fontId="13" fillId="0" borderId="0" xfId="0" applyFont="1" applyAlignment="1">
      <alignment wrapText="1"/>
    </xf>
    <xf numFmtId="0" fontId="1" fillId="0" borderId="0" xfId="1325" applyFill="1"/>
    <xf numFmtId="0" fontId="6" fillId="0" borderId="0" xfId="0" applyFont="1"/>
    <xf numFmtId="2" fontId="0" fillId="0" borderId="0" xfId="0" applyNumberFormat="1"/>
    <xf numFmtId="0" fontId="0" fillId="0" borderId="0" xfId="0" applyAlignment="1">
      <alignment horizontal="left"/>
    </xf>
    <xf numFmtId="0" fontId="1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2" fontId="0" fillId="0" borderId="0" xfId="0" applyNumberFormat="1" applyAlignment="1">
      <alignment horizontal="right"/>
    </xf>
    <xf numFmtId="0" fontId="0" fillId="0" borderId="10" xfId="0" applyBorder="1"/>
    <xf numFmtId="0" fontId="9" fillId="0" borderId="0" xfId="1282" quotePrefix="1"/>
    <xf numFmtId="0" fontId="4" fillId="0" borderId="0" xfId="0" applyFont="1"/>
    <xf numFmtId="0" fontId="13" fillId="0" borderId="0" xfId="0" applyFont="1" applyAlignment="1">
      <alignment horizontal="right" vertical="top"/>
    </xf>
    <xf numFmtId="2" fontId="9" fillId="0" borderId="0" xfId="1282" applyNumberFormat="1"/>
    <xf numFmtId="0" fontId="29" fillId="0" borderId="0" xfId="0" applyFont="1" applyAlignment="1">
      <alignment vertical="center"/>
    </xf>
    <xf numFmtId="0" fontId="30" fillId="0" borderId="0" xfId="1282" applyFont="1"/>
    <xf numFmtId="0" fontId="5" fillId="0" borderId="12" xfId="0" applyFont="1" applyBorder="1"/>
    <xf numFmtId="2" fontId="11" fillId="0" borderId="0" xfId="0" applyNumberFormat="1" applyFont="1"/>
    <xf numFmtId="0" fontId="27" fillId="0" borderId="0" xfId="0" applyFont="1"/>
    <xf numFmtId="0" fontId="0" fillId="0" borderId="12" xfId="0" applyBorder="1"/>
    <xf numFmtId="0" fontId="0" fillId="34" borderId="0" xfId="0" applyFill="1"/>
    <xf numFmtId="0" fontId="31" fillId="0" borderId="0" xfId="0" applyFont="1" applyAlignment="1">
      <alignment horizontal="left"/>
    </xf>
    <xf numFmtId="0" fontId="31" fillId="0" borderId="0" xfId="0" applyFont="1"/>
    <xf numFmtId="2" fontId="0" fillId="0" borderId="0" xfId="0" applyNumberFormat="1" applyAlignment="1">
      <alignment wrapText="1"/>
    </xf>
    <xf numFmtId="0" fontId="0" fillId="0" borderId="11" xfId="0" applyBorder="1"/>
    <xf numFmtId="0" fontId="11" fillId="0" borderId="12" xfId="0" applyFont="1" applyBorder="1"/>
    <xf numFmtId="0" fontId="0" fillId="0" borderId="12" xfId="0" applyBorder="1" applyAlignment="1">
      <alignment horizontal="left"/>
    </xf>
    <xf numFmtId="0" fontId="0" fillId="35" borderId="0" xfId="0" applyFill="1"/>
    <xf numFmtId="0" fontId="0" fillId="36" borderId="12" xfId="0" applyFill="1" applyBorder="1"/>
    <xf numFmtId="0" fontId="0" fillId="36" borderId="0" xfId="0" applyFill="1"/>
    <xf numFmtId="2" fontId="6" fillId="0" borderId="0" xfId="0" applyNumberFormat="1" applyFont="1"/>
    <xf numFmtId="0" fontId="10" fillId="0" borderId="0" xfId="1283"/>
    <xf numFmtId="2" fontId="10" fillId="0" borderId="0" xfId="1283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32" fillId="0" borderId="0" xfId="0" applyFont="1" applyAlignment="1">
      <alignment horizontal="right"/>
    </xf>
    <xf numFmtId="0" fontId="0" fillId="37" borderId="0" xfId="0" applyFill="1"/>
    <xf numFmtId="0" fontId="0" fillId="37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7" borderId="0" xfId="0" applyFill="1" applyAlignment="1">
      <alignment horizontal="center"/>
    </xf>
    <xf numFmtId="0" fontId="11" fillId="37" borderId="0" xfId="0" applyFont="1" applyFill="1"/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34" borderId="0" xfId="0" applyFill="1" applyAlignment="1">
      <alignment horizontal="center"/>
    </xf>
    <xf numFmtId="0" fontId="0" fillId="38" borderId="0" xfId="0" applyFill="1"/>
    <xf numFmtId="165" fontId="0" fillId="0" borderId="0" xfId="0" applyNumberFormat="1" applyAlignment="1">
      <alignment horizontal="center"/>
    </xf>
    <xf numFmtId="0" fontId="0" fillId="39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326">
    <cellStyle name="20% - Accent1" xfId="1302" builtinId="30" customBuiltin="1"/>
    <cellStyle name="20% - Accent2" xfId="1306" builtinId="34" customBuiltin="1"/>
    <cellStyle name="20% - Accent3" xfId="1310" builtinId="38" customBuiltin="1"/>
    <cellStyle name="20% - Accent4" xfId="1314" builtinId="42" customBuiltin="1"/>
    <cellStyle name="20% - Accent5" xfId="1318" builtinId="46" customBuiltin="1"/>
    <cellStyle name="20% - Accent6" xfId="1322" builtinId="50" customBuiltin="1"/>
    <cellStyle name="40% - Accent1" xfId="1303" builtinId="31" customBuiltin="1"/>
    <cellStyle name="40% - Accent2" xfId="1307" builtinId="35" customBuiltin="1"/>
    <cellStyle name="40% - Accent3" xfId="1311" builtinId="39" customBuiltin="1"/>
    <cellStyle name="40% - Accent4" xfId="1315" builtinId="43" customBuiltin="1"/>
    <cellStyle name="40% - Accent5" xfId="1319" builtinId="47" customBuiltin="1"/>
    <cellStyle name="40% - Accent6" xfId="1323" builtinId="51" customBuiltin="1"/>
    <cellStyle name="60% - Accent1" xfId="1304" builtinId="32" customBuiltin="1"/>
    <cellStyle name="60% - Accent2" xfId="1308" builtinId="36" customBuiltin="1"/>
    <cellStyle name="60% - Accent3" xfId="1312" builtinId="40" customBuiltin="1"/>
    <cellStyle name="60% - Accent4" xfId="1316" builtinId="44" customBuiltin="1"/>
    <cellStyle name="60% - Accent5" xfId="1320" builtinId="48" customBuiltin="1"/>
    <cellStyle name="60% - Accent6" xfId="1324" builtinId="52" customBuiltin="1"/>
    <cellStyle name="Accent1" xfId="1301" builtinId="29" customBuiltin="1"/>
    <cellStyle name="Accent2" xfId="1305" builtinId="33" customBuiltin="1"/>
    <cellStyle name="Accent3" xfId="1309" builtinId="37" customBuiltin="1"/>
    <cellStyle name="Accent4" xfId="1313" builtinId="41" customBuiltin="1"/>
    <cellStyle name="Accent5" xfId="1317" builtinId="45" customBuiltin="1"/>
    <cellStyle name="Accent6" xfId="1321" builtinId="49" customBuiltin="1"/>
    <cellStyle name="Bad" xfId="1290" builtinId="27" customBuiltin="1"/>
    <cellStyle name="Calculation" xfId="1294" builtinId="22" customBuiltin="1"/>
    <cellStyle name="Check Cell" xfId="1296" builtinId="23" customBuiltin="1"/>
    <cellStyle name="Explanatory Text" xfId="1299" builtinId="53" customBuiltin="1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Good" xfId="1289" builtinId="26" customBuiltin="1"/>
    <cellStyle name="Heading 1" xfId="1285" builtinId="16" customBuiltin="1"/>
    <cellStyle name="Heading 2" xfId="1286" builtinId="17" customBuiltin="1"/>
    <cellStyle name="Heading 3" xfId="1287" builtinId="18" customBuiltin="1"/>
    <cellStyle name="Heading 4" xfId="1288" builtinId="19" customBuilti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325" builtinId="8"/>
    <cellStyle name="Input" xfId="1292" builtinId="20" customBuiltin="1"/>
    <cellStyle name="Linked Cell" xfId="1295" builtinId="24" customBuiltin="1"/>
    <cellStyle name="Neutral" xfId="1291" builtinId="28" customBuiltin="1"/>
    <cellStyle name="Normal" xfId="0" builtinId="0"/>
    <cellStyle name="Note" xfId="1298" builtinId="10" customBuiltin="1"/>
    <cellStyle name="Output" xfId="1293" builtinId="21" customBuiltin="1"/>
    <cellStyle name="Standard 2" xfId="1281" xr:uid="{00000000-0005-0000-0000-000023050000}"/>
    <cellStyle name="Standard 3" xfId="1282" xr:uid="{00000000-0005-0000-0000-000024050000}"/>
    <cellStyle name="Standard_Technologies_cna_fk_v01_14062010" xfId="1283" xr:uid="{00000000-0005-0000-0000-000025050000}"/>
    <cellStyle name="Title" xfId="1284" builtinId="15" customBuiltin="1"/>
    <cellStyle name="Total" xfId="1300" builtinId="25" customBuiltin="1"/>
    <cellStyle name="Warning Text" xfId="1297" builtinId="11" customBuiltin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54952</xdr:colOff>
      <xdr:row>46</xdr:row>
      <xdr:rowOff>9159</xdr:rowOff>
    </xdr:from>
    <xdr:to>
      <xdr:col>13</xdr:col>
      <xdr:colOff>155697</xdr:colOff>
      <xdr:row>51</xdr:row>
      <xdr:rowOff>109904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78BFAF1-EF3D-8081-9980-89466BC95B9E}"/>
            </a:ext>
          </a:extLst>
        </xdr:cNvPr>
        <xdr:cNvSpPr txBox="1"/>
      </xdr:nvSpPr>
      <xdr:spPr>
        <a:xfrm>
          <a:off x="10486659" y="8856419"/>
          <a:ext cx="2381250" cy="106240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It is technically possible</a:t>
          </a:r>
          <a:r>
            <a:rPr lang="en-US" sz="1100" baseline="0"/>
            <a:t> to link the transmission between Cap Excellence and Grande Sud Caraibe, but it would have to go through Nord Basse-Terre, so I left it as 0 for the moment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590550</xdr:colOff>
      <xdr:row>7</xdr:row>
      <xdr:rowOff>133350</xdr:rowOff>
    </xdr:from>
    <xdr:to>
      <xdr:col>13</xdr:col>
      <xdr:colOff>76200</xdr:colOff>
      <xdr:row>14</xdr:row>
      <xdr:rowOff>85725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889D92-2F00-8E65-1654-59C22DCD20A9}"/>
            </a:ext>
          </a:extLst>
        </xdr:cNvPr>
        <xdr:cNvSpPr txBox="1"/>
      </xdr:nvSpPr>
      <xdr:spPr>
        <a:xfrm>
          <a:off x="10944225" y="1466850"/>
          <a:ext cx="1771650" cy="1285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For trade</a:t>
          </a:r>
          <a:r>
            <a:rPr lang="en-US" sz="1100" baseline="0"/>
            <a:t> with submarine cables,, I essentially took the minimum transmission capacity of OHL on Basse-Terre and Grande-Terre, which is 53 MW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7" dT="2023-07-25T10:34:26.90" personId="{00000000-0000-0000-0000-000000000000}" id="{E2F12CA3-4881-48EB-8F44-59140E9E4E48}">
    <text>Sourced from Biogas</text>
  </threadedComment>
  <threadedComment ref="B22" dT="2023-07-25T10:34:21.09" personId="{00000000-0000-0000-0000-000000000000}" id="{3F016CE0-A873-49D6-8CD0-5B09BD62E174}">
    <text>Sourced from Biogas</text>
  </threadedComment>
  <threadedComment ref="B26" dT="2023-07-25T10:34:09.45" personId="{00000000-0000-0000-0000-000000000000}" id="{0201B00D-01FF-4213-94DF-2A7FDE52F56A}">
    <text>Sourced from Biogas</text>
  </threadedComment>
  <threadedComment ref="B31" dT="2023-07-25T10:31:18.93" personId="{00000000-0000-0000-0000-000000000000}" id="{42B6BA52-C6C1-4BEF-B147-5E5746F2D303}">
    <text>Sourced from Bagasse - residue from sugar production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s://sci-hub.se/10.1016/j.solener.2017.09.030" TargetMode="External"/><Relationship Id="rId13" Type="http://schemas.openxmlformats.org/officeDocument/2006/relationships/hyperlink" Target="https://sci-hub.se/10.1016/j.solener.2017.09.030" TargetMode="External"/><Relationship Id="rId18" Type="http://schemas.openxmlformats.org/officeDocument/2006/relationships/hyperlink" Target="https://sci-hub.se/10.1016/j.solener.2017.09.030" TargetMode="External"/><Relationship Id="rId3" Type="http://schemas.openxmlformats.org/officeDocument/2006/relationships/hyperlink" Target="https://sci-hub.se/10.1016/j.solener.2017.09.030" TargetMode="External"/><Relationship Id="rId21" Type="http://schemas.openxmlformats.org/officeDocument/2006/relationships/printerSettings" Target="../printerSettings/printerSettings18.bin"/><Relationship Id="rId7" Type="http://schemas.openxmlformats.org/officeDocument/2006/relationships/hyperlink" Target="https://sci-hub.se/10.1016/j.solener.2017.09.030" TargetMode="External"/><Relationship Id="rId12" Type="http://schemas.openxmlformats.org/officeDocument/2006/relationships/hyperlink" Target="https://sci-hub.se/10.1016/j.solener.2017.09.030" TargetMode="External"/><Relationship Id="rId17" Type="http://schemas.openxmlformats.org/officeDocument/2006/relationships/hyperlink" Target="https://sci-hub.se/10.1016/j.solener.2017.09.030" TargetMode="External"/><Relationship Id="rId2" Type="http://schemas.openxmlformats.org/officeDocument/2006/relationships/hyperlink" Target="https://sci-hub.se/10.1016/j.solener.2017.09.030" TargetMode="External"/><Relationship Id="rId16" Type="http://schemas.openxmlformats.org/officeDocument/2006/relationships/hyperlink" Target="https://sci-hub.se/10.1016/j.solener.2017.09.030" TargetMode="External"/><Relationship Id="rId20" Type="http://schemas.openxmlformats.org/officeDocument/2006/relationships/hyperlink" Target="https://sci-hub.se/10.1016/j.solener.2017.09.030" TargetMode="External"/><Relationship Id="rId1" Type="http://schemas.openxmlformats.org/officeDocument/2006/relationships/hyperlink" Target="https://sci-hub.se/10.1016/j.solener.2017.09.030" TargetMode="External"/><Relationship Id="rId6" Type="http://schemas.openxmlformats.org/officeDocument/2006/relationships/hyperlink" Target="https://sci-hub.se/10.1016/j.solener.2017.09.030" TargetMode="External"/><Relationship Id="rId11" Type="http://schemas.openxmlformats.org/officeDocument/2006/relationships/hyperlink" Target="https://sci-hub.se/10.1016/j.solener.2017.09.030" TargetMode="External"/><Relationship Id="rId5" Type="http://schemas.openxmlformats.org/officeDocument/2006/relationships/hyperlink" Target="https://sci-hub.se/10.1016/j.solener.2017.09.030" TargetMode="External"/><Relationship Id="rId15" Type="http://schemas.openxmlformats.org/officeDocument/2006/relationships/hyperlink" Target="https://sci-hub.se/10.1016/j.solener.2017.09.030" TargetMode="External"/><Relationship Id="rId10" Type="http://schemas.openxmlformats.org/officeDocument/2006/relationships/hyperlink" Target="https://sci-hub.se/10.1016/j.solener.2017.09.030" TargetMode="External"/><Relationship Id="rId19" Type="http://schemas.openxmlformats.org/officeDocument/2006/relationships/hyperlink" Target="https://sci-hub.se/10.1016/j.solener.2017.09.030" TargetMode="External"/><Relationship Id="rId4" Type="http://schemas.openxmlformats.org/officeDocument/2006/relationships/hyperlink" Target="https://sci-hub.se/10.1016/j.solener.2017.09.030" TargetMode="External"/><Relationship Id="rId9" Type="http://schemas.openxmlformats.org/officeDocument/2006/relationships/hyperlink" Target="https://sci-hub.se/10.1016/j.solener.2017.09.030" TargetMode="External"/><Relationship Id="rId14" Type="http://schemas.openxmlformats.org/officeDocument/2006/relationships/hyperlink" Target="https://sci-hub.se/10.1016/j.solener.2017.09.030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27"/>
  <dimension ref="A1:N145"/>
  <sheetViews>
    <sheetView topLeftCell="B117" workbookViewId="0">
      <selection activeCell="D125" sqref="D125"/>
    </sheetView>
  </sheetViews>
  <sheetFormatPr defaultColWidth="9.140625" defaultRowHeight="15"/>
  <cols>
    <col min="1" max="1" width="18.5703125" customWidth="1"/>
    <col min="2" max="2" width="28.42578125" bestFit="1" customWidth="1"/>
    <col min="3" max="3" width="25.140625" bestFit="1" customWidth="1"/>
    <col min="6" max="6" width="19.5703125" bestFit="1" customWidth="1"/>
    <col min="7" max="7" width="18.85546875" bestFit="1" customWidth="1"/>
    <col min="10" max="10" width="15" customWidth="1"/>
    <col min="11" max="11" width="16.140625" bestFit="1" customWidth="1"/>
    <col min="12" max="13" width="22.42578125" bestFit="1" customWidth="1"/>
  </cols>
  <sheetData>
    <row r="1" spans="1:14">
      <c r="A1" s="1" t="s">
        <v>25</v>
      </c>
      <c r="B1" s="9" t="s">
        <v>26</v>
      </c>
      <c r="C1" s="9" t="s">
        <v>21</v>
      </c>
      <c r="D1" s="9" t="s">
        <v>27</v>
      </c>
      <c r="E1" s="9" t="s">
        <v>28</v>
      </c>
      <c r="F1" s="9" t="s">
        <v>29</v>
      </c>
      <c r="G1" s="9" t="s">
        <v>20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55</v>
      </c>
      <c r="M1" s="9" t="s">
        <v>200</v>
      </c>
      <c r="N1" s="9" t="s">
        <v>323</v>
      </c>
    </row>
    <row r="2" spans="1:14">
      <c r="A2" t="s">
        <v>0</v>
      </c>
      <c r="B2" s="2" t="s">
        <v>265</v>
      </c>
      <c r="C2" t="s">
        <v>169</v>
      </c>
      <c r="D2">
        <v>2018</v>
      </c>
      <c r="E2" t="s">
        <v>66</v>
      </c>
      <c r="F2">
        <v>1</v>
      </c>
      <c r="G2" t="s">
        <v>479</v>
      </c>
      <c r="H2">
        <v>1</v>
      </c>
      <c r="I2">
        <v>1</v>
      </c>
      <c r="J2">
        <v>1</v>
      </c>
      <c r="K2" t="s">
        <v>142</v>
      </c>
      <c r="L2" t="s">
        <v>37</v>
      </c>
      <c r="M2" t="s">
        <v>108</v>
      </c>
      <c r="N2" t="s">
        <v>24</v>
      </c>
    </row>
    <row r="3" spans="1:14">
      <c r="B3" t="s">
        <v>170</v>
      </c>
      <c r="C3" t="s">
        <v>168</v>
      </c>
      <c r="D3">
        <v>2021</v>
      </c>
      <c r="E3" t="s">
        <v>67</v>
      </c>
      <c r="F3">
        <v>2</v>
      </c>
      <c r="G3" t="s">
        <v>480</v>
      </c>
      <c r="H3">
        <v>2</v>
      </c>
      <c r="J3">
        <v>2</v>
      </c>
      <c r="K3" t="s">
        <v>149</v>
      </c>
      <c r="L3" t="s">
        <v>38</v>
      </c>
      <c r="M3" t="s">
        <v>109</v>
      </c>
      <c r="N3" t="s">
        <v>284</v>
      </c>
    </row>
    <row r="4" spans="1:14">
      <c r="B4" t="s">
        <v>171</v>
      </c>
      <c r="C4" t="s">
        <v>141</v>
      </c>
      <c r="D4">
        <v>2025</v>
      </c>
      <c r="E4" t="s">
        <v>64</v>
      </c>
      <c r="F4">
        <v>3</v>
      </c>
      <c r="G4" t="s">
        <v>481</v>
      </c>
      <c r="H4">
        <v>3</v>
      </c>
      <c r="J4">
        <v>3</v>
      </c>
      <c r="K4" t="s">
        <v>143</v>
      </c>
      <c r="L4" t="s">
        <v>39</v>
      </c>
      <c r="M4" t="s">
        <v>110</v>
      </c>
      <c r="N4" t="s">
        <v>318</v>
      </c>
    </row>
    <row r="5" spans="1:14">
      <c r="B5" t="s">
        <v>436</v>
      </c>
      <c r="C5" t="s">
        <v>151</v>
      </c>
      <c r="D5">
        <v>2030</v>
      </c>
      <c r="E5" t="s">
        <v>65</v>
      </c>
      <c r="F5">
        <v>4</v>
      </c>
      <c r="G5" t="s">
        <v>487</v>
      </c>
      <c r="H5">
        <v>4</v>
      </c>
      <c r="J5">
        <v>4</v>
      </c>
      <c r="K5" t="s">
        <v>144</v>
      </c>
      <c r="L5" t="s">
        <v>43</v>
      </c>
      <c r="M5" t="s">
        <v>111</v>
      </c>
      <c r="N5" t="s">
        <v>319</v>
      </c>
    </row>
    <row r="6" spans="1:14">
      <c r="B6" t="s">
        <v>437</v>
      </c>
      <c r="C6" t="s">
        <v>140</v>
      </c>
      <c r="D6">
        <v>2035</v>
      </c>
      <c r="E6" t="s">
        <v>69</v>
      </c>
      <c r="G6" t="s">
        <v>486</v>
      </c>
      <c r="K6" t="s">
        <v>248</v>
      </c>
      <c r="L6" t="s">
        <v>44</v>
      </c>
      <c r="M6" t="s">
        <v>112</v>
      </c>
      <c r="N6" t="s">
        <v>320</v>
      </c>
    </row>
    <row r="7" spans="1:14">
      <c r="B7" t="s">
        <v>104</v>
      </c>
      <c r="C7" t="s">
        <v>197</v>
      </c>
      <c r="D7">
        <v>2040</v>
      </c>
      <c r="E7" t="s">
        <v>70</v>
      </c>
      <c r="G7" t="s">
        <v>483</v>
      </c>
      <c r="K7" t="s">
        <v>246</v>
      </c>
      <c r="L7" t="s">
        <v>45</v>
      </c>
      <c r="M7" t="s">
        <v>113</v>
      </c>
      <c r="N7" t="s">
        <v>321</v>
      </c>
    </row>
    <row r="8" spans="1:14">
      <c r="B8" t="s">
        <v>438</v>
      </c>
      <c r="C8" t="s">
        <v>139</v>
      </c>
      <c r="D8">
        <v>2045</v>
      </c>
      <c r="E8" t="s">
        <v>71</v>
      </c>
      <c r="G8" t="s">
        <v>484</v>
      </c>
      <c r="K8" t="s">
        <v>192</v>
      </c>
      <c r="L8" t="s">
        <v>48</v>
      </c>
      <c r="M8" t="s">
        <v>156</v>
      </c>
      <c r="N8" t="s">
        <v>322</v>
      </c>
    </row>
    <row r="9" spans="1:14">
      <c r="B9" t="s">
        <v>105</v>
      </c>
      <c r="C9" t="s">
        <v>138</v>
      </c>
      <c r="D9">
        <v>2050</v>
      </c>
      <c r="E9" t="s">
        <v>68</v>
      </c>
      <c r="G9" t="s">
        <v>485</v>
      </c>
      <c r="K9" t="s">
        <v>150</v>
      </c>
      <c r="L9" t="s">
        <v>49</v>
      </c>
      <c r="M9" t="s">
        <v>190</v>
      </c>
      <c r="N9" t="s">
        <v>435</v>
      </c>
    </row>
    <row r="10" spans="1:14">
      <c r="B10" t="s">
        <v>439</v>
      </c>
      <c r="C10" t="s">
        <v>24</v>
      </c>
      <c r="E10" t="s">
        <v>73</v>
      </c>
      <c r="L10" t="s">
        <v>50</v>
      </c>
      <c r="M10" t="s">
        <v>114</v>
      </c>
    </row>
    <row r="11" spans="1:14">
      <c r="B11" t="s">
        <v>440</v>
      </c>
      <c r="C11" t="s">
        <v>145</v>
      </c>
      <c r="E11" t="s">
        <v>74</v>
      </c>
      <c r="L11" t="s">
        <v>40</v>
      </c>
      <c r="M11" t="s">
        <v>115</v>
      </c>
    </row>
    <row r="12" spans="1:14">
      <c r="B12" t="s">
        <v>441</v>
      </c>
      <c r="C12" t="s">
        <v>146</v>
      </c>
      <c r="E12" t="s">
        <v>75</v>
      </c>
      <c r="L12" t="s">
        <v>41</v>
      </c>
      <c r="M12" t="s">
        <v>116</v>
      </c>
    </row>
    <row r="13" spans="1:14">
      <c r="B13" t="s">
        <v>442</v>
      </c>
      <c r="C13" t="s">
        <v>152</v>
      </c>
      <c r="E13" t="s">
        <v>72</v>
      </c>
      <c r="L13" t="s">
        <v>46</v>
      </c>
      <c r="M13" t="s">
        <v>117</v>
      </c>
    </row>
    <row r="14" spans="1:14">
      <c r="B14" t="s">
        <v>443</v>
      </c>
      <c r="C14" t="s">
        <v>198</v>
      </c>
      <c r="E14" t="s">
        <v>77</v>
      </c>
      <c r="L14" t="s">
        <v>51</v>
      </c>
      <c r="M14" t="s">
        <v>118</v>
      </c>
    </row>
    <row r="15" spans="1:14">
      <c r="B15" t="s">
        <v>444</v>
      </c>
      <c r="C15" t="s">
        <v>199</v>
      </c>
      <c r="E15" t="s">
        <v>78</v>
      </c>
      <c r="L15" t="s">
        <v>47</v>
      </c>
      <c r="M15" t="s">
        <v>119</v>
      </c>
    </row>
    <row r="16" spans="1:14">
      <c r="B16" t="s">
        <v>445</v>
      </c>
      <c r="C16" t="s">
        <v>271</v>
      </c>
      <c r="E16" t="s">
        <v>79</v>
      </c>
      <c r="L16" t="s">
        <v>52</v>
      </c>
      <c r="M16" t="s">
        <v>120</v>
      </c>
    </row>
    <row r="17" spans="2:13">
      <c r="B17" t="s">
        <v>446</v>
      </c>
      <c r="C17" t="s">
        <v>207</v>
      </c>
      <c r="E17" t="s">
        <v>76</v>
      </c>
      <c r="L17" t="s">
        <v>42</v>
      </c>
      <c r="M17" t="s">
        <v>155</v>
      </c>
    </row>
    <row r="18" spans="2:13">
      <c r="B18" t="s">
        <v>135</v>
      </c>
      <c r="C18" t="s">
        <v>208</v>
      </c>
      <c r="L18" t="s">
        <v>498</v>
      </c>
      <c r="M18" t="s">
        <v>174</v>
      </c>
    </row>
    <row r="19" spans="2:13">
      <c r="B19" t="s">
        <v>136</v>
      </c>
      <c r="C19" t="s">
        <v>209</v>
      </c>
      <c r="L19" t="s">
        <v>499</v>
      </c>
      <c r="M19" t="s">
        <v>175</v>
      </c>
    </row>
    <row r="20" spans="2:13">
      <c r="B20" t="s">
        <v>191</v>
      </c>
      <c r="C20" t="s">
        <v>270</v>
      </c>
      <c r="L20" t="s">
        <v>492</v>
      </c>
      <c r="M20" t="s">
        <v>107</v>
      </c>
    </row>
    <row r="21" spans="2:13">
      <c r="B21" t="s">
        <v>147</v>
      </c>
      <c r="C21" t="s">
        <v>299</v>
      </c>
      <c r="L21" t="s">
        <v>493</v>
      </c>
      <c r="M21" t="s">
        <v>154</v>
      </c>
    </row>
    <row r="22" spans="2:13">
      <c r="B22" t="s">
        <v>148</v>
      </c>
      <c r="C22" t="s">
        <v>312</v>
      </c>
      <c r="L22" t="s">
        <v>494</v>
      </c>
      <c r="M22" t="s">
        <v>104</v>
      </c>
    </row>
    <row r="23" spans="2:13">
      <c r="B23" t="s">
        <v>245</v>
      </c>
      <c r="C23" t="s">
        <v>313</v>
      </c>
      <c r="M23" t="s">
        <v>105</v>
      </c>
    </row>
    <row r="24" spans="2:13">
      <c r="B24" t="s">
        <v>247</v>
      </c>
      <c r="C24" t="s">
        <v>315</v>
      </c>
      <c r="M24" t="s">
        <v>106</v>
      </c>
    </row>
    <row r="25" spans="2:13">
      <c r="B25" t="s">
        <v>134</v>
      </c>
      <c r="C25" t="s">
        <v>314</v>
      </c>
    </row>
    <row r="26" spans="2:13">
      <c r="B26" t="s">
        <v>137</v>
      </c>
      <c r="C26" t="s">
        <v>266</v>
      </c>
    </row>
    <row r="27" spans="2:13">
      <c r="B27" s="2" t="s">
        <v>130</v>
      </c>
      <c r="C27" t="s">
        <v>299</v>
      </c>
    </row>
    <row r="28" spans="2:13">
      <c r="B28" s="2" t="s">
        <v>131</v>
      </c>
      <c r="C28" t="s">
        <v>328</v>
      </c>
    </row>
    <row r="29" spans="2:13">
      <c r="B29" s="2" t="s">
        <v>125</v>
      </c>
      <c r="C29" t="s">
        <v>334</v>
      </c>
    </row>
    <row r="30" spans="2:13">
      <c r="B30" s="2" t="s">
        <v>57</v>
      </c>
      <c r="C30" t="s">
        <v>335</v>
      </c>
    </row>
    <row r="31" spans="2:13">
      <c r="B31" s="2" t="s">
        <v>126</v>
      </c>
      <c r="C31" t="s">
        <v>434</v>
      </c>
    </row>
    <row r="32" spans="2:13">
      <c r="B32" s="2" t="s">
        <v>316</v>
      </c>
    </row>
    <row r="33" spans="2:2">
      <c r="B33" s="2" t="s">
        <v>176</v>
      </c>
    </row>
    <row r="34" spans="2:2">
      <c r="B34" s="2" t="s">
        <v>127</v>
      </c>
    </row>
    <row r="35" spans="2:2">
      <c r="B35" s="2" t="s">
        <v>495</v>
      </c>
    </row>
    <row r="36" spans="2:2">
      <c r="B36" s="2" t="s">
        <v>496</v>
      </c>
    </row>
    <row r="37" spans="2:2">
      <c r="B37" s="2" t="s">
        <v>497</v>
      </c>
    </row>
    <row r="38" spans="2:2">
      <c r="B38" t="s">
        <v>447</v>
      </c>
    </row>
    <row r="39" spans="2:2">
      <c r="B39" t="s">
        <v>448</v>
      </c>
    </row>
    <row r="40" spans="2:2">
      <c r="B40" t="s">
        <v>238</v>
      </c>
    </row>
    <row r="41" spans="2:2">
      <c r="B41" t="s">
        <v>249</v>
      </c>
    </row>
    <row r="42" spans="2:2">
      <c r="B42" t="s">
        <v>243</v>
      </c>
    </row>
    <row r="43" spans="2:2">
      <c r="B43" t="s">
        <v>239</v>
      </c>
    </row>
    <row r="44" spans="2:2">
      <c r="B44" t="s">
        <v>250</v>
      </c>
    </row>
    <row r="45" spans="2:2">
      <c r="B45" t="s">
        <v>241</v>
      </c>
    </row>
    <row r="46" spans="2:2">
      <c r="B46" t="s">
        <v>242</v>
      </c>
    </row>
    <row r="47" spans="2:2">
      <c r="B47" t="s">
        <v>240</v>
      </c>
    </row>
    <row r="48" spans="2:2">
      <c r="B48" t="s">
        <v>212</v>
      </c>
    </row>
    <row r="49" spans="2:2">
      <c r="B49" t="s">
        <v>232</v>
      </c>
    </row>
    <row r="50" spans="2:2">
      <c r="B50" t="s">
        <v>234</v>
      </c>
    </row>
    <row r="51" spans="2:2">
      <c r="B51" t="s">
        <v>221</v>
      </c>
    </row>
    <row r="52" spans="2:2">
      <c r="B52" t="s">
        <v>217</v>
      </c>
    </row>
    <row r="53" spans="2:2">
      <c r="B53" t="s">
        <v>268</v>
      </c>
    </row>
    <row r="54" spans="2:2">
      <c r="B54" t="s">
        <v>214</v>
      </c>
    </row>
    <row r="55" spans="2:2">
      <c r="B55" t="s">
        <v>215</v>
      </c>
    </row>
    <row r="56" spans="2:2">
      <c r="B56" t="s">
        <v>222</v>
      </c>
    </row>
    <row r="57" spans="2:2">
      <c r="B57" t="s">
        <v>233</v>
      </c>
    </row>
    <row r="58" spans="2:2">
      <c r="B58" t="s">
        <v>201</v>
      </c>
    </row>
    <row r="59" spans="2:2">
      <c r="B59" t="s">
        <v>228</v>
      </c>
    </row>
    <row r="60" spans="2:2">
      <c r="B60" t="s">
        <v>219</v>
      </c>
    </row>
    <row r="61" spans="2:2">
      <c r="B61" t="s">
        <v>210</v>
      </c>
    </row>
    <row r="62" spans="2:2">
      <c r="B62" t="s">
        <v>267</v>
      </c>
    </row>
    <row r="63" spans="2:2">
      <c r="B63" t="s">
        <v>202</v>
      </c>
    </row>
    <row r="64" spans="2:2">
      <c r="B64" t="s">
        <v>230</v>
      </c>
    </row>
    <row r="65" spans="2:2">
      <c r="B65" t="s">
        <v>231</v>
      </c>
    </row>
    <row r="66" spans="2:2">
      <c r="B66" t="s">
        <v>203</v>
      </c>
    </row>
    <row r="67" spans="2:2">
      <c r="B67" t="s">
        <v>220</v>
      </c>
    </row>
    <row r="68" spans="2:2">
      <c r="B68" t="s">
        <v>229</v>
      </c>
    </row>
    <row r="69" spans="2:2">
      <c r="B69" t="s">
        <v>223</v>
      </c>
    </row>
    <row r="70" spans="2:2">
      <c r="B70" t="s">
        <v>236</v>
      </c>
    </row>
    <row r="71" spans="2:2">
      <c r="B71" t="s">
        <v>225</v>
      </c>
    </row>
    <row r="72" spans="2:2">
      <c r="B72" t="s">
        <v>258</v>
      </c>
    </row>
    <row r="73" spans="2:2">
      <c r="B73" t="s">
        <v>224</v>
      </c>
    </row>
    <row r="74" spans="2:2">
      <c r="B74" t="s">
        <v>259</v>
      </c>
    </row>
    <row r="75" spans="2:2">
      <c r="B75" t="s">
        <v>226</v>
      </c>
    </row>
    <row r="76" spans="2:2">
      <c r="B76" t="s">
        <v>235</v>
      </c>
    </row>
    <row r="77" spans="2:2">
      <c r="B77" t="s">
        <v>158</v>
      </c>
    </row>
    <row r="78" spans="2:2">
      <c r="B78" t="s">
        <v>194</v>
      </c>
    </row>
    <row r="79" spans="2:2">
      <c r="B79" t="s">
        <v>103</v>
      </c>
    </row>
    <row r="80" spans="2:2">
      <c r="B80" t="s">
        <v>251</v>
      </c>
    </row>
    <row r="81" spans="2:2">
      <c r="B81" t="s">
        <v>102</v>
      </c>
    </row>
    <row r="82" spans="2:2">
      <c r="B82" t="s">
        <v>252</v>
      </c>
    </row>
    <row r="83" spans="2:2">
      <c r="B83" t="s">
        <v>449</v>
      </c>
    </row>
    <row r="84" spans="2:2">
      <c r="B84" t="s">
        <v>450</v>
      </c>
    </row>
    <row r="85" spans="2:2">
      <c r="B85" t="s">
        <v>451</v>
      </c>
    </row>
    <row r="86" spans="2:2">
      <c r="B86" t="s">
        <v>253</v>
      </c>
    </row>
    <row r="87" spans="2:2">
      <c r="B87" t="s">
        <v>327</v>
      </c>
    </row>
    <row r="88" spans="2:2">
      <c r="B88" t="s">
        <v>23</v>
      </c>
    </row>
    <row r="89" spans="2:2">
      <c r="B89" t="s">
        <v>56</v>
      </c>
    </row>
    <row r="90" spans="2:2">
      <c r="B90" s="2" t="s">
        <v>132</v>
      </c>
    </row>
    <row r="91" spans="2:2">
      <c r="B91" s="2" t="s">
        <v>58</v>
      </c>
    </row>
    <row r="92" spans="2:2">
      <c r="B92" s="2" t="s">
        <v>133</v>
      </c>
    </row>
    <row r="93" spans="2:2">
      <c r="B93" s="2" t="s">
        <v>128</v>
      </c>
    </row>
    <row r="94" spans="2:2">
      <c r="B94" s="2" t="s">
        <v>129</v>
      </c>
    </row>
    <row r="95" spans="2:2">
      <c r="B95" s="2" t="s">
        <v>60</v>
      </c>
    </row>
    <row r="96" spans="2:2">
      <c r="B96" s="2" t="s">
        <v>123</v>
      </c>
    </row>
    <row r="97" spans="2:2">
      <c r="B97" s="2" t="s">
        <v>59</v>
      </c>
    </row>
    <row r="98" spans="2:2">
      <c r="B98" s="2" t="s">
        <v>317</v>
      </c>
    </row>
    <row r="99" spans="2:2">
      <c r="B99" s="2" t="s">
        <v>124</v>
      </c>
    </row>
    <row r="100" spans="2:2">
      <c r="B100" t="s">
        <v>86</v>
      </c>
    </row>
    <row r="101" spans="2:2">
      <c r="B101" t="s">
        <v>85</v>
      </c>
    </row>
    <row r="102" spans="2:2">
      <c r="B102" t="s">
        <v>84</v>
      </c>
    </row>
    <row r="103" spans="2:2">
      <c r="B103" t="s">
        <v>87</v>
      </c>
    </row>
    <row r="104" spans="2:2">
      <c r="B104" t="s">
        <v>88</v>
      </c>
    </row>
    <row r="105" spans="2:2">
      <c r="B105" t="s">
        <v>306</v>
      </c>
    </row>
    <row r="106" spans="2:2">
      <c r="B106" t="s">
        <v>96</v>
      </c>
    </row>
    <row r="107" spans="2:2">
      <c r="B107" t="s">
        <v>101</v>
      </c>
    </row>
    <row r="108" spans="2:2">
      <c r="B108" t="s">
        <v>301</v>
      </c>
    </row>
    <row r="109" spans="2:2">
      <c r="B109" t="s">
        <v>98</v>
      </c>
    </row>
    <row r="110" spans="2:2">
      <c r="B110" t="s">
        <v>99</v>
      </c>
    </row>
    <row r="111" spans="2:2">
      <c r="B111" t="s">
        <v>100</v>
      </c>
    </row>
    <row r="112" spans="2:2">
      <c r="B112" t="s">
        <v>304</v>
      </c>
    </row>
    <row r="113" spans="2:2">
      <c r="B113" t="s">
        <v>172</v>
      </c>
    </row>
    <row r="114" spans="2:2">
      <c r="B114" t="s">
        <v>173</v>
      </c>
    </row>
    <row r="115" spans="2:2">
      <c r="B115" t="s">
        <v>90</v>
      </c>
    </row>
    <row r="116" spans="2:2">
      <c r="B116" t="s">
        <v>89</v>
      </c>
    </row>
    <row r="117" spans="2:2">
      <c r="B117" t="s">
        <v>91</v>
      </c>
    </row>
    <row r="118" spans="2:2">
      <c r="B118" t="s">
        <v>460</v>
      </c>
    </row>
    <row r="119" spans="2:2">
      <c r="B119" t="s">
        <v>303</v>
      </c>
    </row>
    <row r="120" spans="2:2">
      <c r="B120" t="s">
        <v>305</v>
      </c>
    </row>
    <row r="121" spans="2:2">
      <c r="B121" t="s">
        <v>167</v>
      </c>
    </row>
    <row r="122" spans="2:2">
      <c r="B122" t="s">
        <v>166</v>
      </c>
    </row>
    <row r="123" spans="2:2">
      <c r="B123" t="s">
        <v>165</v>
      </c>
    </row>
    <row r="124" spans="2:2">
      <c r="B124" t="s">
        <v>93</v>
      </c>
    </row>
    <row r="125" spans="2:2">
      <c r="B125" t="s">
        <v>92</v>
      </c>
    </row>
    <row r="126" spans="2:2">
      <c r="B126" t="s">
        <v>94</v>
      </c>
    </row>
    <row r="127" spans="2:2">
      <c r="B127" t="s">
        <v>302</v>
      </c>
    </row>
    <row r="128" spans="2:2">
      <c r="B128" t="s">
        <v>269</v>
      </c>
    </row>
    <row r="129" spans="2:2">
      <c r="B129" s="2" t="s">
        <v>330</v>
      </c>
    </row>
    <row r="130" spans="2:2">
      <c r="B130" s="2" t="s">
        <v>329</v>
      </c>
    </row>
    <row r="131" spans="2:2">
      <c r="B131" t="s">
        <v>121</v>
      </c>
    </row>
    <row r="132" spans="2:2">
      <c r="B132" t="s">
        <v>122</v>
      </c>
    </row>
    <row r="133" spans="2:2">
      <c r="B133" s="2" t="s">
        <v>310</v>
      </c>
    </row>
    <row r="134" spans="2:2">
      <c r="B134" s="2" t="s">
        <v>311</v>
      </c>
    </row>
    <row r="135" spans="2:2">
      <c r="B135" t="s">
        <v>157</v>
      </c>
    </row>
    <row r="136" spans="2:2">
      <c r="B136" t="s">
        <v>300</v>
      </c>
    </row>
    <row r="137" spans="2:2">
      <c r="B137" t="s">
        <v>260</v>
      </c>
    </row>
    <row r="138" spans="2:2">
      <c r="B138" t="s">
        <v>261</v>
      </c>
    </row>
    <row r="139" spans="2:2">
      <c r="B139" t="s">
        <v>332</v>
      </c>
    </row>
    <row r="140" spans="2:2">
      <c r="B140" t="s">
        <v>333</v>
      </c>
    </row>
    <row r="141" spans="2:2">
      <c r="B141" t="s">
        <v>180</v>
      </c>
    </row>
    <row r="142" spans="2:2">
      <c r="B142" s="2" t="s">
        <v>331</v>
      </c>
    </row>
    <row r="143" spans="2:2">
      <c r="B143" t="s">
        <v>181</v>
      </c>
    </row>
    <row r="144" spans="2:2">
      <c r="B144" t="s">
        <v>309</v>
      </c>
    </row>
    <row r="145" spans="2:2">
      <c r="B145" t="s">
        <v>182</v>
      </c>
    </row>
  </sheetData>
  <sortState xmlns:xlrd2="http://schemas.microsoft.com/office/spreadsheetml/2017/richdata2" ref="B2:B144">
    <sortCondition ref="B2:B144"/>
  </sortState>
  <dataValidations count="2">
    <dataValidation type="list" allowBlank="1" showInputMessage="1" showErrorMessage="1" sqref="M2:M12 C26 B62 B30:B33 B137 B16:B17" xr:uid="{00000000-0002-0000-0000-000000000000}">
      <formula1>Technologies</formula1>
    </dataValidation>
    <dataValidation type="list" allowBlank="1" showInputMessage="1" showErrorMessage="1" sqref="C14 C29:C30" xr:uid="{00000000-0002-0000-0000-000001000000}">
      <formula1>Fuels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1"/>
  <dimension ref="A1:Q13"/>
  <sheetViews>
    <sheetView workbookViewId="0">
      <selection activeCell="A4" sqref="A4"/>
    </sheetView>
  </sheetViews>
  <sheetFormatPr defaultColWidth="11.42578125" defaultRowHeight="15"/>
  <cols>
    <col min="7" max="7" width="13.42578125" customWidth="1"/>
  </cols>
  <sheetData>
    <row r="1" spans="1:17">
      <c r="A1" t="s">
        <v>1</v>
      </c>
    </row>
    <row r="2" spans="1:17">
      <c r="A2" t="s">
        <v>2</v>
      </c>
    </row>
    <row r="3" spans="1:17">
      <c r="A3" t="s">
        <v>361</v>
      </c>
    </row>
    <row r="5" spans="1:17">
      <c r="A5" t="s">
        <v>27</v>
      </c>
      <c r="B5" t="s">
        <v>65</v>
      </c>
      <c r="C5" t="s">
        <v>66</v>
      </c>
      <c r="D5" t="s">
        <v>67</v>
      </c>
      <c r="E5" t="s">
        <v>64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79</v>
      </c>
    </row>
    <row r="6" spans="1:17">
      <c r="A6">
        <v>2018</v>
      </c>
      <c r="B6">
        <v>1.6552511415525114E-3</v>
      </c>
      <c r="C6">
        <v>1.7123287671232877E-4</v>
      </c>
      <c r="D6">
        <v>4.5662100456621003E-4</v>
      </c>
      <c r="E6">
        <v>4.5662100456621003E-4</v>
      </c>
      <c r="F6">
        <v>9.1324200913242006E-4</v>
      </c>
      <c r="G6">
        <v>3.4246575342465754E-4</v>
      </c>
      <c r="H6">
        <v>9.1324200913242006E-4</v>
      </c>
      <c r="I6">
        <v>5.7077625570776253E-4</v>
      </c>
      <c r="J6">
        <v>1.0844748858447489E-3</v>
      </c>
      <c r="K6">
        <v>2.2831050228310502E-4</v>
      </c>
      <c r="L6">
        <v>7.9908675799086762E-4</v>
      </c>
      <c r="M6">
        <v>6.278538812785388E-4</v>
      </c>
      <c r="N6">
        <v>1.769406392694064E-3</v>
      </c>
      <c r="O6">
        <v>3.9954337899543381E-4</v>
      </c>
      <c r="P6">
        <v>2.8538812785388126E-4</v>
      </c>
      <c r="Q6">
        <v>2.8538812785388126E-4</v>
      </c>
    </row>
    <row r="7" spans="1:17">
      <c r="A7">
        <v>2021</v>
      </c>
      <c r="B7">
        <v>1.6552511415525114E-3</v>
      </c>
      <c r="C7">
        <v>1.7123287671232877E-4</v>
      </c>
      <c r="D7">
        <v>4.5662100456621003E-4</v>
      </c>
      <c r="E7">
        <v>4.5662100456621003E-4</v>
      </c>
      <c r="F7">
        <v>9.1324200913242006E-4</v>
      </c>
      <c r="G7">
        <v>3.4246575342465754E-4</v>
      </c>
      <c r="H7">
        <v>9.1324200913242006E-4</v>
      </c>
      <c r="I7">
        <v>5.7077625570776253E-4</v>
      </c>
      <c r="J7">
        <v>1.0844748858447489E-3</v>
      </c>
      <c r="K7">
        <v>2.2831050228310502E-4</v>
      </c>
      <c r="L7">
        <v>7.9908675799086762E-4</v>
      </c>
      <c r="M7">
        <v>6.278538812785388E-4</v>
      </c>
      <c r="N7">
        <v>1.769406392694064E-3</v>
      </c>
      <c r="O7">
        <v>3.9954337899543381E-4</v>
      </c>
      <c r="P7">
        <v>2.8538812785388126E-4</v>
      </c>
      <c r="Q7">
        <v>2.8538812785388126E-4</v>
      </c>
    </row>
    <row r="8" spans="1:17">
      <c r="A8">
        <v>2025</v>
      </c>
      <c r="B8">
        <v>1.6552511415525114E-3</v>
      </c>
      <c r="C8">
        <v>1.7123287671232877E-4</v>
      </c>
      <c r="D8">
        <v>4.5662100456621003E-4</v>
      </c>
      <c r="E8">
        <v>4.5662100456621003E-4</v>
      </c>
      <c r="F8">
        <v>9.1324200913242006E-4</v>
      </c>
      <c r="G8">
        <v>3.4246575342465754E-4</v>
      </c>
      <c r="H8">
        <v>9.1324200913242006E-4</v>
      </c>
      <c r="I8">
        <v>5.7077625570776253E-4</v>
      </c>
      <c r="J8">
        <v>1.0844748858447489E-3</v>
      </c>
      <c r="K8">
        <v>2.2831050228310502E-4</v>
      </c>
      <c r="L8">
        <v>7.9908675799086762E-4</v>
      </c>
      <c r="M8">
        <v>6.278538812785388E-4</v>
      </c>
      <c r="N8">
        <v>1.769406392694064E-3</v>
      </c>
      <c r="O8">
        <v>3.9954337899543381E-4</v>
      </c>
      <c r="P8">
        <v>2.8538812785388126E-4</v>
      </c>
      <c r="Q8">
        <v>2.8538812785388126E-4</v>
      </c>
    </row>
    <row r="9" spans="1:17">
      <c r="A9">
        <v>2030</v>
      </c>
      <c r="B9">
        <v>1.6552511415525114E-3</v>
      </c>
      <c r="C9">
        <v>1.7123287671232877E-4</v>
      </c>
      <c r="D9">
        <v>4.5662100456621003E-4</v>
      </c>
      <c r="E9">
        <v>4.5662100456621003E-4</v>
      </c>
      <c r="F9">
        <v>9.1324200913242006E-4</v>
      </c>
      <c r="G9">
        <v>3.4246575342465754E-4</v>
      </c>
      <c r="H9">
        <v>9.1324200913242006E-4</v>
      </c>
      <c r="I9">
        <v>5.7077625570776253E-4</v>
      </c>
      <c r="J9">
        <v>1.0844748858447489E-3</v>
      </c>
      <c r="K9">
        <v>2.2831050228310502E-4</v>
      </c>
      <c r="L9">
        <v>7.9908675799086762E-4</v>
      </c>
      <c r="M9">
        <v>6.278538812785388E-4</v>
      </c>
      <c r="N9">
        <v>1.769406392694064E-3</v>
      </c>
      <c r="O9">
        <v>3.9954337899543381E-4</v>
      </c>
      <c r="P9">
        <v>2.8538812785388126E-4</v>
      </c>
      <c r="Q9">
        <v>2.8538812785388126E-4</v>
      </c>
    </row>
    <row r="10" spans="1:17">
      <c r="A10">
        <v>2035</v>
      </c>
      <c r="B10">
        <v>1.6552511415525114E-3</v>
      </c>
      <c r="C10">
        <v>1.7123287671232877E-4</v>
      </c>
      <c r="D10">
        <v>4.5662100456621003E-4</v>
      </c>
      <c r="E10">
        <v>4.5662100456621003E-4</v>
      </c>
      <c r="F10">
        <v>9.1324200913242006E-4</v>
      </c>
      <c r="G10">
        <v>3.4246575342465754E-4</v>
      </c>
      <c r="H10">
        <v>9.1324200913242006E-4</v>
      </c>
      <c r="I10">
        <v>5.7077625570776253E-4</v>
      </c>
      <c r="J10">
        <v>1.0844748858447489E-3</v>
      </c>
      <c r="K10">
        <v>2.2831050228310502E-4</v>
      </c>
      <c r="L10">
        <v>7.9908675799086762E-4</v>
      </c>
      <c r="M10">
        <v>6.278538812785388E-4</v>
      </c>
      <c r="N10">
        <v>1.769406392694064E-3</v>
      </c>
      <c r="O10">
        <v>3.9954337899543381E-4</v>
      </c>
      <c r="P10">
        <v>2.8538812785388126E-4</v>
      </c>
      <c r="Q10">
        <v>2.8538812785388126E-4</v>
      </c>
    </row>
    <row r="11" spans="1:17">
      <c r="A11">
        <v>2040</v>
      </c>
      <c r="B11">
        <v>1.6552511415525114E-3</v>
      </c>
      <c r="C11">
        <v>1.7123287671232877E-4</v>
      </c>
      <c r="D11">
        <v>4.5662100456621003E-4</v>
      </c>
      <c r="E11">
        <v>4.5662100456621003E-4</v>
      </c>
      <c r="F11">
        <v>9.1324200913242006E-4</v>
      </c>
      <c r="G11">
        <v>3.4246575342465754E-4</v>
      </c>
      <c r="H11">
        <v>9.1324200913242006E-4</v>
      </c>
      <c r="I11">
        <v>5.7077625570776253E-4</v>
      </c>
      <c r="J11">
        <v>1.0844748858447489E-3</v>
      </c>
      <c r="K11">
        <v>2.2831050228310502E-4</v>
      </c>
      <c r="L11">
        <v>7.9908675799086762E-4</v>
      </c>
      <c r="M11">
        <v>6.278538812785388E-4</v>
      </c>
      <c r="N11">
        <v>1.769406392694064E-3</v>
      </c>
      <c r="O11">
        <v>3.9954337899543381E-4</v>
      </c>
      <c r="P11">
        <v>2.8538812785388126E-4</v>
      </c>
      <c r="Q11">
        <v>2.8538812785388126E-4</v>
      </c>
    </row>
    <row r="12" spans="1:17">
      <c r="A12">
        <v>2045</v>
      </c>
      <c r="B12">
        <v>1.6552511415525114E-3</v>
      </c>
      <c r="C12">
        <v>1.7123287671232877E-4</v>
      </c>
      <c r="D12">
        <v>4.5662100456621003E-4</v>
      </c>
      <c r="E12">
        <v>4.5662100456621003E-4</v>
      </c>
      <c r="F12">
        <v>9.1324200913242006E-4</v>
      </c>
      <c r="G12">
        <v>3.4246575342465754E-4</v>
      </c>
      <c r="H12">
        <v>9.1324200913242006E-4</v>
      </c>
      <c r="I12">
        <v>5.7077625570776253E-4</v>
      </c>
      <c r="J12">
        <v>1.0844748858447489E-3</v>
      </c>
      <c r="K12">
        <v>2.2831050228310502E-4</v>
      </c>
      <c r="L12">
        <v>7.9908675799086762E-4</v>
      </c>
      <c r="M12">
        <v>6.278538812785388E-4</v>
      </c>
      <c r="N12">
        <v>1.769406392694064E-3</v>
      </c>
      <c r="O12">
        <v>3.9954337899543381E-4</v>
      </c>
      <c r="P12">
        <v>2.8538812785388126E-4</v>
      </c>
      <c r="Q12">
        <v>2.8538812785388126E-4</v>
      </c>
    </row>
    <row r="13" spans="1:17">
      <c r="A13">
        <v>2050</v>
      </c>
      <c r="B13">
        <v>1.6552511415525114E-3</v>
      </c>
      <c r="C13">
        <v>1.7123287671232877E-4</v>
      </c>
      <c r="D13">
        <v>4.5662100456621003E-4</v>
      </c>
      <c r="E13">
        <v>4.5662100456621003E-4</v>
      </c>
      <c r="F13">
        <v>9.1324200913242006E-4</v>
      </c>
      <c r="G13">
        <v>3.4246575342465754E-4</v>
      </c>
      <c r="H13">
        <v>9.1324200913242006E-4</v>
      </c>
      <c r="I13">
        <v>5.7077625570776253E-4</v>
      </c>
      <c r="J13">
        <v>1.0844748858447489E-3</v>
      </c>
      <c r="K13">
        <v>2.2831050228310502E-4</v>
      </c>
      <c r="L13">
        <v>7.9908675799086762E-4</v>
      </c>
      <c r="M13">
        <v>6.278538812785388E-4</v>
      </c>
      <c r="N13">
        <v>1.769406392694064E-3</v>
      </c>
      <c r="O13">
        <v>3.9954337899543381E-4</v>
      </c>
      <c r="P13">
        <v>2.8538812785388126E-4</v>
      </c>
      <c r="Q13">
        <v>2.8538812785388126E-4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28"/>
  <dimension ref="A1:I21"/>
  <sheetViews>
    <sheetView workbookViewId="0">
      <selection activeCell="G9" sqref="G9"/>
    </sheetView>
  </sheetViews>
  <sheetFormatPr defaultColWidth="11.42578125" defaultRowHeight="15"/>
  <cols>
    <col min="8" max="8" width="13.42578125" customWidth="1"/>
  </cols>
  <sheetData>
    <row r="1" spans="1:9">
      <c r="A1" t="s">
        <v>356</v>
      </c>
    </row>
    <row r="2" spans="1:9">
      <c r="A2" t="s">
        <v>2</v>
      </c>
    </row>
    <row r="3" spans="1:9">
      <c r="A3" t="s">
        <v>361</v>
      </c>
    </row>
    <row r="5" spans="1:9">
      <c r="A5" t="s">
        <v>28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t="s">
        <v>65</v>
      </c>
      <c r="B6">
        <v>0.15104166666666666</v>
      </c>
      <c r="C6">
        <v>0.15104166666666666</v>
      </c>
      <c r="D6">
        <v>0.15104166666666666</v>
      </c>
      <c r="E6">
        <v>0.15104166666666666</v>
      </c>
      <c r="F6">
        <v>0.15104166666666666</v>
      </c>
      <c r="G6">
        <v>0.15104166666666666</v>
      </c>
      <c r="H6">
        <v>0.15104166666666666</v>
      </c>
      <c r="I6">
        <v>0.15104166666666666</v>
      </c>
    </row>
    <row r="7" spans="1:9">
      <c r="A7" t="s">
        <v>66</v>
      </c>
      <c r="B7">
        <v>1.5625E-2</v>
      </c>
      <c r="C7">
        <v>1.5625E-2</v>
      </c>
      <c r="D7">
        <v>1.5625E-2</v>
      </c>
      <c r="E7">
        <v>1.5625E-2</v>
      </c>
      <c r="F7">
        <v>1.5625E-2</v>
      </c>
      <c r="G7">
        <v>1.5625E-2</v>
      </c>
      <c r="H7">
        <v>1.5625E-2</v>
      </c>
      <c r="I7">
        <v>1.5625E-2</v>
      </c>
    </row>
    <row r="8" spans="1:9">
      <c r="A8" t="s">
        <v>67</v>
      </c>
      <c r="B8">
        <v>4.1666666666666664E-2</v>
      </c>
      <c r="C8">
        <v>4.1666666666666664E-2</v>
      </c>
      <c r="D8">
        <v>4.1666666666666664E-2</v>
      </c>
      <c r="E8">
        <v>4.1666666666666664E-2</v>
      </c>
      <c r="F8">
        <v>4.1666666666666664E-2</v>
      </c>
      <c r="G8">
        <v>4.1666666666666664E-2</v>
      </c>
      <c r="H8">
        <v>4.1666666666666664E-2</v>
      </c>
      <c r="I8">
        <v>4.1666666666666664E-2</v>
      </c>
    </row>
    <row r="9" spans="1:9">
      <c r="A9" t="s">
        <v>64</v>
      </c>
      <c r="B9">
        <v>4.1666666666666664E-2</v>
      </c>
      <c r="C9">
        <v>4.1666666666666664E-2</v>
      </c>
      <c r="D9">
        <v>4.1666666666666664E-2</v>
      </c>
      <c r="E9">
        <v>4.1666666666666664E-2</v>
      </c>
      <c r="F9">
        <v>4.1666666666666664E-2</v>
      </c>
      <c r="G9">
        <v>4.1666666666666664E-2</v>
      </c>
      <c r="H9">
        <v>4.1666666666666664E-2</v>
      </c>
      <c r="I9">
        <v>4.1666666666666664E-2</v>
      </c>
    </row>
    <row r="10" spans="1:9">
      <c r="A10" t="s">
        <v>68</v>
      </c>
      <c r="B10">
        <v>8.3333333333333329E-2</v>
      </c>
      <c r="C10">
        <v>8.3333333333333329E-2</v>
      </c>
      <c r="D10">
        <v>8.3333333333333329E-2</v>
      </c>
      <c r="E10">
        <v>8.3333333333333329E-2</v>
      </c>
      <c r="F10">
        <v>8.3333333333333329E-2</v>
      </c>
      <c r="G10">
        <v>8.3333333333333329E-2</v>
      </c>
      <c r="H10">
        <v>8.3333333333333329E-2</v>
      </c>
      <c r="I10">
        <v>8.3333333333333329E-2</v>
      </c>
    </row>
    <row r="11" spans="1:9">
      <c r="A11" t="s">
        <v>69</v>
      </c>
      <c r="B11">
        <v>3.125E-2</v>
      </c>
      <c r="C11">
        <v>3.125E-2</v>
      </c>
      <c r="D11">
        <v>3.125E-2</v>
      </c>
      <c r="E11">
        <v>3.125E-2</v>
      </c>
      <c r="F11">
        <v>3.125E-2</v>
      </c>
      <c r="G11">
        <v>3.125E-2</v>
      </c>
      <c r="H11">
        <v>3.125E-2</v>
      </c>
      <c r="I11">
        <v>3.125E-2</v>
      </c>
    </row>
    <row r="12" spans="1:9">
      <c r="A12" t="s">
        <v>70</v>
      </c>
      <c r="B12">
        <v>8.3333333333333329E-2</v>
      </c>
      <c r="C12">
        <v>8.3333333333333329E-2</v>
      </c>
      <c r="D12">
        <v>8.3333333333333329E-2</v>
      </c>
      <c r="E12">
        <v>8.3333333333333329E-2</v>
      </c>
      <c r="F12">
        <v>8.3333333333333329E-2</v>
      </c>
      <c r="G12">
        <v>8.3333333333333329E-2</v>
      </c>
      <c r="H12">
        <v>8.3333333333333329E-2</v>
      </c>
      <c r="I12">
        <v>8.3333333333333329E-2</v>
      </c>
    </row>
    <row r="13" spans="1:9">
      <c r="A13" t="s">
        <v>71</v>
      </c>
      <c r="B13">
        <v>5.2083333333333336E-2</v>
      </c>
      <c r="C13">
        <v>5.2083333333333336E-2</v>
      </c>
      <c r="D13">
        <v>5.2083333333333336E-2</v>
      </c>
      <c r="E13">
        <v>5.2083333333333336E-2</v>
      </c>
      <c r="F13">
        <v>5.2083333333333336E-2</v>
      </c>
      <c r="G13">
        <v>5.2083333333333336E-2</v>
      </c>
      <c r="H13">
        <v>5.2083333333333336E-2</v>
      </c>
      <c r="I13">
        <v>5.2083333333333336E-2</v>
      </c>
    </row>
    <row r="14" spans="1:9">
      <c r="A14" t="s">
        <v>72</v>
      </c>
      <c r="B14">
        <v>9.8958333333333329E-2</v>
      </c>
      <c r="C14">
        <v>9.8958333333333329E-2</v>
      </c>
      <c r="D14">
        <v>9.8958333333333329E-2</v>
      </c>
      <c r="E14">
        <v>9.8958333333333329E-2</v>
      </c>
      <c r="F14">
        <v>9.8958333333333329E-2</v>
      </c>
      <c r="G14">
        <v>9.8958333333333329E-2</v>
      </c>
      <c r="H14">
        <v>9.8958333333333329E-2</v>
      </c>
      <c r="I14">
        <v>9.8958333333333329E-2</v>
      </c>
    </row>
    <row r="15" spans="1:9">
      <c r="A15" t="s">
        <v>73</v>
      </c>
      <c r="B15">
        <v>2.0833333333333332E-2</v>
      </c>
      <c r="C15">
        <v>2.0833333333333332E-2</v>
      </c>
      <c r="D15">
        <v>2.0833333333333332E-2</v>
      </c>
      <c r="E15">
        <v>2.0833333333333332E-2</v>
      </c>
      <c r="F15">
        <v>2.0833333333333332E-2</v>
      </c>
      <c r="G15">
        <v>2.0833333333333332E-2</v>
      </c>
      <c r="H15">
        <v>2.0833333333333332E-2</v>
      </c>
      <c r="I15">
        <v>2.0833333333333332E-2</v>
      </c>
    </row>
    <row r="16" spans="1:9">
      <c r="A16" t="s">
        <v>74</v>
      </c>
      <c r="B16">
        <v>7.2916666666666671E-2</v>
      </c>
      <c r="C16">
        <v>7.2916666666666671E-2</v>
      </c>
      <c r="D16">
        <v>7.2916666666666671E-2</v>
      </c>
      <c r="E16">
        <v>7.2916666666666671E-2</v>
      </c>
      <c r="F16">
        <v>7.2916666666666671E-2</v>
      </c>
      <c r="G16">
        <v>7.2916666666666671E-2</v>
      </c>
      <c r="H16">
        <v>7.2916666666666671E-2</v>
      </c>
      <c r="I16">
        <v>7.2916666666666671E-2</v>
      </c>
    </row>
    <row r="17" spans="1:9">
      <c r="A17" t="s">
        <v>75</v>
      </c>
      <c r="B17">
        <v>5.7291666666666664E-2</v>
      </c>
      <c r="C17">
        <v>5.7291666666666664E-2</v>
      </c>
      <c r="D17">
        <v>5.7291666666666664E-2</v>
      </c>
      <c r="E17">
        <v>5.7291666666666664E-2</v>
      </c>
      <c r="F17">
        <v>5.7291666666666664E-2</v>
      </c>
      <c r="G17">
        <v>5.7291666666666664E-2</v>
      </c>
      <c r="H17">
        <v>5.7291666666666664E-2</v>
      </c>
      <c r="I17">
        <v>5.7291666666666664E-2</v>
      </c>
    </row>
    <row r="18" spans="1:9">
      <c r="A18" t="s">
        <v>76</v>
      </c>
      <c r="B18">
        <v>0.16145833333333334</v>
      </c>
      <c r="C18">
        <v>0.16145833333333334</v>
      </c>
      <c r="D18">
        <v>0.16145833333333334</v>
      </c>
      <c r="E18">
        <v>0.16145833333333334</v>
      </c>
      <c r="F18">
        <v>0.16145833333333334</v>
      </c>
      <c r="G18">
        <v>0.16145833333333334</v>
      </c>
      <c r="H18">
        <v>0.16145833333333334</v>
      </c>
      <c r="I18">
        <v>0.16145833333333334</v>
      </c>
    </row>
    <row r="19" spans="1:9">
      <c r="A19" t="s">
        <v>77</v>
      </c>
      <c r="B19">
        <v>3.6458333333333336E-2</v>
      </c>
      <c r="C19">
        <v>3.6458333333333336E-2</v>
      </c>
      <c r="D19">
        <v>3.6458333333333336E-2</v>
      </c>
      <c r="E19">
        <v>3.6458333333333336E-2</v>
      </c>
      <c r="F19">
        <v>3.6458333333333336E-2</v>
      </c>
      <c r="G19">
        <v>3.6458333333333336E-2</v>
      </c>
      <c r="H19">
        <v>3.6458333333333336E-2</v>
      </c>
      <c r="I19">
        <v>3.6458333333333336E-2</v>
      </c>
    </row>
    <row r="20" spans="1:9">
      <c r="A20" t="s">
        <v>78</v>
      </c>
      <c r="B20">
        <v>2.6041666666666668E-2</v>
      </c>
      <c r="C20">
        <v>2.6041666666666668E-2</v>
      </c>
      <c r="D20">
        <v>2.6041666666666668E-2</v>
      </c>
      <c r="E20">
        <v>2.6041666666666668E-2</v>
      </c>
      <c r="F20">
        <v>2.6041666666666668E-2</v>
      </c>
      <c r="G20">
        <v>2.6041666666666668E-2</v>
      </c>
      <c r="H20">
        <v>2.6041666666666668E-2</v>
      </c>
      <c r="I20">
        <v>2.6041666666666668E-2</v>
      </c>
    </row>
    <row r="21" spans="1:9">
      <c r="A21" t="s">
        <v>79</v>
      </c>
      <c r="B21">
        <v>2.6041666666666668E-2</v>
      </c>
      <c r="C21">
        <v>2.6041666666666668E-2</v>
      </c>
      <c r="D21">
        <v>2.6041666666666668E-2</v>
      </c>
      <c r="E21">
        <v>2.6041666666666668E-2</v>
      </c>
      <c r="F21">
        <v>2.6041666666666668E-2</v>
      </c>
      <c r="G21">
        <v>2.6041666666666668E-2</v>
      </c>
      <c r="H21">
        <v>2.6041666666666668E-2</v>
      </c>
      <c r="I21">
        <v>2.6041666666666668E-2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6"/>
  <sheetViews>
    <sheetView workbookViewId="0">
      <pane xSplit="1" ySplit="5" topLeftCell="B124" activePane="bottomRight" state="frozen"/>
      <selection pane="topRight" activeCell="B1" sqref="B1"/>
      <selection pane="bottomLeft" activeCell="A6" sqref="A6"/>
      <selection pane="bottomRight" activeCell="D139" sqref="D139"/>
    </sheetView>
  </sheetViews>
  <sheetFormatPr defaultColWidth="11.42578125" defaultRowHeight="15"/>
  <cols>
    <col min="1" max="1" width="40.42578125" bestFit="1" customWidth="1"/>
    <col min="5" max="5" width="14" bestFit="1" customWidth="1"/>
    <col min="8" max="8" width="14.5703125" bestFit="1" customWidth="1"/>
  </cols>
  <sheetData>
    <row r="1" spans="1:9">
      <c r="A1" t="s">
        <v>385</v>
      </c>
    </row>
    <row r="2" spans="1:9">
      <c r="A2" t="s">
        <v>357</v>
      </c>
    </row>
    <row r="3" spans="1:9">
      <c r="A3" t="s">
        <v>382</v>
      </c>
    </row>
    <row r="5" spans="1:9">
      <c r="A5" t="s">
        <v>26</v>
      </c>
      <c r="B5" t="s">
        <v>24</v>
      </c>
      <c r="C5" t="s">
        <v>284</v>
      </c>
      <c r="D5" t="s">
        <v>318</v>
      </c>
      <c r="E5" t="s">
        <v>319</v>
      </c>
      <c r="F5" t="s">
        <v>320</v>
      </c>
      <c r="G5" t="s">
        <v>321</v>
      </c>
      <c r="H5" t="s">
        <v>322</v>
      </c>
      <c r="I5" t="s">
        <v>435</v>
      </c>
    </row>
    <row r="6" spans="1:9">
      <c r="A6" t="s">
        <v>170</v>
      </c>
      <c r="F6">
        <v>1</v>
      </c>
    </row>
    <row r="7" spans="1:9">
      <c r="A7" t="s">
        <v>171</v>
      </c>
      <c r="F7">
        <v>1</v>
      </c>
    </row>
    <row r="8" spans="1:9">
      <c r="A8" t="s">
        <v>135</v>
      </c>
      <c r="G8">
        <v>1</v>
      </c>
    </row>
    <row r="9" spans="1:9">
      <c r="A9" t="s">
        <v>136</v>
      </c>
      <c r="G9">
        <v>1</v>
      </c>
    </row>
    <row r="10" spans="1:9">
      <c r="A10" t="s">
        <v>147</v>
      </c>
      <c r="G10">
        <v>1</v>
      </c>
    </row>
    <row r="11" spans="1:9">
      <c r="A11" t="s">
        <v>247</v>
      </c>
      <c r="G11">
        <v>1</v>
      </c>
    </row>
    <row r="12" spans="1:9">
      <c r="A12" t="s">
        <v>245</v>
      </c>
      <c r="G12">
        <v>1</v>
      </c>
    </row>
    <row r="13" spans="1:9">
      <c r="A13" t="s">
        <v>134</v>
      </c>
      <c r="G13">
        <v>1</v>
      </c>
    </row>
    <row r="14" spans="1:9">
      <c r="A14" t="s">
        <v>191</v>
      </c>
      <c r="G14">
        <v>1</v>
      </c>
    </row>
    <row r="15" spans="1:9">
      <c r="A15" s="2" t="s">
        <v>130</v>
      </c>
      <c r="E15">
        <v>1</v>
      </c>
    </row>
    <row r="16" spans="1:9">
      <c r="A16" s="2" t="s">
        <v>131</v>
      </c>
      <c r="E16">
        <v>1</v>
      </c>
    </row>
    <row r="17" spans="1:5">
      <c r="A17" s="2" t="s">
        <v>125</v>
      </c>
      <c r="E17">
        <v>1</v>
      </c>
    </row>
    <row r="18" spans="1:5">
      <c r="A18" s="2" t="s">
        <v>57</v>
      </c>
      <c r="E18">
        <v>1</v>
      </c>
    </row>
    <row r="19" spans="1:5">
      <c r="A19" s="2" t="s">
        <v>126</v>
      </c>
      <c r="E19">
        <v>1</v>
      </c>
    </row>
    <row r="20" spans="1:5">
      <c r="A20" s="2" t="s">
        <v>127</v>
      </c>
      <c r="E20">
        <v>1</v>
      </c>
    </row>
    <row r="21" spans="1:5">
      <c r="A21" s="2" t="s">
        <v>176</v>
      </c>
      <c r="E21">
        <v>1</v>
      </c>
    </row>
    <row r="22" spans="1:5">
      <c r="A22" s="2" t="s">
        <v>495</v>
      </c>
      <c r="E22">
        <v>1</v>
      </c>
    </row>
    <row r="23" spans="1:5">
      <c r="A23" s="2" t="s">
        <v>496</v>
      </c>
      <c r="E23">
        <v>1</v>
      </c>
    </row>
    <row r="24" spans="1:5">
      <c r="A24" t="s">
        <v>158</v>
      </c>
      <c r="B24">
        <v>1</v>
      </c>
    </row>
    <row r="25" spans="1:5">
      <c r="A25" t="s">
        <v>103</v>
      </c>
      <c r="B25">
        <v>1</v>
      </c>
    </row>
    <row r="26" spans="1:5">
      <c r="A26" t="s">
        <v>102</v>
      </c>
      <c r="B26">
        <v>1</v>
      </c>
    </row>
    <row r="27" spans="1:5">
      <c r="A27" t="s">
        <v>22</v>
      </c>
      <c r="B27">
        <v>1</v>
      </c>
    </row>
    <row r="28" spans="1:5">
      <c r="A28" t="s">
        <v>23</v>
      </c>
      <c r="B28">
        <v>1</v>
      </c>
    </row>
    <row r="29" spans="1:5">
      <c r="A29" t="s">
        <v>56</v>
      </c>
      <c r="B29">
        <v>1</v>
      </c>
    </row>
    <row r="30" spans="1:5">
      <c r="A30" s="2" t="s">
        <v>132</v>
      </c>
      <c r="E30">
        <v>1</v>
      </c>
    </row>
    <row r="31" spans="1:5">
      <c r="A31" s="2" t="s">
        <v>58</v>
      </c>
      <c r="E31">
        <v>1</v>
      </c>
    </row>
    <row r="32" spans="1:5">
      <c r="A32" s="2" t="s">
        <v>133</v>
      </c>
      <c r="E32">
        <v>1</v>
      </c>
    </row>
    <row r="33" spans="1:6">
      <c r="A33" s="2" t="s">
        <v>128</v>
      </c>
      <c r="E33">
        <v>1</v>
      </c>
    </row>
    <row r="34" spans="1:6">
      <c r="A34" s="2" t="s">
        <v>129</v>
      </c>
      <c r="E34">
        <v>1</v>
      </c>
    </row>
    <row r="35" spans="1:6">
      <c r="A35" s="2" t="s">
        <v>60</v>
      </c>
      <c r="E35">
        <v>1</v>
      </c>
    </row>
    <row r="36" spans="1:6">
      <c r="A36" s="2" t="s">
        <v>123</v>
      </c>
      <c r="E36">
        <v>1</v>
      </c>
    </row>
    <row r="37" spans="1:6">
      <c r="A37" s="2" t="s">
        <v>59</v>
      </c>
      <c r="E37">
        <v>1</v>
      </c>
    </row>
    <row r="38" spans="1:6">
      <c r="A38" s="2" t="s">
        <v>124</v>
      </c>
      <c r="E38">
        <v>1</v>
      </c>
    </row>
    <row r="39" spans="1:6">
      <c r="A39" t="s">
        <v>86</v>
      </c>
      <c r="F39">
        <v>1</v>
      </c>
    </row>
    <row r="40" spans="1:6">
      <c r="A40" t="s">
        <v>85</v>
      </c>
      <c r="F40">
        <v>1</v>
      </c>
    </row>
    <row r="41" spans="1:6">
      <c r="A41" t="s">
        <v>84</v>
      </c>
      <c r="F41">
        <v>1</v>
      </c>
    </row>
    <row r="42" spans="1:6">
      <c r="A42" t="s">
        <v>87</v>
      </c>
      <c r="F42">
        <v>1</v>
      </c>
    </row>
    <row r="43" spans="1:6">
      <c r="A43" t="s">
        <v>88</v>
      </c>
      <c r="F43">
        <v>1</v>
      </c>
    </row>
    <row r="44" spans="1:6">
      <c r="A44" t="s">
        <v>96</v>
      </c>
      <c r="B44">
        <v>1</v>
      </c>
    </row>
    <row r="45" spans="1:6">
      <c r="A45" t="s">
        <v>101</v>
      </c>
      <c r="B45">
        <v>1</v>
      </c>
    </row>
    <row r="46" spans="1:6">
      <c r="A46" t="s">
        <v>98</v>
      </c>
      <c r="B46">
        <v>1</v>
      </c>
    </row>
    <row r="47" spans="1:6">
      <c r="A47" t="s">
        <v>99</v>
      </c>
      <c r="B47">
        <v>1</v>
      </c>
    </row>
    <row r="48" spans="1:6">
      <c r="A48" t="s">
        <v>100</v>
      </c>
      <c r="B48">
        <v>1</v>
      </c>
    </row>
    <row r="49" spans="1:8">
      <c r="A49" t="s">
        <v>172</v>
      </c>
      <c r="B49">
        <v>1</v>
      </c>
    </row>
    <row r="50" spans="1:8">
      <c r="A50" t="s">
        <v>173</v>
      </c>
      <c r="B50">
        <v>1</v>
      </c>
    </row>
    <row r="51" spans="1:8">
      <c r="A51" t="s">
        <v>90</v>
      </c>
      <c r="B51">
        <v>1</v>
      </c>
    </row>
    <row r="52" spans="1:8">
      <c r="A52" t="s">
        <v>89</v>
      </c>
      <c r="B52">
        <v>1</v>
      </c>
    </row>
    <row r="53" spans="1:8">
      <c r="A53" t="s">
        <v>91</v>
      </c>
      <c r="B53">
        <v>1</v>
      </c>
    </row>
    <row r="54" spans="1:8">
      <c r="A54" t="s">
        <v>165</v>
      </c>
      <c r="B54">
        <v>1</v>
      </c>
    </row>
    <row r="55" spans="1:8">
      <c r="A55" t="s">
        <v>166</v>
      </c>
      <c r="B55">
        <v>1</v>
      </c>
    </row>
    <row r="56" spans="1:8">
      <c r="A56" t="s">
        <v>167</v>
      </c>
      <c r="B56">
        <v>1</v>
      </c>
    </row>
    <row r="57" spans="1:8">
      <c r="A57" t="s">
        <v>93</v>
      </c>
      <c r="B57">
        <v>1</v>
      </c>
    </row>
    <row r="58" spans="1:8">
      <c r="A58" t="s">
        <v>92</v>
      </c>
      <c r="B58">
        <v>1</v>
      </c>
    </row>
    <row r="59" spans="1:8">
      <c r="A59" t="s">
        <v>94</v>
      </c>
      <c r="B59">
        <v>1</v>
      </c>
    </row>
    <row r="60" spans="1:8">
      <c r="A60" t="s">
        <v>121</v>
      </c>
      <c r="H60">
        <v>1</v>
      </c>
    </row>
    <row r="61" spans="1:8">
      <c r="A61" t="s">
        <v>122</v>
      </c>
      <c r="H61">
        <v>1</v>
      </c>
    </row>
    <row r="62" spans="1:8">
      <c r="A62" t="s">
        <v>157</v>
      </c>
      <c r="H62">
        <v>1</v>
      </c>
    </row>
    <row r="63" spans="1:8">
      <c r="A63" t="s">
        <v>181</v>
      </c>
      <c r="F63">
        <v>1</v>
      </c>
    </row>
    <row r="64" spans="1:8">
      <c r="A64" t="s">
        <v>180</v>
      </c>
      <c r="F64">
        <v>1</v>
      </c>
    </row>
    <row r="65" spans="1:7">
      <c r="A65" t="s">
        <v>182</v>
      </c>
      <c r="F65">
        <v>1</v>
      </c>
    </row>
    <row r="66" spans="1:7">
      <c r="A66" t="s">
        <v>194</v>
      </c>
      <c r="B66">
        <v>1</v>
      </c>
    </row>
    <row r="67" spans="1:7">
      <c r="A67" t="s">
        <v>195</v>
      </c>
      <c r="F67">
        <v>1</v>
      </c>
    </row>
    <row r="68" spans="1:7">
      <c r="A68" t="s">
        <v>148</v>
      </c>
      <c r="G68">
        <v>1</v>
      </c>
    </row>
    <row r="69" spans="1:7">
      <c r="A69" t="s">
        <v>219</v>
      </c>
      <c r="D69">
        <v>1</v>
      </c>
    </row>
    <row r="70" spans="1:7">
      <c r="A70" t="s">
        <v>206</v>
      </c>
      <c r="B70">
        <v>1</v>
      </c>
      <c r="D70">
        <v>0</v>
      </c>
    </row>
    <row r="71" spans="1:7">
      <c r="A71" t="s">
        <v>201</v>
      </c>
      <c r="D71">
        <v>1</v>
      </c>
    </row>
    <row r="72" spans="1:7">
      <c r="A72" t="s">
        <v>205</v>
      </c>
      <c r="D72">
        <v>1</v>
      </c>
    </row>
    <row r="73" spans="1:7">
      <c r="A73" t="s">
        <v>202</v>
      </c>
      <c r="D73">
        <v>1</v>
      </c>
    </row>
    <row r="74" spans="1:7">
      <c r="A74" t="s">
        <v>203</v>
      </c>
      <c r="D74">
        <v>1</v>
      </c>
    </row>
    <row r="75" spans="1:7">
      <c r="A75" t="s">
        <v>204</v>
      </c>
      <c r="B75">
        <v>1</v>
      </c>
      <c r="D75">
        <v>0</v>
      </c>
    </row>
    <row r="76" spans="1:7">
      <c r="A76" t="s">
        <v>227</v>
      </c>
      <c r="B76">
        <v>1</v>
      </c>
      <c r="D76">
        <v>0</v>
      </c>
    </row>
    <row r="77" spans="1:7">
      <c r="A77" t="s">
        <v>228</v>
      </c>
      <c r="D77">
        <v>1</v>
      </c>
    </row>
    <row r="78" spans="1:7">
      <c r="A78" t="s">
        <v>229</v>
      </c>
      <c r="D78">
        <v>1</v>
      </c>
    </row>
    <row r="79" spans="1:7">
      <c r="A79" t="s">
        <v>230</v>
      </c>
      <c r="D79">
        <v>1</v>
      </c>
    </row>
    <row r="80" spans="1:7">
      <c r="A80" t="s">
        <v>231</v>
      </c>
      <c r="D80">
        <v>1</v>
      </c>
    </row>
    <row r="81" spans="1:4">
      <c r="A81" t="s">
        <v>210</v>
      </c>
      <c r="D81">
        <v>1</v>
      </c>
    </row>
    <row r="82" spans="1:4">
      <c r="A82" t="s">
        <v>220</v>
      </c>
      <c r="D82">
        <v>1</v>
      </c>
    </row>
    <row r="83" spans="1:4">
      <c r="A83" t="s">
        <v>221</v>
      </c>
      <c r="C83">
        <v>1</v>
      </c>
    </row>
    <row r="84" spans="1:4">
      <c r="A84" t="s">
        <v>211</v>
      </c>
      <c r="B84">
        <v>1</v>
      </c>
      <c r="C84">
        <v>0</v>
      </c>
    </row>
    <row r="85" spans="1:4">
      <c r="A85" t="s">
        <v>212</v>
      </c>
      <c r="C85">
        <v>1</v>
      </c>
    </row>
    <row r="86" spans="1:4">
      <c r="A86" t="s">
        <v>213</v>
      </c>
      <c r="B86">
        <v>1</v>
      </c>
      <c r="C86">
        <v>0</v>
      </c>
    </row>
    <row r="87" spans="1:4">
      <c r="A87" t="s">
        <v>214</v>
      </c>
      <c r="C87">
        <v>1</v>
      </c>
    </row>
    <row r="88" spans="1:4">
      <c r="A88" t="s">
        <v>215</v>
      </c>
      <c r="C88">
        <v>1</v>
      </c>
    </row>
    <row r="89" spans="1:4">
      <c r="A89" t="s">
        <v>216</v>
      </c>
      <c r="B89">
        <v>1</v>
      </c>
      <c r="C89">
        <v>0</v>
      </c>
    </row>
    <row r="90" spans="1:4">
      <c r="A90" t="s">
        <v>244</v>
      </c>
      <c r="B90">
        <v>1</v>
      </c>
      <c r="C90">
        <v>0</v>
      </c>
    </row>
    <row r="91" spans="1:4">
      <c r="A91" t="s">
        <v>232</v>
      </c>
      <c r="C91">
        <v>1</v>
      </c>
    </row>
    <row r="92" spans="1:4">
      <c r="A92" t="s">
        <v>233</v>
      </c>
      <c r="C92">
        <v>1</v>
      </c>
    </row>
    <row r="93" spans="1:4">
      <c r="A93" t="s">
        <v>234</v>
      </c>
      <c r="C93">
        <v>1</v>
      </c>
    </row>
    <row r="94" spans="1:4">
      <c r="A94" t="s">
        <v>217</v>
      </c>
      <c r="C94">
        <v>1</v>
      </c>
    </row>
    <row r="95" spans="1:4">
      <c r="A95" t="s">
        <v>222</v>
      </c>
      <c r="C95">
        <v>1</v>
      </c>
    </row>
    <row r="96" spans="1:4">
      <c r="A96" t="s">
        <v>218</v>
      </c>
      <c r="B96">
        <v>1</v>
      </c>
      <c r="C96">
        <v>0</v>
      </c>
    </row>
    <row r="97" spans="1:3">
      <c r="A97" t="s">
        <v>225</v>
      </c>
      <c r="C97">
        <v>1</v>
      </c>
    </row>
    <row r="98" spans="1:3">
      <c r="A98" t="s">
        <v>223</v>
      </c>
      <c r="C98">
        <v>1</v>
      </c>
    </row>
    <row r="99" spans="1:3">
      <c r="A99" t="s">
        <v>224</v>
      </c>
      <c r="C99">
        <v>1</v>
      </c>
    </row>
    <row r="100" spans="1:3">
      <c r="A100" t="s">
        <v>235</v>
      </c>
      <c r="C100">
        <v>1</v>
      </c>
    </row>
    <row r="101" spans="1:3">
      <c r="A101" t="s">
        <v>226</v>
      </c>
      <c r="C101">
        <v>1</v>
      </c>
    </row>
    <row r="102" spans="1:3">
      <c r="A102" t="s">
        <v>238</v>
      </c>
      <c r="C102">
        <v>1</v>
      </c>
    </row>
    <row r="103" spans="1:3">
      <c r="A103" t="s">
        <v>239</v>
      </c>
      <c r="C103">
        <v>1</v>
      </c>
    </row>
    <row r="104" spans="1:3">
      <c r="A104" t="s">
        <v>240</v>
      </c>
      <c r="C104">
        <v>1</v>
      </c>
    </row>
    <row r="105" spans="1:3">
      <c r="A105" t="s">
        <v>241</v>
      </c>
      <c r="C105">
        <v>1</v>
      </c>
    </row>
    <row r="106" spans="1:3">
      <c r="A106" t="s">
        <v>242</v>
      </c>
      <c r="C106">
        <v>1</v>
      </c>
    </row>
    <row r="107" spans="1:3">
      <c r="A107" t="s">
        <v>243</v>
      </c>
      <c r="C107">
        <v>1</v>
      </c>
    </row>
    <row r="108" spans="1:3">
      <c r="A108" t="s">
        <v>249</v>
      </c>
      <c r="C108">
        <v>1</v>
      </c>
    </row>
    <row r="109" spans="1:3">
      <c r="A109" t="s">
        <v>250</v>
      </c>
      <c r="C109">
        <v>1</v>
      </c>
    </row>
    <row r="110" spans="1:3">
      <c r="A110" t="s">
        <v>262</v>
      </c>
      <c r="B110">
        <v>1</v>
      </c>
      <c r="C110">
        <v>0</v>
      </c>
    </row>
    <row r="111" spans="1:3">
      <c r="A111" t="s">
        <v>256</v>
      </c>
      <c r="B111">
        <v>1</v>
      </c>
      <c r="C111">
        <v>0</v>
      </c>
    </row>
    <row r="112" spans="1:3">
      <c r="A112" t="s">
        <v>257</v>
      </c>
      <c r="B112">
        <v>1</v>
      </c>
      <c r="C112">
        <v>0</v>
      </c>
    </row>
    <row r="113" spans="1:8">
      <c r="A113" t="s">
        <v>263</v>
      </c>
      <c r="B113">
        <v>1</v>
      </c>
      <c r="D113">
        <v>0</v>
      </c>
    </row>
    <row r="114" spans="1:8">
      <c r="A114" t="s">
        <v>254</v>
      </c>
      <c r="B114">
        <v>1</v>
      </c>
      <c r="D114">
        <v>0</v>
      </c>
    </row>
    <row r="115" spans="1:8">
      <c r="A115" t="s">
        <v>255</v>
      </c>
      <c r="B115">
        <v>1</v>
      </c>
      <c r="D115">
        <v>0</v>
      </c>
    </row>
    <row r="116" spans="1:8">
      <c r="A116" t="s">
        <v>258</v>
      </c>
      <c r="C116">
        <v>1</v>
      </c>
    </row>
    <row r="117" spans="1:8">
      <c r="A117" t="s">
        <v>259</v>
      </c>
      <c r="C117">
        <v>1</v>
      </c>
    </row>
    <row r="118" spans="1:8">
      <c r="A118" t="s">
        <v>251</v>
      </c>
      <c r="B118">
        <v>1</v>
      </c>
    </row>
    <row r="119" spans="1:8">
      <c r="A119" t="s">
        <v>252</v>
      </c>
      <c r="B119">
        <v>1</v>
      </c>
    </row>
    <row r="120" spans="1:8">
      <c r="A120" t="s">
        <v>253</v>
      </c>
      <c r="B120">
        <v>1</v>
      </c>
    </row>
    <row r="121" spans="1:8">
      <c r="A121" t="s">
        <v>260</v>
      </c>
      <c r="H121">
        <v>1</v>
      </c>
    </row>
    <row r="122" spans="1:8">
      <c r="A122" t="s">
        <v>261</v>
      </c>
      <c r="H122">
        <v>1</v>
      </c>
    </row>
    <row r="123" spans="1:8">
      <c r="A123" t="s">
        <v>264</v>
      </c>
      <c r="H123">
        <v>1</v>
      </c>
    </row>
    <row r="124" spans="1:8">
      <c r="A124" t="s">
        <v>267</v>
      </c>
      <c r="D124">
        <v>1</v>
      </c>
    </row>
    <row r="125" spans="1:8">
      <c r="A125" t="s">
        <v>268</v>
      </c>
      <c r="C125">
        <v>1</v>
      </c>
    </row>
    <row r="126" spans="1:8">
      <c r="A126" t="s">
        <v>269</v>
      </c>
      <c r="H126">
        <v>1</v>
      </c>
    </row>
    <row r="127" spans="1:8">
      <c r="A127" t="s">
        <v>300</v>
      </c>
      <c r="H127">
        <v>1</v>
      </c>
    </row>
    <row r="128" spans="1:8">
      <c r="A128" t="s">
        <v>301</v>
      </c>
      <c r="F128">
        <v>1</v>
      </c>
    </row>
    <row r="129" spans="1:8">
      <c r="A129" t="s">
        <v>302</v>
      </c>
      <c r="F129">
        <v>1</v>
      </c>
    </row>
    <row r="130" spans="1:8">
      <c r="A130" t="s">
        <v>303</v>
      </c>
      <c r="F130">
        <v>1</v>
      </c>
    </row>
    <row r="131" spans="1:8">
      <c r="A131" t="s">
        <v>304</v>
      </c>
      <c r="F131">
        <v>1</v>
      </c>
    </row>
    <row r="132" spans="1:8">
      <c r="A132" t="s">
        <v>305</v>
      </c>
      <c r="F132">
        <v>1</v>
      </c>
    </row>
    <row r="133" spans="1:8">
      <c r="A133" t="s">
        <v>306</v>
      </c>
      <c r="F133">
        <v>1</v>
      </c>
    </row>
    <row r="134" spans="1:8">
      <c r="A134" s="2" t="s">
        <v>310</v>
      </c>
      <c r="H134">
        <v>1</v>
      </c>
    </row>
    <row r="135" spans="1:8">
      <c r="A135" s="2" t="s">
        <v>311</v>
      </c>
      <c r="H135">
        <v>1</v>
      </c>
    </row>
    <row r="136" spans="1:8">
      <c r="A136" t="s">
        <v>309</v>
      </c>
      <c r="F136">
        <v>1</v>
      </c>
    </row>
    <row r="137" spans="1:8">
      <c r="A137" s="2" t="s">
        <v>316</v>
      </c>
      <c r="E137">
        <v>1</v>
      </c>
    </row>
    <row r="138" spans="1:8">
      <c r="A138" s="2" t="s">
        <v>497</v>
      </c>
      <c r="E138">
        <v>1</v>
      </c>
    </row>
    <row r="139" spans="1:8">
      <c r="A139" s="2" t="s">
        <v>317</v>
      </c>
      <c r="E139">
        <v>1</v>
      </c>
    </row>
    <row r="140" spans="1:8">
      <c r="A140" t="s">
        <v>327</v>
      </c>
      <c r="B140">
        <v>1</v>
      </c>
    </row>
    <row r="141" spans="1:8">
      <c r="A141" t="s">
        <v>265</v>
      </c>
      <c r="F141">
        <v>1</v>
      </c>
    </row>
    <row r="142" spans="1:8">
      <c r="A142" t="s">
        <v>329</v>
      </c>
      <c r="H142">
        <v>1</v>
      </c>
    </row>
    <row r="143" spans="1:8">
      <c r="A143" t="s">
        <v>330</v>
      </c>
      <c r="H143">
        <v>1</v>
      </c>
    </row>
    <row r="144" spans="1:8">
      <c r="A144" t="s">
        <v>331</v>
      </c>
      <c r="F144">
        <v>1</v>
      </c>
    </row>
    <row r="145" spans="1:9">
      <c r="A145" t="s">
        <v>332</v>
      </c>
      <c r="F145">
        <v>1</v>
      </c>
    </row>
    <row r="146" spans="1:9">
      <c r="A146" t="s">
        <v>333</v>
      </c>
      <c r="F146">
        <v>1</v>
      </c>
    </row>
    <row r="147" spans="1:9">
      <c r="A147" t="s">
        <v>436</v>
      </c>
      <c r="I147">
        <v>1</v>
      </c>
    </row>
    <row r="148" spans="1:9">
      <c r="A148" t="s">
        <v>104</v>
      </c>
      <c r="I148">
        <v>1</v>
      </c>
    </row>
    <row r="149" spans="1:9">
      <c r="A149" t="s">
        <v>105</v>
      </c>
      <c r="I149">
        <v>1</v>
      </c>
    </row>
    <row r="150" spans="1:9">
      <c r="A150" t="s">
        <v>442</v>
      </c>
      <c r="I150">
        <v>1</v>
      </c>
    </row>
    <row r="151" spans="1:9">
      <c r="A151" t="s">
        <v>440</v>
      </c>
      <c r="I151">
        <v>1</v>
      </c>
    </row>
    <row r="152" spans="1:9">
      <c r="A152" t="s">
        <v>444</v>
      </c>
      <c r="I152">
        <v>1</v>
      </c>
    </row>
    <row r="153" spans="1:9">
      <c r="A153" t="s">
        <v>437</v>
      </c>
      <c r="I153">
        <v>1</v>
      </c>
    </row>
    <row r="154" spans="1:9">
      <c r="A154" t="s">
        <v>438</v>
      </c>
      <c r="I154">
        <v>1</v>
      </c>
    </row>
    <row r="155" spans="1:9">
      <c r="A155" t="s">
        <v>439</v>
      </c>
      <c r="I155">
        <v>1</v>
      </c>
    </row>
    <row r="156" spans="1:9">
      <c r="A156" t="s">
        <v>443</v>
      </c>
      <c r="I156">
        <v>1</v>
      </c>
    </row>
    <row r="157" spans="1:9">
      <c r="A157" t="s">
        <v>441</v>
      </c>
      <c r="I157">
        <v>1</v>
      </c>
    </row>
    <row r="158" spans="1:9">
      <c r="A158" t="s">
        <v>445</v>
      </c>
      <c r="I158">
        <v>1</v>
      </c>
    </row>
    <row r="159" spans="1:9">
      <c r="A159" t="s">
        <v>447</v>
      </c>
      <c r="C159">
        <v>1</v>
      </c>
    </row>
    <row r="160" spans="1:9">
      <c r="A160" t="s">
        <v>448</v>
      </c>
      <c r="D160">
        <v>1</v>
      </c>
    </row>
    <row r="161" spans="1:9">
      <c r="A161" t="s">
        <v>446</v>
      </c>
      <c r="I161">
        <v>1</v>
      </c>
    </row>
    <row r="162" spans="1:9">
      <c r="A162" t="s">
        <v>475</v>
      </c>
      <c r="B162">
        <v>1</v>
      </c>
    </row>
    <row r="163" spans="1:9">
      <c r="A163" t="s">
        <v>449</v>
      </c>
      <c r="B163">
        <v>1</v>
      </c>
    </row>
    <row r="164" spans="1:9">
      <c r="A164" t="s">
        <v>451</v>
      </c>
      <c r="B164">
        <v>1</v>
      </c>
    </row>
    <row r="165" spans="1:9">
      <c r="A165" t="s">
        <v>450</v>
      </c>
      <c r="B165">
        <v>1</v>
      </c>
    </row>
    <row r="166" spans="1:9">
      <c r="A166" t="s">
        <v>236</v>
      </c>
      <c r="C166">
        <v>1</v>
      </c>
    </row>
  </sheetData>
  <dataValidations count="1">
    <dataValidation type="list" allowBlank="1" showInputMessage="1" showErrorMessage="1" sqref="A61 A20:A23 A138" xr:uid="{00000000-0002-0000-0300-000000000000}">
      <formula1>Technologies</formula1>
    </dataValidation>
  </dataValidation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Tabelle29"/>
  <dimension ref="A1:FK6"/>
  <sheetViews>
    <sheetView topLeftCell="N1" workbookViewId="0">
      <selection activeCell="I37" sqref="I37"/>
    </sheetView>
  </sheetViews>
  <sheetFormatPr defaultColWidth="11.42578125" defaultRowHeight="15"/>
  <cols>
    <col min="1" max="1" width="17" customWidth="1"/>
    <col min="2" max="2" width="16.42578125" bestFit="1" customWidth="1"/>
    <col min="3" max="3" width="14.42578125" bestFit="1" customWidth="1"/>
    <col min="4" max="4" width="7.5703125" bestFit="1" customWidth="1"/>
    <col min="5" max="5" width="11" bestFit="1" customWidth="1"/>
    <col min="6" max="6" width="11" customWidth="1"/>
    <col min="7" max="7" width="14" bestFit="1" customWidth="1"/>
    <col min="8" max="8" width="14" customWidth="1"/>
    <col min="9" max="9" width="14.42578125" bestFit="1" customWidth="1"/>
    <col min="10" max="10" width="8.42578125" bestFit="1" customWidth="1"/>
    <col min="11" max="11" width="6.42578125" bestFit="1" customWidth="1"/>
    <col min="12" max="12" width="6" bestFit="1" customWidth="1"/>
    <col min="13" max="13" width="13.42578125" bestFit="1" customWidth="1"/>
    <col min="14" max="14" width="11.42578125" bestFit="1" customWidth="1"/>
    <col min="15" max="15" width="16.42578125" bestFit="1" customWidth="1"/>
    <col min="16" max="16" width="14.42578125" bestFit="1" customWidth="1"/>
    <col min="17" max="17" width="18" bestFit="1" customWidth="1"/>
    <col min="18" max="18" width="7.85546875" bestFit="1" customWidth="1"/>
    <col min="19" max="19" width="14.42578125" bestFit="1" customWidth="1"/>
    <col min="20" max="20" width="11" bestFit="1" customWidth="1"/>
    <col min="21" max="21" width="16" bestFit="1" customWidth="1"/>
    <col min="22" max="22" width="14.140625" bestFit="1" customWidth="1"/>
    <col min="23" max="23" width="17.42578125" bestFit="1" customWidth="1"/>
    <col min="24" max="24" width="7.42578125" bestFit="1" customWidth="1"/>
    <col min="25" max="25" width="14" bestFit="1" customWidth="1"/>
    <col min="26" max="26" width="12.85546875" bestFit="1" customWidth="1"/>
    <col min="27" max="28" width="11" bestFit="1" customWidth="1"/>
    <col min="29" max="29" width="14" bestFit="1" customWidth="1"/>
    <col min="30" max="30" width="12.42578125" bestFit="1" customWidth="1"/>
    <col min="31" max="31" width="5.5703125" bestFit="1" customWidth="1"/>
    <col min="32" max="32" width="8.5703125" bestFit="1" customWidth="1"/>
    <col min="33" max="33" width="5.5703125" bestFit="1" customWidth="1"/>
    <col min="34" max="34" width="7.42578125" bestFit="1" customWidth="1"/>
    <col min="35" max="35" width="14.42578125" bestFit="1" customWidth="1"/>
    <col min="36" max="36" width="13.85546875" bestFit="1" customWidth="1"/>
    <col min="37" max="38" width="14.42578125" bestFit="1" customWidth="1"/>
    <col min="39" max="39" width="9.42578125" bestFit="1" customWidth="1"/>
    <col min="40" max="40" width="13.85546875" bestFit="1" customWidth="1"/>
    <col min="41" max="41" width="16.42578125" bestFit="1" customWidth="1"/>
    <col min="42" max="42" width="15.42578125" bestFit="1" customWidth="1"/>
    <col min="43" max="43" width="16.42578125" bestFit="1" customWidth="1"/>
    <col min="44" max="44" width="20.42578125" bestFit="1" customWidth="1"/>
    <col min="45" max="45" width="19.42578125" bestFit="1" customWidth="1"/>
    <col min="46" max="46" width="20.42578125" bestFit="1" customWidth="1"/>
    <col min="47" max="47" width="20.140625" bestFit="1" customWidth="1"/>
    <col min="48" max="48" width="19.42578125" bestFit="1" customWidth="1"/>
    <col min="49" max="49" width="20.140625" bestFit="1" customWidth="1"/>
    <col min="50" max="50" width="11.42578125" bestFit="1" customWidth="1"/>
    <col min="51" max="51" width="9.5703125" bestFit="1" customWidth="1"/>
    <col min="52" max="52" width="14.140625" bestFit="1" customWidth="1"/>
    <col min="56" max="56" width="12.42578125" bestFit="1" customWidth="1"/>
    <col min="57" max="57" width="14.140625" bestFit="1" customWidth="1"/>
    <col min="58" max="58" width="12.42578125" bestFit="1" customWidth="1"/>
    <col min="59" max="59" width="11.5703125" bestFit="1" customWidth="1"/>
    <col min="60" max="60" width="11.85546875" bestFit="1" customWidth="1"/>
    <col min="61" max="61" width="13.5703125" bestFit="1" customWidth="1"/>
    <col min="62" max="62" width="12" bestFit="1" customWidth="1"/>
    <col min="63" max="63" width="11.42578125" bestFit="1" customWidth="1"/>
    <col min="64" max="64" width="12.5703125" bestFit="1" customWidth="1"/>
    <col min="65" max="65" width="11.5703125" bestFit="1" customWidth="1"/>
    <col min="66" max="66" width="13" bestFit="1" customWidth="1"/>
    <col min="67" max="67" width="11.42578125" bestFit="1" customWidth="1"/>
    <col min="68" max="68" width="13.5703125" bestFit="1" customWidth="1"/>
    <col min="69" max="69" width="15.42578125" bestFit="1" customWidth="1"/>
    <col min="70" max="70" width="14" bestFit="1" customWidth="1"/>
    <col min="71" max="71" width="13.140625" bestFit="1" customWidth="1"/>
    <col min="72" max="72" width="13.42578125" bestFit="1" customWidth="1"/>
    <col min="73" max="73" width="15.140625" bestFit="1" customWidth="1"/>
  </cols>
  <sheetData>
    <row r="1" spans="1:167">
      <c r="A1" t="s">
        <v>358</v>
      </c>
    </row>
    <row r="2" spans="1:167">
      <c r="A2" t="s">
        <v>359</v>
      </c>
    </row>
    <row r="3" spans="1:167">
      <c r="A3" t="s">
        <v>362</v>
      </c>
    </row>
    <row r="5" spans="1:167" ht="75">
      <c r="A5" t="s">
        <v>20</v>
      </c>
      <c r="B5" t="s">
        <v>170</v>
      </c>
      <c r="C5" t="s">
        <v>171</v>
      </c>
      <c r="D5" t="s">
        <v>135</v>
      </c>
      <c r="E5" t="s">
        <v>136</v>
      </c>
      <c r="F5" t="s">
        <v>147</v>
      </c>
      <c r="G5" t="s">
        <v>148</v>
      </c>
      <c r="H5" t="s">
        <v>247</v>
      </c>
      <c r="I5" t="s">
        <v>245</v>
      </c>
      <c r="J5" t="s">
        <v>134</v>
      </c>
      <c r="K5" t="s">
        <v>137</v>
      </c>
      <c r="L5" s="2" t="s">
        <v>130</v>
      </c>
      <c r="M5" s="2" t="s">
        <v>131</v>
      </c>
      <c r="N5" s="2" t="s">
        <v>125</v>
      </c>
      <c r="O5" s="2" t="s">
        <v>57</v>
      </c>
      <c r="P5" s="2" t="s">
        <v>126</v>
      </c>
      <c r="Q5" s="2" t="s">
        <v>127</v>
      </c>
      <c r="R5" s="2" t="s">
        <v>176</v>
      </c>
      <c r="S5" s="2" t="s">
        <v>495</v>
      </c>
      <c r="T5" s="2" t="s">
        <v>496</v>
      </c>
      <c r="U5" t="s">
        <v>158</v>
      </c>
      <c r="V5" t="s">
        <v>103</v>
      </c>
      <c r="W5" t="s">
        <v>102</v>
      </c>
      <c r="X5" t="s">
        <v>22</v>
      </c>
      <c r="Y5" t="s">
        <v>23</v>
      </c>
      <c r="Z5" t="s">
        <v>56</v>
      </c>
      <c r="AA5" s="2" t="s">
        <v>132</v>
      </c>
      <c r="AB5" s="2" t="s">
        <v>58</v>
      </c>
      <c r="AC5" s="2" t="s">
        <v>133</v>
      </c>
      <c r="AD5" s="2" t="s">
        <v>128</v>
      </c>
      <c r="AE5" s="2" t="s">
        <v>129</v>
      </c>
      <c r="AF5" s="2" t="s">
        <v>60</v>
      </c>
      <c r="AG5" s="2" t="s">
        <v>123</v>
      </c>
      <c r="AH5" s="2" t="s">
        <v>59</v>
      </c>
      <c r="AI5" s="2" t="s">
        <v>124</v>
      </c>
      <c r="AJ5" t="s">
        <v>86</v>
      </c>
      <c r="AK5" t="s">
        <v>85</v>
      </c>
      <c r="AL5" t="s">
        <v>84</v>
      </c>
      <c r="AM5" t="s">
        <v>87</v>
      </c>
      <c r="AN5" t="s">
        <v>88</v>
      </c>
      <c r="AO5" t="s">
        <v>153</v>
      </c>
      <c r="AP5" t="s">
        <v>96</v>
      </c>
      <c r="AQ5" t="s">
        <v>101</v>
      </c>
      <c r="AR5" t="s">
        <v>98</v>
      </c>
      <c r="AS5" t="s">
        <v>99</v>
      </c>
      <c r="AT5" t="s">
        <v>100</v>
      </c>
      <c r="AU5" t="s">
        <v>172</v>
      </c>
      <c r="AV5" t="s">
        <v>173</v>
      </c>
      <c r="AW5" t="s">
        <v>90</v>
      </c>
      <c r="AX5" t="s">
        <v>89</v>
      </c>
      <c r="AY5" t="s">
        <v>91</v>
      </c>
      <c r="AZ5" t="s">
        <v>165</v>
      </c>
      <c r="BA5" t="s">
        <v>166</v>
      </c>
      <c r="BB5" t="s">
        <v>167</v>
      </c>
      <c r="BC5" t="s">
        <v>93</v>
      </c>
      <c r="BD5" t="s">
        <v>92</v>
      </c>
      <c r="BE5" t="s">
        <v>94</v>
      </c>
      <c r="BF5" t="s">
        <v>121</v>
      </c>
      <c r="BG5" t="s">
        <v>122</v>
      </c>
      <c r="BH5" t="s">
        <v>157</v>
      </c>
      <c r="BI5" t="s">
        <v>181</v>
      </c>
      <c r="BJ5" t="s">
        <v>180</v>
      </c>
      <c r="BK5" t="s">
        <v>182</v>
      </c>
      <c r="BL5" t="s">
        <v>190</v>
      </c>
      <c r="BM5" t="s">
        <v>191</v>
      </c>
      <c r="BN5" t="s">
        <v>193</v>
      </c>
      <c r="BO5" t="s">
        <v>194</v>
      </c>
      <c r="BP5" t="s">
        <v>195</v>
      </c>
      <c r="BQ5" t="s">
        <v>148</v>
      </c>
      <c r="BR5" t="s">
        <v>219</v>
      </c>
      <c r="BS5" t="s">
        <v>206</v>
      </c>
      <c r="BT5" t="s">
        <v>201</v>
      </c>
      <c r="BU5" t="s">
        <v>205</v>
      </c>
      <c r="BV5" t="s">
        <v>202</v>
      </c>
      <c r="BW5" t="s">
        <v>203</v>
      </c>
      <c r="BX5" t="s">
        <v>204</v>
      </c>
      <c r="BY5" t="s">
        <v>227</v>
      </c>
      <c r="BZ5" t="s">
        <v>228</v>
      </c>
      <c r="CA5" t="s">
        <v>229</v>
      </c>
      <c r="CB5" t="s">
        <v>230</v>
      </c>
      <c r="CC5" t="s">
        <v>231</v>
      </c>
      <c r="CD5" t="s">
        <v>210</v>
      </c>
      <c r="CE5" t="s">
        <v>220</v>
      </c>
      <c r="CF5" t="s">
        <v>221</v>
      </c>
      <c r="CG5" t="s">
        <v>211</v>
      </c>
      <c r="CH5" t="s">
        <v>212</v>
      </c>
      <c r="CI5" t="s">
        <v>213</v>
      </c>
      <c r="CJ5" t="s">
        <v>214</v>
      </c>
      <c r="CK5" t="s">
        <v>215</v>
      </c>
      <c r="CL5" t="s">
        <v>216</v>
      </c>
      <c r="CM5" t="s">
        <v>232</v>
      </c>
      <c r="CN5" t="s">
        <v>233</v>
      </c>
      <c r="CO5" t="s">
        <v>234</v>
      </c>
      <c r="CP5" t="s">
        <v>217</v>
      </c>
      <c r="CQ5" t="s">
        <v>222</v>
      </c>
      <c r="CR5" t="s">
        <v>218</v>
      </c>
      <c r="CS5" t="s">
        <v>225</v>
      </c>
      <c r="CT5" t="s">
        <v>223</v>
      </c>
      <c r="CU5" t="s">
        <v>224</v>
      </c>
      <c r="CV5" t="s">
        <v>235</v>
      </c>
      <c r="CW5" t="s">
        <v>226</v>
      </c>
      <c r="CX5" t="s">
        <v>238</v>
      </c>
      <c r="CY5" t="s">
        <v>239</v>
      </c>
      <c r="CZ5" t="s">
        <v>240</v>
      </c>
      <c r="DA5" t="s">
        <v>241</v>
      </c>
      <c r="DB5" t="s">
        <v>242</v>
      </c>
      <c r="DC5" t="s">
        <v>243</v>
      </c>
      <c r="DD5" t="s">
        <v>244</v>
      </c>
      <c r="DE5" t="s">
        <v>249</v>
      </c>
      <c r="DF5" t="s">
        <v>250</v>
      </c>
      <c r="DG5" t="s">
        <v>262</v>
      </c>
      <c r="DH5" t="s">
        <v>256</v>
      </c>
      <c r="DI5" t="s">
        <v>257</v>
      </c>
      <c r="DJ5" t="s">
        <v>263</v>
      </c>
      <c r="DK5" t="s">
        <v>254</v>
      </c>
      <c r="DL5" t="s">
        <v>255</v>
      </c>
      <c r="DM5" t="s">
        <v>258</v>
      </c>
      <c r="DN5" t="s">
        <v>259</v>
      </c>
      <c r="DO5" t="s">
        <v>251</v>
      </c>
      <c r="DP5" t="s">
        <v>252</v>
      </c>
      <c r="DQ5" t="s">
        <v>253</v>
      </c>
      <c r="DR5" t="s">
        <v>260</v>
      </c>
      <c r="DS5" t="s">
        <v>261</v>
      </c>
      <c r="DT5" t="s">
        <v>264</v>
      </c>
      <c r="DU5" t="s">
        <v>265</v>
      </c>
      <c r="DV5" t="s">
        <v>267</v>
      </c>
      <c r="DW5" t="s">
        <v>268</v>
      </c>
      <c r="DX5" t="s">
        <v>269</v>
      </c>
      <c r="DY5" t="s">
        <v>236</v>
      </c>
      <c r="DZ5" t="s">
        <v>300</v>
      </c>
      <c r="EA5" t="s">
        <v>301</v>
      </c>
      <c r="EB5" t="s">
        <v>302</v>
      </c>
      <c r="EC5" t="s">
        <v>303</v>
      </c>
      <c r="ED5" t="s">
        <v>304</v>
      </c>
      <c r="EE5" t="s">
        <v>305</v>
      </c>
      <c r="EF5" t="s">
        <v>306</v>
      </c>
      <c r="EG5" s="2" t="s">
        <v>310</v>
      </c>
      <c r="EH5" s="2" t="s">
        <v>311</v>
      </c>
      <c r="EI5" s="2" t="s">
        <v>316</v>
      </c>
      <c r="EJ5" s="2" t="s">
        <v>497</v>
      </c>
      <c r="EK5" s="2" t="s">
        <v>317</v>
      </c>
      <c r="EL5" t="s">
        <v>327</v>
      </c>
      <c r="EM5" s="2" t="s">
        <v>265</v>
      </c>
      <c r="EN5" s="2" t="s">
        <v>329</v>
      </c>
      <c r="EO5" s="2" t="s">
        <v>330</v>
      </c>
      <c r="EP5" s="2" t="s">
        <v>331</v>
      </c>
      <c r="EQ5" t="s">
        <v>332</v>
      </c>
      <c r="ER5" t="s">
        <v>333</v>
      </c>
      <c r="ES5" t="s">
        <v>436</v>
      </c>
      <c r="ET5" t="s">
        <v>104</v>
      </c>
      <c r="EU5" t="s">
        <v>105</v>
      </c>
      <c r="EV5" t="s">
        <v>442</v>
      </c>
      <c r="EW5" t="s">
        <v>440</v>
      </c>
      <c r="EX5" t="s">
        <v>444</v>
      </c>
      <c r="EY5" t="s">
        <v>445</v>
      </c>
      <c r="EZ5" t="s">
        <v>437</v>
      </c>
      <c r="FA5" t="s">
        <v>438</v>
      </c>
      <c r="FB5" t="s">
        <v>439</v>
      </c>
      <c r="FC5" t="s">
        <v>443</v>
      </c>
      <c r="FD5" t="s">
        <v>441</v>
      </c>
      <c r="FE5" t="s">
        <v>447</v>
      </c>
      <c r="FF5" t="s">
        <v>448</v>
      </c>
      <c r="FG5" t="s">
        <v>446</v>
      </c>
      <c r="FH5" s="6" t="s">
        <v>449</v>
      </c>
      <c r="FI5" s="6" t="s">
        <v>451</v>
      </c>
      <c r="FJ5" s="6" t="s">
        <v>450</v>
      </c>
      <c r="FK5" t="s">
        <v>460</v>
      </c>
    </row>
    <row r="6" spans="1:167">
      <c r="A6" s="11" t="s">
        <v>484</v>
      </c>
      <c r="B6">
        <v>1</v>
      </c>
      <c r="C6">
        <v>1</v>
      </c>
      <c r="D6">
        <v>31.536000000000001</v>
      </c>
      <c r="E6">
        <v>31.536000000000001</v>
      </c>
      <c r="F6">
        <v>31.536000000000001</v>
      </c>
      <c r="G6">
        <v>31.536000000000001</v>
      </c>
      <c r="H6">
        <v>31.536000000000001</v>
      </c>
      <c r="I6">
        <v>31.536000000000001</v>
      </c>
      <c r="J6">
        <v>31.536000000000001</v>
      </c>
      <c r="K6">
        <v>31.536000000000001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31.536000000000001</v>
      </c>
      <c r="V6">
        <v>31.536000000000001</v>
      </c>
      <c r="W6">
        <v>31.536000000000001</v>
      </c>
      <c r="X6">
        <v>31.536000000000001</v>
      </c>
      <c r="Y6">
        <v>31.536000000000001</v>
      </c>
      <c r="Z6">
        <v>31.536000000000001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31.536000000000001</v>
      </c>
      <c r="AK6">
        <v>31.536000000000001</v>
      </c>
      <c r="AL6">
        <v>31.536000000000001</v>
      </c>
      <c r="AM6">
        <v>31.536000000000001</v>
      </c>
      <c r="AN6">
        <v>31.536000000000001</v>
      </c>
      <c r="AO6">
        <v>0</v>
      </c>
      <c r="AP6">
        <v>31.536000000000001</v>
      </c>
      <c r="AQ6">
        <v>31.536000000000001</v>
      </c>
      <c r="AR6">
        <v>31.536000000000001</v>
      </c>
      <c r="AS6">
        <v>31.536000000000001</v>
      </c>
      <c r="AT6">
        <v>31.536000000000001</v>
      </c>
      <c r="AU6">
        <v>31.536000000000001</v>
      </c>
      <c r="AV6">
        <v>31.536000000000001</v>
      </c>
      <c r="AW6">
        <v>31.536000000000001</v>
      </c>
      <c r="AX6">
        <v>31.536000000000001</v>
      </c>
      <c r="AY6">
        <v>31.536000000000001</v>
      </c>
      <c r="AZ6">
        <v>31.536000000000001</v>
      </c>
      <c r="BA6">
        <v>31.536000000000001</v>
      </c>
      <c r="BB6">
        <v>31.536000000000001</v>
      </c>
      <c r="BC6">
        <v>31.536000000000001</v>
      </c>
      <c r="BD6">
        <v>31.536000000000001</v>
      </c>
      <c r="BE6">
        <v>31.536000000000001</v>
      </c>
      <c r="BF6">
        <v>31.536000000000001</v>
      </c>
      <c r="BG6">
        <v>31.536000000000001</v>
      </c>
      <c r="BH6">
        <v>31.536000000000001</v>
      </c>
      <c r="BI6">
        <v>31.536000000000001</v>
      </c>
      <c r="BJ6">
        <v>31.536000000000001</v>
      </c>
      <c r="BK6">
        <v>31.536000000000001</v>
      </c>
      <c r="BL6">
        <v>31.536000000000001</v>
      </c>
      <c r="BM6">
        <v>31.536000000000001</v>
      </c>
      <c r="BN6">
        <v>31.536000000000001</v>
      </c>
      <c r="BO6">
        <v>31.536000000000001</v>
      </c>
      <c r="BP6">
        <v>1</v>
      </c>
      <c r="BQ6">
        <v>1</v>
      </c>
      <c r="BR6">
        <v>31.536000000000001</v>
      </c>
      <c r="BS6">
        <v>31.536000000000001</v>
      </c>
      <c r="BT6">
        <v>31.536000000000001</v>
      </c>
      <c r="BU6">
        <v>31.536000000000001</v>
      </c>
      <c r="BV6">
        <v>31.536000000000001</v>
      </c>
      <c r="BW6">
        <v>31.536000000000001</v>
      </c>
      <c r="BX6">
        <v>31.536000000000001</v>
      </c>
      <c r="BY6">
        <v>31.536000000000001</v>
      </c>
      <c r="BZ6">
        <v>31.536000000000001</v>
      </c>
      <c r="CA6">
        <v>31.536000000000001</v>
      </c>
      <c r="CB6">
        <v>31.536000000000001</v>
      </c>
      <c r="CC6">
        <v>31.536000000000001</v>
      </c>
      <c r="CD6">
        <v>31.536000000000001</v>
      </c>
      <c r="CE6">
        <v>31.536000000000001</v>
      </c>
      <c r="CF6">
        <v>31.536000000000001</v>
      </c>
      <c r="CG6">
        <v>31.536000000000001</v>
      </c>
      <c r="CH6">
        <v>31.536000000000001</v>
      </c>
      <c r="CI6">
        <v>31.536000000000001</v>
      </c>
      <c r="CJ6">
        <v>31.536000000000001</v>
      </c>
      <c r="CK6">
        <v>31.536000000000001</v>
      </c>
      <c r="CL6">
        <v>31.536000000000001</v>
      </c>
      <c r="CM6">
        <v>31.536000000000001</v>
      </c>
      <c r="CN6">
        <v>31.536000000000001</v>
      </c>
      <c r="CO6">
        <v>31.536000000000001</v>
      </c>
      <c r="CP6">
        <v>31.536000000000001</v>
      </c>
      <c r="CQ6">
        <v>31.536000000000001</v>
      </c>
      <c r="CR6">
        <v>31.536000000000001</v>
      </c>
      <c r="CS6">
        <v>31.536000000000001</v>
      </c>
      <c r="CT6">
        <v>31.536000000000001</v>
      </c>
      <c r="CU6">
        <v>31.536000000000001</v>
      </c>
      <c r="CV6">
        <v>31.536000000000001</v>
      </c>
      <c r="CW6">
        <v>31.536000000000001</v>
      </c>
      <c r="CX6">
        <v>31.536000000000001</v>
      </c>
      <c r="CY6">
        <v>31.536000000000001</v>
      </c>
      <c r="CZ6">
        <v>31.536000000000001</v>
      </c>
      <c r="DA6">
        <v>31.536000000000001</v>
      </c>
      <c r="DB6">
        <v>31.536000000000001</v>
      </c>
      <c r="DC6">
        <v>31.536000000000001</v>
      </c>
      <c r="DD6">
        <v>31.536000000000001</v>
      </c>
      <c r="DE6">
        <v>31.536000000000001</v>
      </c>
      <c r="DF6">
        <v>31.536000000000001</v>
      </c>
      <c r="DG6">
        <v>31.536000000000001</v>
      </c>
      <c r="DH6">
        <v>31.536000000000001</v>
      </c>
      <c r="DI6">
        <v>31.536000000000001</v>
      </c>
      <c r="DJ6">
        <v>31.536000000000001</v>
      </c>
      <c r="DK6">
        <v>31.536000000000001</v>
      </c>
      <c r="DL6">
        <v>31.536000000000001</v>
      </c>
      <c r="DM6">
        <v>31.536000000000001</v>
      </c>
      <c r="DN6">
        <v>31.536000000000001</v>
      </c>
      <c r="DO6">
        <v>31.536000000000001</v>
      </c>
      <c r="DP6">
        <v>31.536000000000001</v>
      </c>
      <c r="DQ6">
        <v>31.536000000000001</v>
      </c>
      <c r="DR6">
        <v>31.536000000000001</v>
      </c>
      <c r="DS6">
        <v>31.536000000000001</v>
      </c>
      <c r="DT6">
        <v>31.536000000000001</v>
      </c>
      <c r="DU6">
        <v>1</v>
      </c>
      <c r="DV6">
        <v>31.536000000000001</v>
      </c>
      <c r="DW6">
        <v>31.536000000000001</v>
      </c>
      <c r="DX6">
        <v>31.536000000000001</v>
      </c>
      <c r="DY6">
        <v>31.536000000000001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31.536000000000001</v>
      </c>
      <c r="EH6">
        <v>31.536000000000001</v>
      </c>
      <c r="EI6">
        <v>1</v>
      </c>
      <c r="EJ6">
        <v>1</v>
      </c>
      <c r="EK6">
        <v>1</v>
      </c>
      <c r="EL6">
        <v>31.536000000000001</v>
      </c>
      <c r="EM6">
        <v>1</v>
      </c>
      <c r="EN6">
        <v>1</v>
      </c>
      <c r="EO6">
        <v>1</v>
      </c>
      <c r="EP6">
        <v>31.536000000000001</v>
      </c>
      <c r="EQ6">
        <v>1</v>
      </c>
      <c r="ER6">
        <v>1</v>
      </c>
      <c r="ES6">
        <v>31.536000000000001</v>
      </c>
      <c r="ET6">
        <v>31.536000000000001</v>
      </c>
      <c r="EU6">
        <v>31.536000000000001</v>
      </c>
      <c r="EV6">
        <v>31.536000000000001</v>
      </c>
      <c r="EW6">
        <v>31.536000000000001</v>
      </c>
      <c r="EX6">
        <v>31.536000000000001</v>
      </c>
      <c r="EY6">
        <v>31.536000000000001</v>
      </c>
      <c r="EZ6">
        <v>31.536000000000001</v>
      </c>
      <c r="FA6">
        <v>31.536000000000001</v>
      </c>
      <c r="FB6">
        <v>31.536000000000001</v>
      </c>
      <c r="FC6">
        <v>31.536000000000001</v>
      </c>
      <c r="FD6">
        <v>31.536000000000001</v>
      </c>
      <c r="FE6">
        <v>1</v>
      </c>
      <c r="FF6">
        <v>1</v>
      </c>
      <c r="FG6">
        <v>31.536000000000001</v>
      </c>
      <c r="FH6">
        <v>31.536000000000001</v>
      </c>
      <c r="FI6">
        <v>31.536000000000001</v>
      </c>
      <c r="FJ6">
        <v>31.536000000000001</v>
      </c>
      <c r="FK6">
        <v>31.536000000000001</v>
      </c>
    </row>
  </sheetData>
  <dataValidations count="1">
    <dataValidation type="list" allowBlank="1" showInputMessage="1" showErrorMessage="1" sqref="BG5 Q5:T5 BL5 EJ5" xr:uid="{00000000-0002-0000-04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Tabelle30"/>
  <dimension ref="A1:E21"/>
  <sheetViews>
    <sheetView workbookViewId="0">
      <selection activeCell="I15" sqref="I15"/>
    </sheetView>
  </sheetViews>
  <sheetFormatPr defaultColWidth="11.42578125" defaultRowHeight="15"/>
  <sheetData>
    <row r="1" spans="1:5">
      <c r="A1" t="s">
        <v>14</v>
      </c>
    </row>
    <row r="2" spans="1:5">
      <c r="A2" t="s">
        <v>15</v>
      </c>
    </row>
    <row r="3" spans="1:5">
      <c r="A3" t="s">
        <v>382</v>
      </c>
    </row>
    <row r="5" spans="1:5">
      <c r="A5" t="s">
        <v>28</v>
      </c>
      <c r="B5">
        <v>1</v>
      </c>
      <c r="C5">
        <v>2</v>
      </c>
      <c r="D5">
        <v>3</v>
      </c>
      <c r="E5">
        <v>4</v>
      </c>
    </row>
    <row r="6" spans="1:5">
      <c r="A6" t="s">
        <v>65</v>
      </c>
      <c r="B6">
        <v>1</v>
      </c>
    </row>
    <row r="7" spans="1:5">
      <c r="A7" t="s">
        <v>66</v>
      </c>
      <c r="B7">
        <v>1</v>
      </c>
    </row>
    <row r="8" spans="1:5">
      <c r="A8" t="s">
        <v>67</v>
      </c>
      <c r="B8">
        <v>1</v>
      </c>
    </row>
    <row r="9" spans="1:5">
      <c r="A9" t="s">
        <v>64</v>
      </c>
      <c r="B9">
        <v>1</v>
      </c>
    </row>
    <row r="10" spans="1:5">
      <c r="A10" t="s">
        <v>68</v>
      </c>
      <c r="C10">
        <v>1</v>
      </c>
    </row>
    <row r="11" spans="1:5">
      <c r="A11" t="s">
        <v>69</v>
      </c>
      <c r="C11">
        <v>1</v>
      </c>
    </row>
    <row r="12" spans="1:5">
      <c r="A12" t="s">
        <v>70</v>
      </c>
      <c r="C12">
        <v>1</v>
      </c>
    </row>
    <row r="13" spans="1:5">
      <c r="A13" t="s">
        <v>71</v>
      </c>
      <c r="C13">
        <v>1</v>
      </c>
    </row>
    <row r="14" spans="1:5">
      <c r="A14" t="s">
        <v>72</v>
      </c>
      <c r="D14">
        <v>1</v>
      </c>
    </row>
    <row r="15" spans="1:5">
      <c r="A15" t="s">
        <v>73</v>
      </c>
      <c r="D15">
        <v>1</v>
      </c>
    </row>
    <row r="16" spans="1:5">
      <c r="A16" t="s">
        <v>74</v>
      </c>
      <c r="D16">
        <v>1</v>
      </c>
    </row>
    <row r="17" spans="1:5">
      <c r="A17" t="s">
        <v>75</v>
      </c>
      <c r="D17">
        <v>1</v>
      </c>
    </row>
    <row r="18" spans="1:5">
      <c r="A18" t="s">
        <v>76</v>
      </c>
      <c r="E18">
        <v>1</v>
      </c>
    </row>
    <row r="19" spans="1:5">
      <c r="A19" t="s">
        <v>77</v>
      </c>
      <c r="E19">
        <v>1</v>
      </c>
    </row>
    <row r="20" spans="1:5">
      <c r="A20" t="s">
        <v>78</v>
      </c>
      <c r="E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Tabelle31"/>
  <dimension ref="A1:B21"/>
  <sheetViews>
    <sheetView workbookViewId="0">
      <selection activeCell="A4" sqref="A4"/>
    </sheetView>
  </sheetViews>
  <sheetFormatPr defaultColWidth="11.42578125" defaultRowHeight="15"/>
  <sheetData>
    <row r="1" spans="1:2">
      <c r="A1" t="s">
        <v>16</v>
      </c>
    </row>
    <row r="2" spans="1:2">
      <c r="A2" t="s">
        <v>17</v>
      </c>
    </row>
    <row r="3" spans="1:2">
      <c r="A3" t="s">
        <v>382</v>
      </c>
    </row>
    <row r="5" spans="1:2">
      <c r="A5" t="s">
        <v>28</v>
      </c>
      <c r="B5">
        <v>1</v>
      </c>
    </row>
    <row r="6" spans="1:2">
      <c r="A6" t="s">
        <v>65</v>
      </c>
      <c r="B6">
        <v>1</v>
      </c>
    </row>
    <row r="7" spans="1:2">
      <c r="A7" t="s">
        <v>66</v>
      </c>
      <c r="B7">
        <v>1</v>
      </c>
    </row>
    <row r="8" spans="1:2">
      <c r="A8" t="s">
        <v>67</v>
      </c>
      <c r="B8">
        <v>1</v>
      </c>
    </row>
    <row r="9" spans="1:2">
      <c r="A9" t="s">
        <v>64</v>
      </c>
      <c r="B9">
        <v>1</v>
      </c>
    </row>
    <row r="10" spans="1:2">
      <c r="A10" t="s">
        <v>68</v>
      </c>
      <c r="B10">
        <v>1</v>
      </c>
    </row>
    <row r="11" spans="1:2">
      <c r="A11" t="s">
        <v>69</v>
      </c>
      <c r="B11">
        <v>1</v>
      </c>
    </row>
    <row r="12" spans="1:2">
      <c r="A12" t="s">
        <v>70</v>
      </c>
      <c r="B12">
        <v>1</v>
      </c>
    </row>
    <row r="13" spans="1:2">
      <c r="A13" t="s">
        <v>71</v>
      </c>
      <c r="B13">
        <v>1</v>
      </c>
    </row>
    <row r="14" spans="1:2">
      <c r="A14" t="s">
        <v>72</v>
      </c>
      <c r="B14">
        <v>1</v>
      </c>
    </row>
    <row r="15" spans="1:2">
      <c r="A15" t="s">
        <v>73</v>
      </c>
      <c r="B15">
        <v>1</v>
      </c>
    </row>
    <row r="16" spans="1:2">
      <c r="A16" t="s">
        <v>74</v>
      </c>
      <c r="B16">
        <v>1</v>
      </c>
    </row>
    <row r="17" spans="1:2">
      <c r="A17" t="s">
        <v>75</v>
      </c>
      <c r="B17">
        <v>1</v>
      </c>
    </row>
    <row r="18" spans="1:2">
      <c r="A18" t="s">
        <v>76</v>
      </c>
      <c r="B18">
        <v>1</v>
      </c>
    </row>
    <row r="19" spans="1:2">
      <c r="A19" t="s">
        <v>77</v>
      </c>
      <c r="B19">
        <v>1</v>
      </c>
    </row>
    <row r="20" spans="1:2">
      <c r="A20" t="s">
        <v>78</v>
      </c>
      <c r="B20">
        <v>1</v>
      </c>
    </row>
    <row r="21" spans="1:2">
      <c r="A21" t="s">
        <v>79</v>
      </c>
      <c r="B21">
        <v>1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Tabelle32"/>
  <dimension ref="A1:E21"/>
  <sheetViews>
    <sheetView workbookViewId="0">
      <selection activeCell="A4" sqref="A4"/>
    </sheetView>
  </sheetViews>
  <sheetFormatPr defaultColWidth="11.42578125" defaultRowHeight="15"/>
  <sheetData>
    <row r="1" spans="1:5">
      <c r="A1" t="s">
        <v>18</v>
      </c>
    </row>
    <row r="2" spans="1:5">
      <c r="A2" t="s">
        <v>19</v>
      </c>
    </row>
    <row r="3" spans="1:5">
      <c r="A3" t="s">
        <v>382</v>
      </c>
    </row>
    <row r="4" spans="1:5">
      <c r="B4" t="s">
        <v>80</v>
      </c>
      <c r="C4" t="s">
        <v>81</v>
      </c>
      <c r="D4" t="s">
        <v>82</v>
      </c>
      <c r="E4" t="s">
        <v>83</v>
      </c>
    </row>
    <row r="5" spans="1:5">
      <c r="A5" t="s">
        <v>28</v>
      </c>
      <c r="B5">
        <v>4</v>
      </c>
      <c r="C5">
        <v>1</v>
      </c>
      <c r="D5">
        <v>2</v>
      </c>
      <c r="E5">
        <v>3</v>
      </c>
    </row>
    <row r="6" spans="1:5">
      <c r="A6" t="s">
        <v>65</v>
      </c>
      <c r="B6">
        <v>1</v>
      </c>
    </row>
    <row r="7" spans="1:5">
      <c r="A7" t="s">
        <v>66</v>
      </c>
      <c r="C7">
        <v>1</v>
      </c>
    </row>
    <row r="8" spans="1:5">
      <c r="A8" t="s">
        <v>67</v>
      </c>
      <c r="D8">
        <v>1</v>
      </c>
    </row>
    <row r="9" spans="1:5">
      <c r="A9" t="s">
        <v>64</v>
      </c>
      <c r="E9">
        <v>1</v>
      </c>
    </row>
    <row r="10" spans="1:5">
      <c r="A10" t="s">
        <v>68</v>
      </c>
      <c r="B10">
        <v>1</v>
      </c>
    </row>
    <row r="11" spans="1:5">
      <c r="A11" t="s">
        <v>69</v>
      </c>
      <c r="C11">
        <v>1</v>
      </c>
    </row>
    <row r="12" spans="1:5">
      <c r="A12" t="s">
        <v>70</v>
      </c>
      <c r="D12">
        <v>1</v>
      </c>
    </row>
    <row r="13" spans="1:5">
      <c r="A13" t="s">
        <v>71</v>
      </c>
      <c r="E13">
        <v>1</v>
      </c>
    </row>
    <row r="14" spans="1:5">
      <c r="A14" t="s">
        <v>72</v>
      </c>
      <c r="B14">
        <v>1</v>
      </c>
    </row>
    <row r="15" spans="1:5">
      <c r="A15" t="s">
        <v>73</v>
      </c>
      <c r="C15">
        <v>1</v>
      </c>
    </row>
    <row r="16" spans="1:5">
      <c r="A16" t="s">
        <v>74</v>
      </c>
      <c r="D16">
        <v>1</v>
      </c>
    </row>
    <row r="17" spans="1:5">
      <c r="A17" t="s">
        <v>75</v>
      </c>
      <c r="E17">
        <v>1</v>
      </c>
    </row>
    <row r="18" spans="1:5">
      <c r="A18" t="s">
        <v>76</v>
      </c>
      <c r="B18">
        <v>1</v>
      </c>
    </row>
    <row r="19" spans="1:5">
      <c r="A19" t="s">
        <v>77</v>
      </c>
      <c r="C19">
        <v>1</v>
      </c>
    </row>
    <row r="20" spans="1:5">
      <c r="A20" t="s">
        <v>78</v>
      </c>
      <c r="D20">
        <v>1</v>
      </c>
    </row>
    <row r="21" spans="1:5">
      <c r="A21" t="s">
        <v>79</v>
      </c>
      <c r="E21">
        <v>1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Tabelle3">
    <tabColor theme="5" tint="0.79998168889431442"/>
  </sheetPr>
  <dimension ref="A1:AF908"/>
  <sheetViews>
    <sheetView zoomScale="104" zoomScaleNormal="85" workbookViewId="0">
      <pane ySplit="5" topLeftCell="A8" activePane="bottomLeft" state="frozen"/>
      <selection pane="bottomLeft" activeCell="O26" sqref="O26"/>
    </sheetView>
  </sheetViews>
  <sheetFormatPr defaultColWidth="11.42578125" defaultRowHeight="15"/>
  <cols>
    <col min="2" max="2" width="15" bestFit="1" customWidth="1"/>
    <col min="3" max="3" width="15.28515625" style="51" bestFit="1" customWidth="1"/>
    <col min="4" max="4" width="14.140625" style="51" bestFit="1" customWidth="1"/>
    <col min="5" max="5" width="16.7109375" style="51" bestFit="1" customWidth="1"/>
    <col min="6" max="6" width="17" style="51" customWidth="1"/>
    <col min="7" max="7" width="12.85546875" style="51" customWidth="1"/>
    <col min="8" max="8" width="16.140625" style="51" bestFit="1" customWidth="1"/>
    <col min="9" max="9" width="19.85546875" style="51" bestFit="1" customWidth="1"/>
    <col min="10" max="10" width="17.85546875" style="51" bestFit="1" customWidth="1"/>
  </cols>
  <sheetData>
    <row r="1" spans="1:32">
      <c r="A1" t="s">
        <v>366</v>
      </c>
    </row>
    <row r="2" spans="1:32">
      <c r="A2" t="s">
        <v>53</v>
      </c>
    </row>
    <row r="3" spans="1:32">
      <c r="A3" t="s">
        <v>360</v>
      </c>
    </row>
    <row r="5" spans="1:32">
      <c r="B5" s="31"/>
      <c r="C5" s="50" t="s">
        <v>479</v>
      </c>
      <c r="D5" s="50" t="s">
        <v>480</v>
      </c>
      <c r="E5" s="50" t="s">
        <v>481</v>
      </c>
      <c r="F5" s="50" t="s">
        <v>487</v>
      </c>
      <c r="G5" s="50" t="s">
        <v>486</v>
      </c>
      <c r="H5" s="50" t="s">
        <v>483</v>
      </c>
      <c r="I5" s="50" t="s">
        <v>484</v>
      </c>
      <c r="J5" s="50" t="s">
        <v>485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</row>
    <row r="6" spans="1:32" ht="15" customHeight="1">
      <c r="A6" t="s">
        <v>270</v>
      </c>
      <c r="B6" s="49" t="s">
        <v>479</v>
      </c>
      <c r="C6" s="50">
        <v>0</v>
      </c>
      <c r="D6" s="50">
        <v>59</v>
      </c>
      <c r="E6" s="50">
        <v>40.299999999999997</v>
      </c>
      <c r="F6" s="50">
        <v>70</v>
      </c>
      <c r="G6" s="50">
        <v>57</v>
      </c>
      <c r="H6" s="50">
        <v>47</v>
      </c>
      <c r="I6" s="50">
        <v>59.4</v>
      </c>
      <c r="J6" s="50">
        <v>56</v>
      </c>
    </row>
    <row r="7" spans="1:32" ht="15" customHeight="1">
      <c r="A7" t="s">
        <v>270</v>
      </c>
      <c r="B7" s="49" t="s">
        <v>480</v>
      </c>
      <c r="C7" s="50">
        <v>59</v>
      </c>
      <c r="D7" s="50">
        <v>0</v>
      </c>
      <c r="E7" s="50">
        <v>75.7</v>
      </c>
      <c r="F7" s="50">
        <v>81.900000000000006</v>
      </c>
      <c r="G7" s="50">
        <v>92.7</v>
      </c>
      <c r="H7" s="50">
        <v>62</v>
      </c>
      <c r="I7" s="50">
        <v>51.3</v>
      </c>
      <c r="J7" s="50">
        <v>40.9</v>
      </c>
    </row>
    <row r="8" spans="1:32" ht="15" customHeight="1">
      <c r="A8" t="s">
        <v>270</v>
      </c>
      <c r="B8" s="49" t="s">
        <v>481</v>
      </c>
      <c r="C8" s="50">
        <v>40.299999999999997</v>
      </c>
      <c r="D8" s="50">
        <v>75.7</v>
      </c>
      <c r="E8" s="50">
        <v>0</v>
      </c>
      <c r="F8" s="50">
        <v>85.3</v>
      </c>
      <c r="G8" s="50">
        <v>25.7</v>
      </c>
      <c r="H8" s="50">
        <v>44.5</v>
      </c>
      <c r="I8" s="50">
        <v>92.7</v>
      </c>
      <c r="J8" s="50">
        <v>68.2</v>
      </c>
    </row>
    <row r="9" spans="1:32" ht="15" customHeight="1">
      <c r="A9" t="s">
        <v>270</v>
      </c>
      <c r="B9" s="49" t="s">
        <v>487</v>
      </c>
      <c r="C9" s="50">
        <v>70</v>
      </c>
      <c r="D9" s="50">
        <v>81.900000000000006</v>
      </c>
      <c r="E9" s="50">
        <v>85.3</v>
      </c>
      <c r="F9" s="50">
        <v>0</v>
      </c>
      <c r="G9" s="50">
        <v>45</v>
      </c>
      <c r="H9" s="50">
        <v>21.6</v>
      </c>
      <c r="I9" s="50">
        <v>40.6</v>
      </c>
      <c r="J9" s="50">
        <v>42.1</v>
      </c>
    </row>
    <row r="10" spans="1:32" ht="15" customHeight="1">
      <c r="A10" t="s">
        <v>270</v>
      </c>
      <c r="B10" s="49" t="s">
        <v>486</v>
      </c>
      <c r="C10" s="50">
        <v>57</v>
      </c>
      <c r="D10" s="50">
        <v>92.7</v>
      </c>
      <c r="E10" s="50">
        <v>25.7</v>
      </c>
      <c r="F10" s="50">
        <v>45</v>
      </c>
      <c r="G10" s="50">
        <v>0</v>
      </c>
      <c r="H10" s="50">
        <v>58.7</v>
      </c>
      <c r="I10" s="50">
        <v>78.2</v>
      </c>
      <c r="J10" s="50">
        <v>67.3</v>
      </c>
    </row>
    <row r="11" spans="1:32" ht="15" customHeight="1">
      <c r="A11" t="s">
        <v>270</v>
      </c>
      <c r="B11" s="49" t="s">
        <v>483</v>
      </c>
      <c r="C11" s="50">
        <v>47</v>
      </c>
      <c r="D11" s="50">
        <v>62</v>
      </c>
      <c r="E11" s="50">
        <v>44.5</v>
      </c>
      <c r="F11" s="50">
        <v>21.6</v>
      </c>
      <c r="G11" s="50">
        <v>58.7</v>
      </c>
      <c r="H11" s="50">
        <v>0</v>
      </c>
      <c r="I11" s="50">
        <v>19.5</v>
      </c>
      <c r="J11" s="50">
        <v>19.7</v>
      </c>
    </row>
    <row r="12" spans="1:32" ht="15" customHeight="1">
      <c r="A12" t="s">
        <v>270</v>
      </c>
      <c r="B12" s="49" t="s">
        <v>484</v>
      </c>
      <c r="C12" s="50">
        <v>59.4</v>
      </c>
      <c r="D12" s="50">
        <v>51.3</v>
      </c>
      <c r="E12" s="50">
        <v>92.7</v>
      </c>
      <c r="F12" s="50">
        <v>40.6</v>
      </c>
      <c r="G12" s="50">
        <v>78.2</v>
      </c>
      <c r="H12" s="50">
        <v>19.5</v>
      </c>
      <c r="I12" s="50">
        <v>0</v>
      </c>
      <c r="J12" s="50">
        <v>24.5</v>
      </c>
    </row>
    <row r="13" spans="1:32" ht="15" customHeight="1">
      <c r="A13" t="s">
        <v>270</v>
      </c>
      <c r="B13" s="49" t="s">
        <v>485</v>
      </c>
      <c r="C13" s="50">
        <v>56</v>
      </c>
      <c r="D13" s="50">
        <v>40.9</v>
      </c>
      <c r="E13" s="50">
        <v>68.2</v>
      </c>
      <c r="F13" s="50">
        <v>42.1</v>
      </c>
      <c r="G13" s="50">
        <v>67.3</v>
      </c>
      <c r="H13" s="50">
        <v>19.7</v>
      </c>
      <c r="I13" s="50">
        <v>24.5</v>
      </c>
      <c r="J13" s="50">
        <v>0</v>
      </c>
    </row>
    <row r="14" spans="1:32" ht="15" customHeight="1">
      <c r="A14" t="s">
        <v>141</v>
      </c>
      <c r="B14" s="49" t="s">
        <v>479</v>
      </c>
      <c r="C14" s="50">
        <v>0</v>
      </c>
      <c r="D14" s="50">
        <v>59</v>
      </c>
      <c r="E14" s="50">
        <v>40.299999999999997</v>
      </c>
      <c r="F14" s="50">
        <v>70</v>
      </c>
      <c r="G14" s="50">
        <v>57</v>
      </c>
      <c r="H14" s="50">
        <v>47</v>
      </c>
      <c r="I14" s="50">
        <v>59.4</v>
      </c>
      <c r="J14" s="50">
        <v>56</v>
      </c>
    </row>
    <row r="15" spans="1:32" ht="15" customHeight="1">
      <c r="A15" t="s">
        <v>141</v>
      </c>
      <c r="B15" s="49" t="s">
        <v>480</v>
      </c>
      <c r="C15" s="50">
        <v>59</v>
      </c>
      <c r="D15" s="50">
        <v>0</v>
      </c>
      <c r="E15" s="50">
        <v>75.7</v>
      </c>
      <c r="F15" s="50">
        <v>81.900000000000006</v>
      </c>
      <c r="G15" s="50">
        <v>92.7</v>
      </c>
      <c r="H15" s="50">
        <v>62</v>
      </c>
      <c r="I15" s="50">
        <v>51.3</v>
      </c>
      <c r="J15" s="50">
        <v>40.9</v>
      </c>
    </row>
    <row r="16" spans="1:32" ht="15" customHeight="1">
      <c r="A16" t="s">
        <v>141</v>
      </c>
      <c r="B16" s="49" t="s">
        <v>481</v>
      </c>
      <c r="C16" s="50">
        <v>40.299999999999997</v>
      </c>
      <c r="D16" s="50">
        <v>75.7</v>
      </c>
      <c r="E16" s="50">
        <v>0</v>
      </c>
      <c r="F16" s="50">
        <v>85.3</v>
      </c>
      <c r="G16" s="50">
        <v>25.7</v>
      </c>
      <c r="H16" s="50">
        <v>44.5</v>
      </c>
      <c r="I16" s="50">
        <v>92.7</v>
      </c>
      <c r="J16" s="50">
        <v>68.2</v>
      </c>
    </row>
    <row r="17" spans="1:10">
      <c r="A17" t="s">
        <v>141</v>
      </c>
      <c r="B17" s="49" t="s">
        <v>487</v>
      </c>
      <c r="C17" s="50">
        <v>70</v>
      </c>
      <c r="D17" s="50">
        <v>81.900000000000006</v>
      </c>
      <c r="E17" s="50">
        <v>85.3</v>
      </c>
      <c r="F17" s="50">
        <v>0</v>
      </c>
      <c r="G17" s="50">
        <v>45</v>
      </c>
      <c r="H17" s="50">
        <v>21.6</v>
      </c>
      <c r="I17" s="50">
        <v>40.6</v>
      </c>
      <c r="J17" s="50">
        <v>42.1</v>
      </c>
    </row>
    <row r="18" spans="1:10" ht="15" customHeight="1">
      <c r="A18" t="s">
        <v>141</v>
      </c>
      <c r="B18" s="49" t="s">
        <v>486</v>
      </c>
      <c r="C18" s="50">
        <v>57</v>
      </c>
      <c r="D18" s="50">
        <v>92.7</v>
      </c>
      <c r="E18" s="50">
        <v>25.7</v>
      </c>
      <c r="F18" s="50">
        <v>45</v>
      </c>
      <c r="G18" s="50">
        <v>0</v>
      </c>
      <c r="H18" s="50">
        <v>58.7</v>
      </c>
      <c r="I18" s="50">
        <v>78.2</v>
      </c>
      <c r="J18" s="50">
        <v>67.3</v>
      </c>
    </row>
    <row r="19" spans="1:10" ht="15" customHeight="1">
      <c r="A19" t="s">
        <v>141</v>
      </c>
      <c r="B19" s="49" t="s">
        <v>483</v>
      </c>
      <c r="C19" s="50">
        <v>47</v>
      </c>
      <c r="D19" s="50">
        <v>62</v>
      </c>
      <c r="E19" s="50">
        <v>44.5</v>
      </c>
      <c r="F19" s="50">
        <v>21.6</v>
      </c>
      <c r="G19" s="50">
        <v>58.7</v>
      </c>
      <c r="H19" s="50">
        <v>0</v>
      </c>
      <c r="I19" s="50">
        <v>19.5</v>
      </c>
      <c r="J19" s="50">
        <v>19.7</v>
      </c>
    </row>
    <row r="20" spans="1:10" ht="15" customHeight="1">
      <c r="A20" t="s">
        <v>141</v>
      </c>
      <c r="B20" s="49" t="s">
        <v>484</v>
      </c>
      <c r="C20" s="50">
        <v>59.4</v>
      </c>
      <c r="D20" s="50">
        <v>51.3</v>
      </c>
      <c r="E20" s="50">
        <v>92.7</v>
      </c>
      <c r="F20" s="50">
        <v>40.6</v>
      </c>
      <c r="G20" s="50">
        <v>78.2</v>
      </c>
      <c r="H20" s="50">
        <v>19.5</v>
      </c>
      <c r="I20" s="50">
        <v>0</v>
      </c>
      <c r="J20" s="50">
        <v>24.5</v>
      </c>
    </row>
    <row r="21" spans="1:10" ht="15" customHeight="1">
      <c r="A21" t="s">
        <v>141</v>
      </c>
      <c r="B21" s="49" t="s">
        <v>485</v>
      </c>
      <c r="C21" s="50">
        <v>56</v>
      </c>
      <c r="D21" s="50">
        <v>40.9</v>
      </c>
      <c r="E21" s="50">
        <v>68.2</v>
      </c>
      <c r="F21" s="50">
        <v>42.1</v>
      </c>
      <c r="G21" s="50">
        <v>67.3</v>
      </c>
      <c r="H21" s="50">
        <v>19.7</v>
      </c>
      <c r="I21" s="50">
        <v>24.5</v>
      </c>
      <c r="J21" s="50">
        <v>0</v>
      </c>
    </row>
    <row r="22" spans="1:10" ht="15" customHeight="1">
      <c r="A22" t="s">
        <v>313</v>
      </c>
      <c r="B22" s="49" t="s">
        <v>479</v>
      </c>
      <c r="C22" s="50">
        <v>0</v>
      </c>
      <c r="D22" s="50">
        <v>59</v>
      </c>
      <c r="E22" s="50">
        <v>40.299999999999997</v>
      </c>
      <c r="F22" s="50">
        <v>70</v>
      </c>
      <c r="G22" s="50">
        <v>57</v>
      </c>
      <c r="H22" s="50">
        <v>47</v>
      </c>
      <c r="I22" s="50">
        <v>59.4</v>
      </c>
      <c r="J22" s="50">
        <v>56</v>
      </c>
    </row>
    <row r="23" spans="1:10" ht="15" customHeight="1">
      <c r="A23" t="s">
        <v>313</v>
      </c>
      <c r="B23" s="49" t="s">
        <v>480</v>
      </c>
      <c r="C23" s="50">
        <v>59</v>
      </c>
      <c r="D23" s="50">
        <v>0</v>
      </c>
      <c r="E23" s="50">
        <v>75.7</v>
      </c>
      <c r="F23" s="50">
        <v>81.900000000000006</v>
      </c>
      <c r="G23" s="50">
        <v>92.7</v>
      </c>
      <c r="H23" s="50">
        <v>62</v>
      </c>
      <c r="I23" s="50">
        <v>51.3</v>
      </c>
      <c r="J23" s="50">
        <v>40.9</v>
      </c>
    </row>
    <row r="24" spans="1:10" ht="15" customHeight="1">
      <c r="A24" t="s">
        <v>313</v>
      </c>
      <c r="B24" s="49" t="s">
        <v>481</v>
      </c>
      <c r="C24" s="50">
        <v>40.299999999999997</v>
      </c>
      <c r="D24" s="50">
        <v>75.7</v>
      </c>
      <c r="E24" s="50">
        <v>0</v>
      </c>
      <c r="F24" s="50">
        <v>85.3</v>
      </c>
      <c r="G24" s="50">
        <v>25.7</v>
      </c>
      <c r="H24" s="50">
        <v>44.5</v>
      </c>
      <c r="I24" s="50">
        <v>92.7</v>
      </c>
      <c r="J24" s="50">
        <v>68.2</v>
      </c>
    </row>
    <row r="25" spans="1:10" ht="15" customHeight="1">
      <c r="A25" t="s">
        <v>313</v>
      </c>
      <c r="B25" s="49" t="s">
        <v>487</v>
      </c>
      <c r="C25" s="50">
        <v>70</v>
      </c>
      <c r="D25" s="50">
        <v>81.900000000000006</v>
      </c>
      <c r="E25" s="50">
        <v>85.3</v>
      </c>
      <c r="F25" s="50">
        <v>0</v>
      </c>
      <c r="G25" s="50">
        <v>45</v>
      </c>
      <c r="H25" s="50">
        <v>21.6</v>
      </c>
      <c r="I25" s="50">
        <v>40.6</v>
      </c>
      <c r="J25" s="50">
        <v>42.1</v>
      </c>
    </row>
    <row r="26" spans="1:10" ht="15" customHeight="1">
      <c r="A26" t="s">
        <v>313</v>
      </c>
      <c r="B26" s="49" t="s">
        <v>486</v>
      </c>
      <c r="C26" s="50">
        <v>57</v>
      </c>
      <c r="D26" s="50">
        <v>92.7</v>
      </c>
      <c r="E26" s="50">
        <v>25.7</v>
      </c>
      <c r="F26" s="50">
        <v>45</v>
      </c>
      <c r="G26" s="50">
        <v>0</v>
      </c>
      <c r="H26" s="50">
        <v>58.7</v>
      </c>
      <c r="I26" s="50">
        <v>78.2</v>
      </c>
      <c r="J26" s="50">
        <v>67.3</v>
      </c>
    </row>
    <row r="27" spans="1:10" ht="15" customHeight="1">
      <c r="A27" t="s">
        <v>313</v>
      </c>
      <c r="B27" s="49" t="s">
        <v>483</v>
      </c>
      <c r="C27" s="50">
        <v>47</v>
      </c>
      <c r="D27" s="50">
        <v>62</v>
      </c>
      <c r="E27" s="50">
        <v>44.5</v>
      </c>
      <c r="F27" s="50">
        <v>21.6</v>
      </c>
      <c r="G27" s="50">
        <v>58.7</v>
      </c>
      <c r="H27" s="50">
        <v>0</v>
      </c>
      <c r="I27" s="50">
        <v>19.5</v>
      </c>
      <c r="J27" s="50">
        <v>19.7</v>
      </c>
    </row>
    <row r="28" spans="1:10" ht="15" customHeight="1">
      <c r="A28" t="s">
        <v>313</v>
      </c>
      <c r="B28" s="49" t="s">
        <v>484</v>
      </c>
      <c r="C28" s="50">
        <v>59.4</v>
      </c>
      <c r="D28" s="50">
        <v>51.3</v>
      </c>
      <c r="E28" s="50">
        <v>92.7</v>
      </c>
      <c r="F28" s="50">
        <v>40.6</v>
      </c>
      <c r="G28" s="50">
        <v>78.2</v>
      </c>
      <c r="H28" s="50">
        <v>19.5</v>
      </c>
      <c r="I28" s="50">
        <v>0</v>
      </c>
      <c r="J28" s="50">
        <v>24.5</v>
      </c>
    </row>
    <row r="29" spans="1:10" ht="15" customHeight="1">
      <c r="A29" t="s">
        <v>313</v>
      </c>
      <c r="B29" s="49" t="s">
        <v>485</v>
      </c>
      <c r="C29" s="50">
        <v>56</v>
      </c>
      <c r="D29" s="50">
        <v>40.9</v>
      </c>
      <c r="E29" s="50">
        <v>68.2</v>
      </c>
      <c r="F29" s="50">
        <v>42.1</v>
      </c>
      <c r="G29" s="50">
        <v>67.3</v>
      </c>
      <c r="H29" s="50">
        <v>19.7</v>
      </c>
      <c r="I29" s="50">
        <v>24.5</v>
      </c>
      <c r="J29" s="50">
        <v>0</v>
      </c>
    </row>
    <row r="30" spans="1:10" ht="15" customHeight="1">
      <c r="A30" t="s">
        <v>312</v>
      </c>
      <c r="B30" s="49" t="s">
        <v>479</v>
      </c>
      <c r="C30" s="50">
        <v>0</v>
      </c>
      <c r="D30" s="50">
        <v>59</v>
      </c>
      <c r="E30" s="50">
        <v>40.299999999999997</v>
      </c>
      <c r="F30" s="50">
        <v>70</v>
      </c>
      <c r="G30" s="50">
        <v>57</v>
      </c>
      <c r="H30" s="50">
        <v>47</v>
      </c>
      <c r="I30" s="50">
        <v>59.4</v>
      </c>
      <c r="J30" s="50">
        <v>56</v>
      </c>
    </row>
    <row r="31" spans="1:10" ht="15" customHeight="1">
      <c r="A31" t="s">
        <v>312</v>
      </c>
      <c r="B31" s="49" t="s">
        <v>480</v>
      </c>
      <c r="C31" s="50">
        <v>59</v>
      </c>
      <c r="D31" s="50">
        <v>0</v>
      </c>
      <c r="E31" s="50">
        <v>75.7</v>
      </c>
      <c r="F31" s="50">
        <v>81.900000000000006</v>
      </c>
      <c r="G31" s="50">
        <v>92.7</v>
      </c>
      <c r="H31" s="50">
        <v>62</v>
      </c>
      <c r="I31" s="50">
        <v>51.3</v>
      </c>
      <c r="J31" s="50">
        <v>40.9</v>
      </c>
    </row>
    <row r="32" spans="1:10" ht="15" customHeight="1">
      <c r="A32" t="s">
        <v>312</v>
      </c>
      <c r="B32" s="49" t="s">
        <v>481</v>
      </c>
      <c r="C32" s="50">
        <v>40.299999999999997</v>
      </c>
      <c r="D32" s="50">
        <v>75.7</v>
      </c>
      <c r="E32" s="50">
        <v>0</v>
      </c>
      <c r="F32" s="50">
        <v>85.3</v>
      </c>
      <c r="G32" s="50">
        <v>25.7</v>
      </c>
      <c r="H32" s="50">
        <v>44.5</v>
      </c>
      <c r="I32" s="50">
        <v>92.7</v>
      </c>
      <c r="J32" s="50">
        <v>68.2</v>
      </c>
    </row>
    <row r="33" spans="1:10" ht="15" customHeight="1">
      <c r="A33" t="s">
        <v>312</v>
      </c>
      <c r="B33" s="49" t="s">
        <v>487</v>
      </c>
      <c r="C33" s="50">
        <v>70</v>
      </c>
      <c r="D33" s="50">
        <v>81.900000000000006</v>
      </c>
      <c r="E33" s="50">
        <v>85.3</v>
      </c>
      <c r="F33" s="50">
        <v>0</v>
      </c>
      <c r="G33" s="50">
        <v>45</v>
      </c>
      <c r="H33" s="50">
        <v>21.6</v>
      </c>
      <c r="I33" s="50">
        <v>40.6</v>
      </c>
      <c r="J33" s="50">
        <v>42.1</v>
      </c>
    </row>
    <row r="34" spans="1:10" ht="15" customHeight="1">
      <c r="A34" t="s">
        <v>312</v>
      </c>
      <c r="B34" s="49" t="s">
        <v>486</v>
      </c>
      <c r="C34" s="50">
        <v>57</v>
      </c>
      <c r="D34" s="50">
        <v>92.7</v>
      </c>
      <c r="E34" s="50">
        <v>25.7</v>
      </c>
      <c r="F34" s="50">
        <v>45</v>
      </c>
      <c r="G34" s="50">
        <v>0</v>
      </c>
      <c r="H34" s="50">
        <v>58.7</v>
      </c>
      <c r="I34" s="50">
        <v>78.2</v>
      </c>
      <c r="J34" s="50">
        <v>67.3</v>
      </c>
    </row>
    <row r="35" spans="1:10" ht="15" customHeight="1">
      <c r="A35" t="s">
        <v>312</v>
      </c>
      <c r="B35" s="49" t="s">
        <v>483</v>
      </c>
      <c r="C35" s="50">
        <v>47</v>
      </c>
      <c r="D35" s="50">
        <v>62</v>
      </c>
      <c r="E35" s="50">
        <v>44.5</v>
      </c>
      <c r="F35" s="50">
        <v>21.6</v>
      </c>
      <c r="G35" s="50">
        <v>58.7</v>
      </c>
      <c r="H35" s="50">
        <v>0</v>
      </c>
      <c r="I35" s="50">
        <v>19.5</v>
      </c>
      <c r="J35" s="50">
        <v>19.7</v>
      </c>
    </row>
    <row r="36" spans="1:10" ht="15" customHeight="1">
      <c r="A36" t="s">
        <v>312</v>
      </c>
      <c r="B36" s="49" t="s">
        <v>484</v>
      </c>
      <c r="C36" s="50">
        <v>59.4</v>
      </c>
      <c r="D36" s="50">
        <v>51.3</v>
      </c>
      <c r="E36" s="50">
        <v>92.7</v>
      </c>
      <c r="F36" s="50">
        <v>40.6</v>
      </c>
      <c r="G36" s="50">
        <v>78.2</v>
      </c>
      <c r="H36" s="50">
        <v>19.5</v>
      </c>
      <c r="I36" s="50">
        <v>0</v>
      </c>
      <c r="J36" s="50">
        <v>24.5</v>
      </c>
    </row>
    <row r="37" spans="1:10" ht="15" customHeight="1">
      <c r="A37" t="s">
        <v>312</v>
      </c>
      <c r="B37" s="49" t="s">
        <v>485</v>
      </c>
      <c r="C37" s="50">
        <v>56</v>
      </c>
      <c r="D37" s="50">
        <v>40.9</v>
      </c>
      <c r="E37" s="50">
        <v>68.2</v>
      </c>
      <c r="F37" s="50">
        <v>42.1</v>
      </c>
      <c r="G37" s="50">
        <v>67.3</v>
      </c>
      <c r="H37" s="50">
        <v>19.7</v>
      </c>
      <c r="I37" s="50">
        <v>24.5</v>
      </c>
      <c r="J37" s="50">
        <v>0</v>
      </c>
    </row>
    <row r="38" spans="1:10" ht="15" customHeight="1">
      <c r="A38" t="s">
        <v>138</v>
      </c>
      <c r="B38" s="49" t="s">
        <v>479</v>
      </c>
      <c r="C38" s="50">
        <v>0</v>
      </c>
      <c r="D38" s="50">
        <v>59</v>
      </c>
      <c r="E38" s="50">
        <v>40.299999999999997</v>
      </c>
      <c r="F38" s="50">
        <v>70</v>
      </c>
      <c r="G38" s="50">
        <v>57</v>
      </c>
      <c r="H38" s="50">
        <v>47</v>
      </c>
      <c r="I38" s="50">
        <v>59.4</v>
      </c>
      <c r="J38" s="50">
        <v>56</v>
      </c>
    </row>
    <row r="39" spans="1:10" ht="15" customHeight="1">
      <c r="A39" t="s">
        <v>138</v>
      </c>
      <c r="B39" s="49" t="s">
        <v>480</v>
      </c>
      <c r="C39" s="50">
        <v>59</v>
      </c>
      <c r="D39" s="50">
        <v>0</v>
      </c>
      <c r="E39" s="50">
        <v>75.7</v>
      </c>
      <c r="F39" s="50">
        <v>81.900000000000006</v>
      </c>
      <c r="G39" s="50">
        <v>92.7</v>
      </c>
      <c r="H39" s="50">
        <v>62</v>
      </c>
      <c r="I39" s="50">
        <v>51.3</v>
      </c>
      <c r="J39" s="50">
        <v>40.9</v>
      </c>
    </row>
    <row r="40" spans="1:10" ht="15" customHeight="1">
      <c r="A40" t="s">
        <v>138</v>
      </c>
      <c r="B40" s="49" t="s">
        <v>481</v>
      </c>
      <c r="C40" s="50">
        <v>40.299999999999997</v>
      </c>
      <c r="D40" s="50">
        <v>75.7</v>
      </c>
      <c r="E40" s="50">
        <v>0</v>
      </c>
      <c r="F40" s="50">
        <v>85.3</v>
      </c>
      <c r="G40" s="50">
        <v>25.7</v>
      </c>
      <c r="H40" s="50">
        <v>44.5</v>
      </c>
      <c r="I40" s="50">
        <v>92.7</v>
      </c>
      <c r="J40" s="50">
        <v>68.2</v>
      </c>
    </row>
    <row r="41" spans="1:10" ht="15" customHeight="1">
      <c r="A41" t="s">
        <v>138</v>
      </c>
      <c r="B41" s="49" t="s">
        <v>487</v>
      </c>
      <c r="C41" s="50">
        <v>70</v>
      </c>
      <c r="D41" s="50">
        <v>81.900000000000006</v>
      </c>
      <c r="E41" s="50">
        <v>85.3</v>
      </c>
      <c r="F41" s="50">
        <v>0</v>
      </c>
      <c r="G41" s="50">
        <v>45</v>
      </c>
      <c r="H41" s="50">
        <v>21.6</v>
      </c>
      <c r="I41" s="50">
        <v>40.6</v>
      </c>
      <c r="J41" s="50">
        <v>42.1</v>
      </c>
    </row>
    <row r="42" spans="1:10" ht="15" customHeight="1">
      <c r="A42" t="s">
        <v>138</v>
      </c>
      <c r="B42" s="49" t="s">
        <v>486</v>
      </c>
      <c r="C42" s="50">
        <v>57</v>
      </c>
      <c r="D42" s="50">
        <v>92.7</v>
      </c>
      <c r="E42" s="50">
        <v>25.7</v>
      </c>
      <c r="F42" s="50">
        <v>45</v>
      </c>
      <c r="G42" s="50">
        <v>0</v>
      </c>
      <c r="H42" s="50">
        <v>58.7</v>
      </c>
      <c r="I42" s="50">
        <v>78.2</v>
      </c>
      <c r="J42" s="50">
        <v>67.3</v>
      </c>
    </row>
    <row r="43" spans="1:10" ht="15" customHeight="1">
      <c r="A43" t="s">
        <v>138</v>
      </c>
      <c r="B43" s="49" t="s">
        <v>483</v>
      </c>
      <c r="C43" s="50">
        <v>47</v>
      </c>
      <c r="D43" s="50">
        <v>62</v>
      </c>
      <c r="E43" s="50">
        <v>44.5</v>
      </c>
      <c r="F43" s="50">
        <v>21.6</v>
      </c>
      <c r="G43" s="50">
        <v>58.7</v>
      </c>
      <c r="H43" s="50">
        <v>0</v>
      </c>
      <c r="I43" s="50">
        <v>19.5</v>
      </c>
      <c r="J43" s="50">
        <v>19.7</v>
      </c>
    </row>
    <row r="44" spans="1:10">
      <c r="A44" t="s">
        <v>138</v>
      </c>
      <c r="B44" s="49" t="s">
        <v>484</v>
      </c>
      <c r="C44" s="50">
        <v>59.4</v>
      </c>
      <c r="D44" s="50">
        <v>51.3</v>
      </c>
      <c r="E44" s="50">
        <v>92.7</v>
      </c>
      <c r="F44" s="50">
        <v>40.6</v>
      </c>
      <c r="G44" s="50">
        <v>78.2</v>
      </c>
      <c r="H44" s="50">
        <v>19.5</v>
      </c>
      <c r="I44" s="50">
        <v>0</v>
      </c>
      <c r="J44" s="50">
        <v>24.5</v>
      </c>
    </row>
    <row r="45" spans="1:10" ht="15" customHeight="1">
      <c r="A45" t="s">
        <v>138</v>
      </c>
      <c r="B45" s="49" t="s">
        <v>485</v>
      </c>
      <c r="C45" s="50">
        <v>56</v>
      </c>
      <c r="D45" s="50">
        <v>40.9</v>
      </c>
      <c r="E45" s="50">
        <v>68.2</v>
      </c>
      <c r="F45" s="50">
        <v>42.1</v>
      </c>
      <c r="G45" s="50">
        <v>67.3</v>
      </c>
      <c r="H45" s="50">
        <v>19.7</v>
      </c>
      <c r="I45" s="50">
        <v>24.5</v>
      </c>
      <c r="J45" s="50">
        <v>0</v>
      </c>
    </row>
    <row r="46" spans="1:10" ht="15" customHeight="1">
      <c r="A46" t="s">
        <v>24</v>
      </c>
      <c r="B46" s="49" t="s">
        <v>479</v>
      </c>
      <c r="C46" s="50">
        <v>0</v>
      </c>
      <c r="D46" s="50">
        <v>0</v>
      </c>
      <c r="E46" s="50">
        <v>0</v>
      </c>
      <c r="F46" s="50">
        <v>0</v>
      </c>
      <c r="G46" s="50">
        <v>32.6</v>
      </c>
      <c r="H46" s="50">
        <v>0</v>
      </c>
      <c r="I46" s="50">
        <v>0</v>
      </c>
      <c r="J46" s="50">
        <v>0</v>
      </c>
    </row>
    <row r="47" spans="1:10" ht="15" customHeight="1">
      <c r="A47" t="s">
        <v>24</v>
      </c>
      <c r="B47" s="49" t="s">
        <v>480</v>
      </c>
      <c r="C47" s="50">
        <v>0</v>
      </c>
      <c r="D47" s="50">
        <v>0</v>
      </c>
      <c r="E47" s="50">
        <v>0</v>
      </c>
      <c r="F47" s="50">
        <v>0</v>
      </c>
      <c r="G47" s="50">
        <v>0</v>
      </c>
      <c r="H47" s="50">
        <v>0</v>
      </c>
      <c r="I47" s="50">
        <v>0</v>
      </c>
      <c r="J47" s="50">
        <v>31.5</v>
      </c>
    </row>
    <row r="48" spans="1:10" ht="15" customHeight="1">
      <c r="A48" t="s">
        <v>24</v>
      </c>
      <c r="B48" s="49" t="s">
        <v>481</v>
      </c>
      <c r="C48" s="50">
        <v>0</v>
      </c>
      <c r="D48" s="50">
        <v>0</v>
      </c>
      <c r="E48" s="50">
        <v>0</v>
      </c>
      <c r="F48" s="50">
        <v>0</v>
      </c>
      <c r="G48" s="50">
        <v>24.1</v>
      </c>
      <c r="H48" s="50">
        <v>0</v>
      </c>
      <c r="I48" s="50">
        <v>0</v>
      </c>
      <c r="J48" s="50">
        <v>0</v>
      </c>
    </row>
    <row r="49" spans="1:10" ht="15" customHeight="1">
      <c r="A49" t="s">
        <v>24</v>
      </c>
      <c r="B49" s="49" t="s">
        <v>487</v>
      </c>
      <c r="C49" s="50">
        <v>0</v>
      </c>
      <c r="D49" s="50">
        <v>0</v>
      </c>
      <c r="E49" s="50">
        <v>0</v>
      </c>
      <c r="F49" s="50">
        <v>0</v>
      </c>
      <c r="G49" s="50">
        <v>33.799999999999997</v>
      </c>
      <c r="H49" s="50">
        <v>16</v>
      </c>
      <c r="I49" s="50">
        <v>0</v>
      </c>
      <c r="J49" s="50">
        <v>0</v>
      </c>
    </row>
    <row r="50" spans="1:10" ht="15" customHeight="1">
      <c r="A50" t="s">
        <v>24</v>
      </c>
      <c r="B50" s="49" t="s">
        <v>486</v>
      </c>
      <c r="C50" s="50">
        <v>32.6</v>
      </c>
      <c r="D50" s="50">
        <v>0</v>
      </c>
      <c r="E50" s="50">
        <v>24.1</v>
      </c>
      <c r="F50" s="50">
        <v>33.799999999999997</v>
      </c>
      <c r="G50" s="50">
        <v>0</v>
      </c>
      <c r="H50" s="50">
        <v>0</v>
      </c>
      <c r="I50" s="50">
        <v>0</v>
      </c>
      <c r="J50" s="50">
        <v>0</v>
      </c>
    </row>
    <row r="51" spans="1:10" ht="15" customHeight="1">
      <c r="A51" t="s">
        <v>24</v>
      </c>
      <c r="B51" s="49" t="s">
        <v>483</v>
      </c>
      <c r="C51" s="50">
        <v>0</v>
      </c>
      <c r="D51" s="50">
        <v>0</v>
      </c>
      <c r="E51" s="50">
        <v>0</v>
      </c>
      <c r="F51" s="50">
        <v>16</v>
      </c>
      <c r="G51" s="50">
        <v>0</v>
      </c>
      <c r="H51" s="50">
        <v>0</v>
      </c>
      <c r="I51" s="50">
        <v>15.1</v>
      </c>
      <c r="J51" s="50">
        <v>18.7</v>
      </c>
    </row>
    <row r="52" spans="1:10" ht="15" customHeight="1">
      <c r="A52" t="s">
        <v>24</v>
      </c>
      <c r="B52" s="49" t="s">
        <v>484</v>
      </c>
      <c r="C52" s="50">
        <v>0</v>
      </c>
      <c r="D52" s="50">
        <v>0</v>
      </c>
      <c r="E52" s="50">
        <v>0</v>
      </c>
      <c r="F52" s="50">
        <v>0</v>
      </c>
      <c r="G52" s="50">
        <v>0</v>
      </c>
      <c r="H52" s="50">
        <v>15.1</v>
      </c>
      <c r="I52" s="50">
        <v>0</v>
      </c>
      <c r="J52" s="50">
        <v>8.8800000000000008</v>
      </c>
    </row>
    <row r="53" spans="1:10" ht="15" customHeight="1">
      <c r="A53" t="s">
        <v>24</v>
      </c>
      <c r="B53" s="49" t="s">
        <v>485</v>
      </c>
      <c r="C53" s="50">
        <v>0</v>
      </c>
      <c r="D53" s="50">
        <v>31.5</v>
      </c>
      <c r="E53" s="50">
        <v>0</v>
      </c>
      <c r="F53" s="50">
        <v>0</v>
      </c>
      <c r="G53" s="50">
        <v>0</v>
      </c>
      <c r="H53" s="50">
        <v>18.7</v>
      </c>
      <c r="I53" s="50">
        <v>8.8800000000000008</v>
      </c>
      <c r="J53" s="50">
        <v>0</v>
      </c>
    </row>
    <row r="54" spans="1:10" ht="15" customHeight="1">
      <c r="B54" s="17"/>
    </row>
    <row r="55" spans="1:10" ht="15" customHeight="1">
      <c r="B55" s="17"/>
    </row>
    <row r="56" spans="1:10" ht="15" customHeight="1">
      <c r="B56" s="17"/>
    </row>
    <row r="57" spans="1:10" ht="15" customHeight="1">
      <c r="B57" s="17"/>
    </row>
    <row r="58" spans="1:10" ht="15" customHeight="1">
      <c r="B58" s="17"/>
    </row>
    <row r="59" spans="1:10" ht="15" customHeight="1">
      <c r="B59" s="17"/>
    </row>
    <row r="60" spans="1:10" ht="15" customHeight="1">
      <c r="B60" s="17"/>
    </row>
    <row r="61" spans="1:10" ht="15" customHeight="1">
      <c r="B61" s="17"/>
    </row>
    <row r="62" spans="1:10" ht="15" customHeight="1"/>
    <row r="63" spans="1:10" ht="15" customHeight="1">
      <c r="B63" s="17"/>
    </row>
    <row r="64" spans="1:10" ht="15" customHeight="1">
      <c r="B64" s="17"/>
    </row>
    <row r="65" spans="2:2" ht="15" customHeight="1">
      <c r="B65" s="17"/>
    </row>
    <row r="66" spans="2:2" ht="15" customHeight="1">
      <c r="B66" s="17"/>
    </row>
    <row r="67" spans="2:2" ht="15" customHeight="1">
      <c r="B67" s="17"/>
    </row>
    <row r="68" spans="2:2" ht="15" customHeight="1">
      <c r="B68" s="17"/>
    </row>
    <row r="69" spans="2:2" ht="15" customHeight="1">
      <c r="B69" s="17"/>
    </row>
    <row r="70" spans="2:2" ht="15" customHeight="1">
      <c r="B70" s="17"/>
    </row>
    <row r="71" spans="2:2" ht="15" customHeight="1">
      <c r="B71" s="17"/>
    </row>
    <row r="72" spans="2:2" ht="15" customHeight="1">
      <c r="B72" s="17"/>
    </row>
    <row r="73" spans="2:2">
      <c r="B73" s="17"/>
    </row>
    <row r="74" spans="2:2" ht="15" customHeight="1">
      <c r="B74" s="17"/>
    </row>
    <row r="75" spans="2:2" ht="15" customHeight="1">
      <c r="B75" s="17"/>
    </row>
    <row r="76" spans="2:2" ht="15" customHeight="1">
      <c r="B76" s="17"/>
    </row>
    <row r="77" spans="2:2" ht="15" customHeight="1">
      <c r="B77" s="17"/>
    </row>
    <row r="78" spans="2:2" ht="15" customHeight="1">
      <c r="B78" s="17"/>
    </row>
    <row r="79" spans="2:2" ht="15" customHeight="1">
      <c r="B79" s="17"/>
    </row>
    <row r="80" spans="2:2" ht="15" customHeight="1">
      <c r="B80" s="17"/>
    </row>
    <row r="81" spans="2:2" ht="15" customHeight="1">
      <c r="B81" s="17"/>
    </row>
    <row r="82" spans="2:2" ht="15" customHeight="1">
      <c r="B82" s="17"/>
    </row>
    <row r="83" spans="2:2" ht="15" customHeight="1">
      <c r="B83" s="17"/>
    </row>
    <row r="84" spans="2:2" ht="15" customHeight="1">
      <c r="B84" s="17"/>
    </row>
    <row r="85" spans="2:2" ht="15" customHeight="1">
      <c r="B85" s="17"/>
    </row>
    <row r="86" spans="2:2" ht="15" customHeight="1">
      <c r="B86" s="17"/>
    </row>
    <row r="87" spans="2:2" ht="15" customHeight="1">
      <c r="B87" s="17"/>
    </row>
    <row r="88" spans="2:2" ht="15" customHeight="1">
      <c r="B88" s="17"/>
    </row>
    <row r="89" spans="2:2" ht="15" customHeight="1">
      <c r="B89" s="17"/>
    </row>
    <row r="90" spans="2:2" ht="15" customHeight="1">
      <c r="B90" s="17"/>
    </row>
    <row r="91" spans="2:2" ht="15" customHeight="1">
      <c r="B91" s="17"/>
    </row>
    <row r="92" spans="2:2" ht="15" customHeight="1"/>
    <row r="93" spans="2:2" ht="15" customHeight="1">
      <c r="B93" s="17"/>
    </row>
    <row r="94" spans="2:2" ht="15" customHeight="1">
      <c r="B94" s="17"/>
    </row>
    <row r="95" spans="2:2" ht="15" customHeight="1">
      <c r="B95" s="17"/>
    </row>
    <row r="96" spans="2:2" ht="15" customHeight="1">
      <c r="B96" s="17"/>
    </row>
    <row r="97" spans="2:2" ht="15" customHeight="1">
      <c r="B97" s="17"/>
    </row>
    <row r="98" spans="2:2" ht="15" customHeight="1">
      <c r="B98" s="17"/>
    </row>
    <row r="99" spans="2:2" ht="15" customHeight="1">
      <c r="B99" s="17"/>
    </row>
    <row r="100" spans="2:2" ht="15" customHeight="1">
      <c r="B100" s="17"/>
    </row>
    <row r="101" spans="2:2" ht="15" customHeight="1">
      <c r="B101" s="17"/>
    </row>
    <row r="102" spans="2:2">
      <c r="B102" s="17"/>
    </row>
    <row r="103" spans="2:2" ht="15" customHeight="1">
      <c r="B103" s="17"/>
    </row>
    <row r="104" spans="2:2" ht="15" customHeight="1">
      <c r="B104" s="17"/>
    </row>
    <row r="105" spans="2:2" ht="15" customHeight="1">
      <c r="B105" s="17"/>
    </row>
    <row r="106" spans="2:2" ht="15" customHeight="1">
      <c r="B106" s="17"/>
    </row>
    <row r="107" spans="2:2" ht="15" customHeight="1">
      <c r="B107" s="17"/>
    </row>
    <row r="108" spans="2:2" ht="15" customHeight="1">
      <c r="B108" s="17"/>
    </row>
    <row r="109" spans="2:2" ht="15" customHeight="1">
      <c r="B109" s="17"/>
    </row>
    <row r="110" spans="2:2" ht="15" customHeight="1">
      <c r="B110" s="17"/>
    </row>
    <row r="111" spans="2:2" ht="15" customHeight="1">
      <c r="B111" s="17"/>
    </row>
    <row r="112" spans="2:2" ht="15" customHeight="1">
      <c r="B112" s="17"/>
    </row>
    <row r="113" spans="2:2" ht="15" customHeight="1">
      <c r="B113" s="17"/>
    </row>
    <row r="114" spans="2:2" ht="15" customHeight="1">
      <c r="B114" s="17"/>
    </row>
    <row r="115" spans="2:2" ht="15" customHeight="1">
      <c r="B115" s="17"/>
    </row>
    <row r="116" spans="2:2" ht="15" customHeight="1">
      <c r="B116" s="17"/>
    </row>
    <row r="117" spans="2:2" ht="15" customHeight="1">
      <c r="B117" s="17"/>
    </row>
    <row r="118" spans="2:2" ht="15" customHeight="1">
      <c r="B118" s="17"/>
    </row>
    <row r="119" spans="2:2" ht="15" customHeight="1">
      <c r="B119" s="17"/>
    </row>
    <row r="120" spans="2:2" ht="15" customHeight="1">
      <c r="B120" s="17"/>
    </row>
    <row r="121" spans="2:2" ht="15" customHeight="1">
      <c r="B121" s="17"/>
    </row>
    <row r="122" spans="2:2" ht="15" customHeight="1"/>
    <row r="123" spans="2:2" ht="15" customHeight="1">
      <c r="B123" s="17"/>
    </row>
    <row r="124" spans="2:2" ht="15" customHeight="1">
      <c r="B124" s="17"/>
    </row>
    <row r="125" spans="2:2" ht="15" customHeight="1">
      <c r="B125" s="17"/>
    </row>
    <row r="126" spans="2:2" ht="15" customHeight="1">
      <c r="B126" s="17"/>
    </row>
    <row r="127" spans="2:2" ht="15" customHeight="1">
      <c r="B127" s="17"/>
    </row>
    <row r="128" spans="2:2" ht="15" customHeight="1">
      <c r="B128" s="17"/>
    </row>
    <row r="129" spans="2:2" ht="15" customHeight="1">
      <c r="B129" s="17"/>
    </row>
    <row r="130" spans="2:2" ht="15" customHeight="1">
      <c r="B130" s="17"/>
    </row>
    <row r="131" spans="2:2">
      <c r="B131" s="17"/>
    </row>
    <row r="132" spans="2:2" ht="15" customHeight="1">
      <c r="B132" s="17"/>
    </row>
    <row r="133" spans="2:2" ht="15" customHeight="1">
      <c r="B133" s="17"/>
    </row>
    <row r="134" spans="2:2" ht="15" customHeight="1">
      <c r="B134" s="17"/>
    </row>
    <row r="135" spans="2:2" ht="15" customHeight="1">
      <c r="B135" s="17"/>
    </row>
    <row r="136" spans="2:2" ht="15" customHeight="1">
      <c r="B136" s="17"/>
    </row>
    <row r="137" spans="2:2" ht="15" customHeight="1">
      <c r="B137" s="17"/>
    </row>
    <row r="138" spans="2:2" ht="15" customHeight="1">
      <c r="B138" s="17"/>
    </row>
    <row r="139" spans="2:2" ht="15" customHeight="1">
      <c r="B139" s="17"/>
    </row>
    <row r="140" spans="2:2" ht="15" customHeight="1">
      <c r="B140" s="17"/>
    </row>
    <row r="141" spans="2:2" ht="15" customHeight="1">
      <c r="B141" s="17"/>
    </row>
    <row r="142" spans="2:2" ht="15" customHeight="1">
      <c r="B142" s="17"/>
    </row>
    <row r="143" spans="2:2" ht="15" customHeight="1">
      <c r="B143" s="17"/>
    </row>
    <row r="144" spans="2:2" ht="15" customHeight="1">
      <c r="B144" s="17"/>
    </row>
    <row r="145" spans="2:2" ht="15" customHeight="1">
      <c r="B145" s="17"/>
    </row>
    <row r="146" spans="2:2" ht="15" customHeight="1">
      <c r="B146" s="17"/>
    </row>
    <row r="147" spans="2:2" ht="15" customHeight="1">
      <c r="B147" s="17"/>
    </row>
    <row r="148" spans="2:2" ht="15" customHeight="1">
      <c r="B148" s="17"/>
    </row>
    <row r="149" spans="2:2" ht="15" customHeight="1">
      <c r="B149" s="17"/>
    </row>
    <row r="150" spans="2:2" ht="15" customHeight="1">
      <c r="B150" s="17"/>
    </row>
    <row r="151" spans="2:2" ht="15" customHeight="1">
      <c r="B151" s="17"/>
    </row>
    <row r="152" spans="2:2" ht="15" customHeight="1"/>
    <row r="153" spans="2:2" ht="15" customHeight="1">
      <c r="B153" s="17"/>
    </row>
    <row r="154" spans="2:2" ht="15" customHeight="1">
      <c r="B154" s="17"/>
    </row>
    <row r="155" spans="2:2" ht="15" customHeight="1">
      <c r="B155" s="17"/>
    </row>
    <row r="156" spans="2:2" ht="15" customHeight="1">
      <c r="B156" s="17"/>
    </row>
    <row r="157" spans="2:2" ht="15" customHeight="1">
      <c r="B157" s="17"/>
    </row>
    <row r="158" spans="2:2" ht="15" customHeight="1">
      <c r="B158" s="17"/>
    </row>
    <row r="159" spans="2:2" ht="15" customHeight="1">
      <c r="B159" s="17"/>
    </row>
    <row r="160" spans="2:2">
      <c r="B160" s="17"/>
    </row>
    <row r="161" spans="2:2" ht="15" customHeight="1">
      <c r="B161" s="17"/>
    </row>
    <row r="162" spans="2:2" ht="15" customHeight="1">
      <c r="B162" s="17"/>
    </row>
    <row r="163" spans="2:2" ht="15" customHeight="1">
      <c r="B163" s="17"/>
    </row>
    <row r="164" spans="2:2" ht="15" customHeight="1">
      <c r="B164" s="17"/>
    </row>
    <row r="165" spans="2:2" ht="15" customHeight="1">
      <c r="B165" s="17"/>
    </row>
    <row r="166" spans="2:2" ht="15" customHeight="1">
      <c r="B166" s="17"/>
    </row>
    <row r="167" spans="2:2" ht="15" customHeight="1">
      <c r="B167" s="17"/>
    </row>
    <row r="168" spans="2:2" ht="15" customHeight="1">
      <c r="B168" s="17"/>
    </row>
    <row r="169" spans="2:2" ht="15" customHeight="1">
      <c r="B169" s="17"/>
    </row>
    <row r="170" spans="2:2" ht="15" customHeight="1">
      <c r="B170" s="17"/>
    </row>
    <row r="171" spans="2:2" ht="15" customHeight="1">
      <c r="B171" s="17"/>
    </row>
    <row r="172" spans="2:2" ht="15" customHeight="1">
      <c r="B172" s="17"/>
    </row>
    <row r="173" spans="2:2" ht="15" customHeight="1">
      <c r="B173" s="17"/>
    </row>
    <row r="174" spans="2:2" ht="15" customHeight="1">
      <c r="B174" s="17"/>
    </row>
    <row r="175" spans="2:2" ht="15" customHeight="1">
      <c r="B175" s="17"/>
    </row>
    <row r="176" spans="2:2" ht="15" customHeight="1">
      <c r="B176" s="17"/>
    </row>
    <row r="177" spans="2:2" ht="15" customHeight="1">
      <c r="B177" s="17"/>
    </row>
    <row r="178" spans="2:2" ht="15" customHeight="1">
      <c r="B178" s="17"/>
    </row>
    <row r="179" spans="2:2" ht="15" customHeight="1">
      <c r="B179" s="17"/>
    </row>
    <row r="180" spans="2:2" ht="15" customHeight="1">
      <c r="B180" s="17"/>
    </row>
    <row r="181" spans="2:2" ht="15" customHeight="1">
      <c r="B181" s="17"/>
    </row>
    <row r="182" spans="2:2" ht="15" customHeight="1"/>
    <row r="183" spans="2:2" ht="15" customHeight="1">
      <c r="B183" s="17"/>
    </row>
    <row r="184" spans="2:2" ht="15" customHeight="1">
      <c r="B184" s="17"/>
    </row>
    <row r="185" spans="2:2" ht="15" customHeight="1">
      <c r="B185" s="17"/>
    </row>
    <row r="186" spans="2:2" ht="15" customHeight="1">
      <c r="B186" s="17"/>
    </row>
    <row r="187" spans="2:2" ht="15" customHeight="1">
      <c r="B187" s="17"/>
    </row>
    <row r="188" spans="2:2" ht="15" customHeight="1">
      <c r="B188" s="17"/>
    </row>
    <row r="189" spans="2:2">
      <c r="B189" s="17"/>
    </row>
    <row r="190" spans="2:2" ht="15" customHeight="1">
      <c r="B190" s="17"/>
    </row>
    <row r="191" spans="2:2" ht="15" customHeight="1">
      <c r="B191" s="17"/>
    </row>
    <row r="192" spans="2:2" ht="15" customHeight="1">
      <c r="B192" s="17"/>
    </row>
    <row r="193" spans="2:2" ht="15" customHeight="1">
      <c r="B193" s="17"/>
    </row>
    <row r="194" spans="2:2" ht="15" customHeight="1">
      <c r="B194" s="17"/>
    </row>
    <row r="195" spans="2:2" ht="15" customHeight="1">
      <c r="B195" s="17"/>
    </row>
    <row r="196" spans="2:2" ht="15" customHeight="1">
      <c r="B196" s="17"/>
    </row>
    <row r="197" spans="2:2" ht="15" customHeight="1">
      <c r="B197" s="17"/>
    </row>
    <row r="198" spans="2:2" ht="15" customHeight="1">
      <c r="B198" s="17"/>
    </row>
    <row r="199" spans="2:2" ht="15" customHeight="1">
      <c r="B199" s="17"/>
    </row>
    <row r="200" spans="2:2" ht="15" customHeight="1">
      <c r="B200" s="17"/>
    </row>
    <row r="201" spans="2:2" ht="15" customHeight="1">
      <c r="B201" s="17"/>
    </row>
    <row r="202" spans="2:2" ht="15" customHeight="1">
      <c r="B202" s="17"/>
    </row>
    <row r="203" spans="2:2" ht="15" customHeight="1">
      <c r="B203" s="17"/>
    </row>
    <row r="204" spans="2:2" ht="15" customHeight="1">
      <c r="B204" s="17"/>
    </row>
    <row r="205" spans="2:2" ht="15" customHeight="1">
      <c r="B205" s="17"/>
    </row>
    <row r="206" spans="2:2" ht="15" customHeight="1">
      <c r="B206" s="17"/>
    </row>
    <row r="207" spans="2:2" ht="15" customHeight="1">
      <c r="B207" s="17"/>
    </row>
    <row r="208" spans="2:2" ht="15" customHeight="1">
      <c r="B208" s="17"/>
    </row>
    <row r="209" spans="2:2" ht="15" customHeight="1">
      <c r="B209" s="17"/>
    </row>
    <row r="210" spans="2:2" ht="15" customHeight="1">
      <c r="B210" s="17"/>
    </row>
    <row r="211" spans="2:2" ht="15" customHeight="1">
      <c r="B211" s="17"/>
    </row>
    <row r="212" spans="2:2" ht="15" customHeight="1"/>
    <row r="213" spans="2:2" ht="15" customHeight="1">
      <c r="B213" s="17"/>
    </row>
    <row r="214" spans="2:2" ht="15" customHeight="1">
      <c r="B214" s="17"/>
    </row>
    <row r="215" spans="2:2" ht="15" customHeight="1">
      <c r="B215" s="17"/>
    </row>
    <row r="216" spans="2:2" ht="15" customHeight="1">
      <c r="B216" s="17"/>
    </row>
    <row r="217" spans="2:2" ht="15" customHeight="1">
      <c r="B217" s="17"/>
    </row>
    <row r="218" spans="2:2">
      <c r="B218" s="17"/>
    </row>
    <row r="219" spans="2:2" ht="15" customHeight="1">
      <c r="B219" s="17"/>
    </row>
    <row r="220" spans="2:2" ht="15" customHeight="1">
      <c r="B220" s="17"/>
    </row>
    <row r="221" spans="2:2" ht="15" customHeight="1">
      <c r="B221" s="17"/>
    </row>
    <row r="222" spans="2:2" ht="15" customHeight="1">
      <c r="B222" s="17"/>
    </row>
    <row r="223" spans="2:2" ht="15" customHeight="1">
      <c r="B223" s="17"/>
    </row>
    <row r="224" spans="2:2" ht="15" customHeight="1">
      <c r="B224" s="17"/>
    </row>
    <row r="225" spans="2:2" ht="15" customHeight="1">
      <c r="B225" s="17"/>
    </row>
    <row r="226" spans="2:2" ht="15" customHeight="1">
      <c r="B226" s="17"/>
    </row>
    <row r="227" spans="2:2" ht="15" customHeight="1">
      <c r="B227" s="17"/>
    </row>
    <row r="228" spans="2:2" ht="15" customHeight="1">
      <c r="B228" s="17"/>
    </row>
    <row r="229" spans="2:2" ht="15" customHeight="1">
      <c r="B229" s="17"/>
    </row>
    <row r="230" spans="2:2" ht="15" customHeight="1">
      <c r="B230" s="17"/>
    </row>
    <row r="231" spans="2:2" ht="15" customHeight="1">
      <c r="B231" s="17"/>
    </row>
    <row r="232" spans="2:2" ht="15" customHeight="1">
      <c r="B232" s="17"/>
    </row>
    <row r="233" spans="2:2" ht="15" customHeight="1">
      <c r="B233" s="17"/>
    </row>
    <row r="234" spans="2:2" ht="15" customHeight="1">
      <c r="B234" s="17"/>
    </row>
    <row r="235" spans="2:2" ht="15" customHeight="1">
      <c r="B235" s="17"/>
    </row>
    <row r="236" spans="2:2" ht="15" customHeight="1">
      <c r="B236" s="17"/>
    </row>
    <row r="237" spans="2:2" ht="15" customHeight="1">
      <c r="B237" s="17"/>
    </row>
    <row r="238" spans="2:2" ht="15" customHeight="1">
      <c r="B238" s="17"/>
    </row>
    <row r="239" spans="2:2" ht="15" customHeight="1">
      <c r="B239" s="17"/>
    </row>
    <row r="240" spans="2:2" ht="15" customHeight="1">
      <c r="B240" s="17"/>
    </row>
    <row r="241" spans="2:2" ht="15" customHeight="1">
      <c r="B241" s="17"/>
    </row>
    <row r="242" spans="2:2" ht="15" customHeight="1"/>
    <row r="243" spans="2:2" ht="15" customHeight="1">
      <c r="B243" s="17"/>
    </row>
    <row r="244" spans="2:2" ht="15" customHeight="1">
      <c r="B244" s="17"/>
    </row>
    <row r="245" spans="2:2" ht="15" customHeight="1">
      <c r="B245" s="17"/>
    </row>
    <row r="246" spans="2:2" ht="15" customHeight="1">
      <c r="B246" s="17"/>
    </row>
    <row r="247" spans="2:2">
      <c r="B247" s="17"/>
    </row>
    <row r="248" spans="2:2" ht="15" customHeight="1">
      <c r="B248" s="17"/>
    </row>
    <row r="249" spans="2:2" ht="15" customHeight="1">
      <c r="B249" s="17"/>
    </row>
    <row r="250" spans="2:2" ht="15" customHeight="1">
      <c r="B250" s="17"/>
    </row>
    <row r="251" spans="2:2" ht="15" customHeight="1">
      <c r="B251" s="17"/>
    </row>
    <row r="252" spans="2:2" ht="15" customHeight="1">
      <c r="B252" s="17"/>
    </row>
    <row r="253" spans="2:2" ht="15" customHeight="1">
      <c r="B253" s="17"/>
    </row>
    <row r="254" spans="2:2" ht="15" customHeight="1">
      <c r="B254" s="17"/>
    </row>
    <row r="255" spans="2:2" ht="15" customHeight="1">
      <c r="B255" s="17"/>
    </row>
    <row r="256" spans="2:2" ht="15" customHeight="1">
      <c r="B256" s="17"/>
    </row>
    <row r="257" spans="2:2" ht="15" customHeight="1">
      <c r="B257" s="17"/>
    </row>
    <row r="258" spans="2:2" ht="15" customHeight="1">
      <c r="B258" s="17"/>
    </row>
    <row r="259" spans="2:2" ht="15" customHeight="1">
      <c r="B259" s="17"/>
    </row>
    <row r="260" spans="2:2" ht="15" customHeight="1">
      <c r="B260" s="17"/>
    </row>
    <row r="261" spans="2:2" ht="15" customHeight="1">
      <c r="B261" s="17"/>
    </row>
    <row r="262" spans="2:2" ht="15" customHeight="1">
      <c r="B262" s="17"/>
    </row>
    <row r="263" spans="2:2" ht="15" customHeight="1">
      <c r="B263" s="17"/>
    </row>
    <row r="264" spans="2:2" ht="15" customHeight="1">
      <c r="B264" s="17"/>
    </row>
    <row r="265" spans="2:2" ht="15" customHeight="1">
      <c r="B265" s="17"/>
    </row>
    <row r="266" spans="2:2" ht="15" customHeight="1">
      <c r="B266" s="17"/>
    </row>
    <row r="267" spans="2:2" ht="15" customHeight="1">
      <c r="B267" s="17"/>
    </row>
    <row r="268" spans="2:2" ht="15" customHeight="1">
      <c r="B268" s="17"/>
    </row>
    <row r="269" spans="2:2" ht="15" customHeight="1">
      <c r="B269" s="17"/>
    </row>
    <row r="270" spans="2:2" ht="15" customHeight="1">
      <c r="B270" s="17"/>
    </row>
    <row r="271" spans="2:2" ht="15" customHeight="1">
      <c r="B271" s="17"/>
    </row>
    <row r="272" spans="2:2" ht="15" customHeight="1"/>
    <row r="273" spans="2:2" ht="15" customHeight="1">
      <c r="B273" s="17"/>
    </row>
    <row r="274" spans="2:2" ht="15" customHeight="1">
      <c r="B274" s="17"/>
    </row>
    <row r="275" spans="2:2" ht="15" customHeight="1">
      <c r="B275" s="17"/>
    </row>
    <row r="276" spans="2:2">
      <c r="B276" s="17"/>
    </row>
    <row r="277" spans="2:2" ht="15" customHeight="1">
      <c r="B277" s="17"/>
    </row>
    <row r="278" spans="2:2" ht="15" customHeight="1">
      <c r="B278" s="17"/>
    </row>
    <row r="279" spans="2:2" ht="15" customHeight="1">
      <c r="B279" s="17"/>
    </row>
    <row r="280" spans="2:2" ht="15" customHeight="1">
      <c r="B280" s="17"/>
    </row>
    <row r="281" spans="2:2" ht="15" customHeight="1">
      <c r="B281" s="17"/>
    </row>
    <row r="282" spans="2:2" ht="15" customHeight="1">
      <c r="B282" s="17"/>
    </row>
    <row r="283" spans="2:2" ht="15" customHeight="1">
      <c r="B283" s="17"/>
    </row>
    <row r="284" spans="2:2" ht="15" customHeight="1">
      <c r="B284" s="17"/>
    </row>
    <row r="285" spans="2:2" ht="15" customHeight="1">
      <c r="B285" s="17"/>
    </row>
    <row r="286" spans="2:2" ht="15" customHeight="1">
      <c r="B286" s="17"/>
    </row>
    <row r="287" spans="2:2" ht="15" customHeight="1">
      <c r="B287" s="17"/>
    </row>
    <row r="288" spans="2:2" ht="15" customHeight="1">
      <c r="B288" s="17"/>
    </row>
    <row r="289" spans="2:2" ht="15" customHeight="1">
      <c r="B289" s="17"/>
    </row>
    <row r="290" spans="2:2" ht="15" customHeight="1">
      <c r="B290" s="17"/>
    </row>
    <row r="291" spans="2:2" ht="15" customHeight="1">
      <c r="B291" s="17"/>
    </row>
    <row r="292" spans="2:2" ht="15" customHeight="1">
      <c r="B292" s="17"/>
    </row>
    <row r="293" spans="2:2" ht="15" customHeight="1">
      <c r="B293" s="17"/>
    </row>
    <row r="294" spans="2:2" ht="15" customHeight="1">
      <c r="B294" s="17"/>
    </row>
    <row r="295" spans="2:2" ht="15" customHeight="1">
      <c r="B295" s="17"/>
    </row>
    <row r="296" spans="2:2" ht="15" customHeight="1">
      <c r="B296" s="17"/>
    </row>
    <row r="297" spans="2:2" ht="15" customHeight="1">
      <c r="B297" s="17"/>
    </row>
    <row r="298" spans="2:2" ht="15" customHeight="1">
      <c r="B298" s="17"/>
    </row>
    <row r="299" spans="2:2" ht="15" customHeight="1">
      <c r="B299" s="17"/>
    </row>
    <row r="300" spans="2:2" ht="15" customHeight="1">
      <c r="B300" s="17"/>
    </row>
    <row r="301" spans="2:2" ht="15" customHeight="1">
      <c r="B301" s="17"/>
    </row>
    <row r="302" spans="2:2" ht="15" customHeight="1"/>
    <row r="303" spans="2:2" ht="15" customHeight="1">
      <c r="B303" s="17"/>
    </row>
    <row r="304" spans="2:2" ht="15" customHeight="1">
      <c r="B304" s="17"/>
    </row>
    <row r="305" spans="2:2">
      <c r="B305" s="17"/>
    </row>
    <row r="306" spans="2:2" ht="15" customHeight="1">
      <c r="B306" s="17"/>
    </row>
    <row r="307" spans="2:2" ht="15" customHeight="1">
      <c r="B307" s="17"/>
    </row>
    <row r="308" spans="2:2" ht="15" customHeight="1">
      <c r="B308" s="17"/>
    </row>
    <row r="309" spans="2:2" ht="15" customHeight="1">
      <c r="B309" s="17"/>
    </row>
    <row r="310" spans="2:2" ht="15" customHeight="1">
      <c r="B310" s="17"/>
    </row>
    <row r="311" spans="2:2" ht="15" customHeight="1">
      <c r="B311" s="17"/>
    </row>
    <row r="312" spans="2:2" ht="15" customHeight="1">
      <c r="B312" s="17"/>
    </row>
    <row r="313" spans="2:2" ht="15" customHeight="1">
      <c r="B313" s="17"/>
    </row>
    <row r="314" spans="2:2" ht="15" customHeight="1">
      <c r="B314" s="17"/>
    </row>
    <row r="315" spans="2:2" ht="15" customHeight="1">
      <c r="B315" s="17"/>
    </row>
    <row r="316" spans="2:2" ht="15" customHeight="1">
      <c r="B316" s="17"/>
    </row>
    <row r="317" spans="2:2" ht="15" customHeight="1">
      <c r="B317" s="17"/>
    </row>
    <row r="318" spans="2:2" ht="15" customHeight="1">
      <c r="B318" s="17"/>
    </row>
    <row r="319" spans="2:2" ht="15" customHeight="1">
      <c r="B319" s="17"/>
    </row>
    <row r="320" spans="2:2" ht="15" customHeight="1">
      <c r="B320" s="17"/>
    </row>
    <row r="321" spans="2:2" ht="15" customHeight="1">
      <c r="B321" s="17"/>
    </row>
    <row r="322" spans="2:2" ht="15" customHeight="1">
      <c r="B322" s="17"/>
    </row>
    <row r="323" spans="2:2" ht="15" customHeight="1">
      <c r="B323" s="17"/>
    </row>
    <row r="324" spans="2:2" ht="15" customHeight="1">
      <c r="B324" s="17"/>
    </row>
    <row r="325" spans="2:2" ht="15" customHeight="1">
      <c r="B325" s="17"/>
    </row>
    <row r="326" spans="2:2" ht="15" customHeight="1">
      <c r="B326" s="17"/>
    </row>
    <row r="327" spans="2:2" ht="15" customHeight="1">
      <c r="B327" s="17"/>
    </row>
    <row r="328" spans="2:2" ht="15" customHeight="1">
      <c r="B328" s="17"/>
    </row>
    <row r="329" spans="2:2" ht="15" customHeight="1">
      <c r="B329" s="17"/>
    </row>
    <row r="330" spans="2:2" ht="15" customHeight="1">
      <c r="B330" s="17"/>
    </row>
    <row r="331" spans="2:2" ht="15" customHeight="1">
      <c r="B331" s="17"/>
    </row>
    <row r="332" spans="2:2" ht="15" customHeight="1"/>
    <row r="333" spans="2:2" ht="15" customHeight="1">
      <c r="B333" s="17"/>
    </row>
    <row r="334" spans="2:2">
      <c r="B334" s="17"/>
    </row>
    <row r="335" spans="2:2" ht="15" customHeight="1">
      <c r="B335" s="17"/>
    </row>
    <row r="336" spans="2:2" ht="15" customHeight="1">
      <c r="B336" s="17"/>
    </row>
    <row r="337" spans="2:2" ht="15" customHeight="1">
      <c r="B337" s="17"/>
    </row>
    <row r="338" spans="2:2" ht="15" customHeight="1">
      <c r="B338" s="17"/>
    </row>
    <row r="339" spans="2:2" ht="15" customHeight="1">
      <c r="B339" s="17"/>
    </row>
    <row r="340" spans="2:2" ht="15" customHeight="1">
      <c r="B340" s="17"/>
    </row>
    <row r="341" spans="2:2" ht="15" customHeight="1">
      <c r="B341" s="17"/>
    </row>
    <row r="342" spans="2:2" ht="15" customHeight="1">
      <c r="B342" s="17"/>
    </row>
    <row r="343" spans="2:2" ht="15" customHeight="1">
      <c r="B343" s="17"/>
    </row>
    <row r="344" spans="2:2" ht="15" customHeight="1">
      <c r="B344" s="17"/>
    </row>
    <row r="345" spans="2:2" ht="15" customHeight="1">
      <c r="B345" s="17"/>
    </row>
    <row r="346" spans="2:2" ht="15" customHeight="1">
      <c r="B346" s="17"/>
    </row>
    <row r="347" spans="2:2" ht="15" customHeight="1">
      <c r="B347" s="17"/>
    </row>
    <row r="348" spans="2:2" ht="15" customHeight="1">
      <c r="B348" s="17"/>
    </row>
    <row r="349" spans="2:2" ht="15" customHeight="1">
      <c r="B349" s="17"/>
    </row>
    <row r="350" spans="2:2" ht="15" customHeight="1">
      <c r="B350" s="17"/>
    </row>
    <row r="351" spans="2:2" ht="15" customHeight="1">
      <c r="B351" s="17"/>
    </row>
    <row r="352" spans="2:2" ht="15" customHeight="1">
      <c r="B352" s="17"/>
    </row>
    <row r="353" spans="2:2" ht="15" customHeight="1">
      <c r="B353" s="17"/>
    </row>
    <row r="354" spans="2:2" ht="15" customHeight="1">
      <c r="B354" s="17"/>
    </row>
    <row r="355" spans="2:2" ht="15" customHeight="1">
      <c r="B355" s="17"/>
    </row>
    <row r="356" spans="2:2" ht="15" customHeight="1">
      <c r="B356" s="17"/>
    </row>
    <row r="357" spans="2:2" ht="15" customHeight="1">
      <c r="B357" s="17"/>
    </row>
    <row r="358" spans="2:2" ht="15" customHeight="1">
      <c r="B358" s="17"/>
    </row>
    <row r="359" spans="2:2" ht="15" customHeight="1">
      <c r="B359" s="17"/>
    </row>
    <row r="360" spans="2:2" ht="15" customHeight="1">
      <c r="B360" s="17"/>
    </row>
    <row r="361" spans="2:2" ht="15" customHeight="1">
      <c r="B361" s="17"/>
    </row>
    <row r="362" spans="2:2" ht="15" customHeight="1"/>
    <row r="363" spans="2:2">
      <c r="B363" s="17"/>
    </row>
    <row r="364" spans="2:2" ht="15" customHeight="1">
      <c r="B364" s="17"/>
    </row>
    <row r="365" spans="2:2" ht="15" customHeight="1">
      <c r="B365" s="17"/>
    </row>
    <row r="366" spans="2:2" ht="15" customHeight="1">
      <c r="B366" s="17"/>
    </row>
    <row r="367" spans="2:2" ht="15" customHeight="1">
      <c r="B367" s="17"/>
    </row>
    <row r="368" spans="2:2" ht="15" customHeight="1">
      <c r="B368" s="17"/>
    </row>
    <row r="369" spans="2:2" ht="15" customHeight="1">
      <c r="B369" s="17"/>
    </row>
    <row r="370" spans="2:2" ht="15" customHeight="1">
      <c r="B370" s="17"/>
    </row>
    <row r="371" spans="2:2" ht="15" customHeight="1">
      <c r="B371" s="17"/>
    </row>
    <row r="372" spans="2:2" ht="15" customHeight="1">
      <c r="B372" s="17"/>
    </row>
    <row r="373" spans="2:2" ht="15" customHeight="1">
      <c r="B373" s="17"/>
    </row>
    <row r="374" spans="2:2" ht="15" customHeight="1">
      <c r="B374" s="17"/>
    </row>
    <row r="375" spans="2:2" ht="15" customHeight="1">
      <c r="B375" s="17"/>
    </row>
    <row r="376" spans="2:2" ht="15" customHeight="1">
      <c r="B376" s="17"/>
    </row>
    <row r="377" spans="2:2" ht="15" customHeight="1">
      <c r="B377" s="17"/>
    </row>
    <row r="378" spans="2:2" ht="15" customHeight="1">
      <c r="B378" s="17"/>
    </row>
    <row r="379" spans="2:2" ht="15" customHeight="1">
      <c r="B379" s="17"/>
    </row>
    <row r="380" spans="2:2" ht="15" customHeight="1">
      <c r="B380" s="17"/>
    </row>
    <row r="381" spans="2:2" ht="15" customHeight="1">
      <c r="B381" s="17"/>
    </row>
    <row r="382" spans="2:2" ht="15" customHeight="1">
      <c r="B382" s="17"/>
    </row>
    <row r="383" spans="2:2" ht="15" customHeight="1">
      <c r="B383" s="17"/>
    </row>
    <row r="384" spans="2:2" ht="15" customHeight="1">
      <c r="B384" s="17"/>
    </row>
    <row r="385" spans="2:2" ht="15" customHeight="1">
      <c r="B385" s="17"/>
    </row>
    <row r="386" spans="2:2" ht="15" customHeight="1">
      <c r="B386" s="17"/>
    </row>
    <row r="387" spans="2:2" ht="15" customHeight="1">
      <c r="B387" s="17"/>
    </row>
    <row r="388" spans="2:2" ht="15" customHeight="1">
      <c r="B388" s="17"/>
    </row>
    <row r="389" spans="2:2" ht="15" customHeight="1">
      <c r="B389" s="17"/>
    </row>
    <row r="390" spans="2:2" ht="15" customHeight="1">
      <c r="B390" s="17"/>
    </row>
    <row r="391" spans="2:2" ht="15" customHeight="1">
      <c r="B391" s="17"/>
    </row>
    <row r="392" spans="2:2" ht="15" customHeight="1">
      <c r="B392" s="17"/>
    </row>
    <row r="393" spans="2:2">
      <c r="B393" s="17"/>
    </row>
    <row r="394" spans="2:2" ht="15" customHeight="1">
      <c r="B394" s="17"/>
    </row>
    <row r="395" spans="2:2" ht="15" customHeight="1">
      <c r="B395" s="17"/>
    </row>
    <row r="396" spans="2:2" ht="15" customHeight="1">
      <c r="B396" s="17"/>
    </row>
    <row r="397" spans="2:2" ht="15" customHeight="1">
      <c r="B397" s="17"/>
    </row>
    <row r="398" spans="2:2" ht="15" customHeight="1">
      <c r="B398" s="17"/>
    </row>
    <row r="399" spans="2:2" ht="15" customHeight="1">
      <c r="B399" s="17"/>
    </row>
    <row r="400" spans="2:2" ht="15" customHeight="1">
      <c r="B400" s="17"/>
    </row>
    <row r="401" spans="2:2" ht="15" customHeight="1">
      <c r="B401" s="17"/>
    </row>
    <row r="402" spans="2:2" ht="15" customHeight="1">
      <c r="B402" s="17"/>
    </row>
    <row r="403" spans="2:2" ht="15" customHeight="1">
      <c r="B403" s="17"/>
    </row>
    <row r="404" spans="2:2" ht="15" customHeight="1">
      <c r="B404" s="17"/>
    </row>
    <row r="405" spans="2:2" ht="15" customHeight="1">
      <c r="B405" s="17"/>
    </row>
    <row r="406" spans="2:2" ht="15" customHeight="1">
      <c r="B406" s="17"/>
    </row>
    <row r="407" spans="2:2" ht="15" customHeight="1">
      <c r="B407" s="17"/>
    </row>
    <row r="408" spans="2:2" ht="15" customHeight="1">
      <c r="B408" s="17"/>
    </row>
    <row r="409" spans="2:2" ht="15" customHeight="1">
      <c r="B409" s="17"/>
    </row>
    <row r="410" spans="2:2" ht="15" customHeight="1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3" spans="2:2">
      <c r="B423" s="17"/>
    </row>
    <row r="424" spans="2:2">
      <c r="B424" s="31"/>
    </row>
    <row r="425" spans="2:2">
      <c r="B425" s="31"/>
    </row>
    <row r="426" spans="2:2">
      <c r="B426" s="31"/>
    </row>
    <row r="427" spans="2:2">
      <c r="B427" s="31"/>
    </row>
    <row r="428" spans="2:2">
      <c r="B428" s="31"/>
    </row>
    <row r="429" spans="2:2">
      <c r="B429" s="31"/>
    </row>
    <row r="430" spans="2:2">
      <c r="B430" s="31"/>
    </row>
    <row r="431" spans="2:2">
      <c r="B431" s="31"/>
    </row>
    <row r="432" spans="2:2">
      <c r="B432" s="31"/>
    </row>
    <row r="433" spans="2:2">
      <c r="B433" s="31"/>
    </row>
    <row r="434" spans="2:2">
      <c r="B434" s="31"/>
    </row>
    <row r="435" spans="2:2">
      <c r="B435" s="31"/>
    </row>
    <row r="436" spans="2:2">
      <c r="B436" s="31"/>
    </row>
    <row r="437" spans="2:2">
      <c r="B437" s="31"/>
    </row>
    <row r="438" spans="2:2">
      <c r="B438" s="31"/>
    </row>
    <row r="439" spans="2:2">
      <c r="B439" s="31"/>
    </row>
    <row r="440" spans="2:2">
      <c r="B440" s="31"/>
    </row>
    <row r="441" spans="2:2">
      <c r="B441" s="31"/>
    </row>
    <row r="442" spans="2:2">
      <c r="B442" s="31"/>
    </row>
    <row r="443" spans="2:2">
      <c r="B443" s="31"/>
    </row>
    <row r="444" spans="2:2">
      <c r="B444" s="31"/>
    </row>
    <row r="445" spans="2:2">
      <c r="B445" s="31"/>
    </row>
    <row r="446" spans="2:2">
      <c r="B446" s="31"/>
    </row>
    <row r="447" spans="2:2">
      <c r="B447" s="31"/>
    </row>
    <row r="448" spans="2:2">
      <c r="B448" s="31"/>
    </row>
    <row r="449" spans="2:2">
      <c r="B449" s="31"/>
    </row>
    <row r="450" spans="2:2">
      <c r="B450" s="31"/>
    </row>
    <row r="451" spans="2:2">
      <c r="B451" s="31"/>
    </row>
    <row r="452" spans="2:2">
      <c r="B452" s="31"/>
    </row>
    <row r="453" spans="2:2">
      <c r="B453" s="31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3" spans="2:2">
      <c r="B483" s="17"/>
    </row>
    <row r="484" spans="2:2">
      <c r="B484" s="17"/>
    </row>
    <row r="485" spans="2:2">
      <c r="B485" s="17"/>
    </row>
    <row r="486" spans="2:2">
      <c r="B486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3" spans="2:2">
      <c r="B513" s="17"/>
    </row>
    <row r="514" spans="2:2">
      <c r="B514" s="17"/>
    </row>
    <row r="515" spans="2:2">
      <c r="B515" s="17"/>
    </row>
    <row r="516" spans="2:2">
      <c r="B516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3" spans="2:2">
      <c r="B543" s="17"/>
    </row>
    <row r="544" spans="2:2">
      <c r="B544" s="17"/>
    </row>
    <row r="545" spans="2:2">
      <c r="B545" s="17"/>
    </row>
    <row r="546" spans="2:2">
      <c r="B546" s="17"/>
    </row>
    <row r="548" spans="2:2">
      <c r="B548" s="17"/>
    </row>
    <row r="549" spans="2:2">
      <c r="B549" s="17"/>
    </row>
    <row r="550" spans="2:2">
      <c r="B550" s="17"/>
    </row>
    <row r="551" spans="2:2">
      <c r="B551" s="17"/>
    </row>
    <row r="552" spans="2:2">
      <c r="B552" s="17"/>
    </row>
    <row r="553" spans="2:2">
      <c r="B553" s="17"/>
    </row>
    <row r="554" spans="2:2">
      <c r="B554" s="17"/>
    </row>
    <row r="555" spans="2:2">
      <c r="B555" s="17"/>
    </row>
    <row r="556" spans="2:2">
      <c r="B556" s="17"/>
    </row>
    <row r="557" spans="2:2">
      <c r="B557" s="17"/>
    </row>
    <row r="558" spans="2:2">
      <c r="B558" s="17"/>
    </row>
    <row r="559" spans="2:2">
      <c r="B559" s="17"/>
    </row>
    <row r="560" spans="2:2">
      <c r="B560" s="17"/>
    </row>
    <row r="561" spans="2:2">
      <c r="B561" s="17"/>
    </row>
    <row r="562" spans="2:2">
      <c r="B562" s="17"/>
    </row>
    <row r="563" spans="2:2">
      <c r="B563" s="17"/>
    </row>
    <row r="564" spans="2:2">
      <c r="B564" s="17"/>
    </row>
    <row r="565" spans="2:2">
      <c r="B565" s="17"/>
    </row>
    <row r="566" spans="2:2">
      <c r="B566" s="17"/>
    </row>
    <row r="567" spans="2:2">
      <c r="B567" s="17"/>
    </row>
    <row r="568" spans="2:2">
      <c r="B568" s="17"/>
    </row>
    <row r="569" spans="2:2">
      <c r="B569" s="17"/>
    </row>
    <row r="570" spans="2:2">
      <c r="B570" s="17"/>
    </row>
    <row r="571" spans="2:2">
      <c r="B571" s="17"/>
    </row>
    <row r="572" spans="2:2">
      <c r="B572" s="17"/>
    </row>
    <row r="573" spans="2:2">
      <c r="B573" s="17"/>
    </row>
    <row r="574" spans="2:2">
      <c r="B574" s="17"/>
    </row>
    <row r="575" spans="2:2">
      <c r="B575" s="17"/>
    </row>
    <row r="576" spans="2:2">
      <c r="B576" s="17"/>
    </row>
    <row r="578" spans="2:2">
      <c r="B578" s="17"/>
    </row>
    <row r="579" spans="2:2">
      <c r="B579" s="17"/>
    </row>
    <row r="580" spans="2:2">
      <c r="B580" s="17"/>
    </row>
    <row r="581" spans="2:2">
      <c r="B581" s="17"/>
    </row>
    <row r="582" spans="2:2">
      <c r="B582" s="17"/>
    </row>
    <row r="583" spans="2:2">
      <c r="B583" s="17"/>
    </row>
    <row r="584" spans="2:2">
      <c r="B584" s="17"/>
    </row>
    <row r="585" spans="2:2">
      <c r="B585" s="17"/>
    </row>
    <row r="586" spans="2:2">
      <c r="B586" s="17"/>
    </row>
    <row r="587" spans="2:2">
      <c r="B587" s="17"/>
    </row>
    <row r="588" spans="2:2">
      <c r="B588" s="17"/>
    </row>
    <row r="589" spans="2:2">
      <c r="B589" s="17"/>
    </row>
    <row r="590" spans="2:2">
      <c r="B590" s="17"/>
    </row>
    <row r="591" spans="2:2">
      <c r="B591" s="17"/>
    </row>
    <row r="592" spans="2:2">
      <c r="B592" s="17"/>
    </row>
    <row r="593" spans="2:2">
      <c r="B593" s="17"/>
    </row>
    <row r="594" spans="2:2">
      <c r="B594" s="17"/>
    </row>
    <row r="595" spans="2:2">
      <c r="B595" s="17"/>
    </row>
    <row r="596" spans="2:2">
      <c r="B596" s="17"/>
    </row>
    <row r="597" spans="2:2">
      <c r="B597" s="17"/>
    </row>
    <row r="598" spans="2:2">
      <c r="B598" s="17"/>
    </row>
    <row r="599" spans="2:2">
      <c r="B599" s="17"/>
    </row>
    <row r="600" spans="2:2">
      <c r="B600" s="17"/>
    </row>
    <row r="601" spans="2:2">
      <c r="B601" s="17"/>
    </row>
    <row r="602" spans="2:2">
      <c r="B602" s="17"/>
    </row>
    <row r="603" spans="2:2">
      <c r="B603" s="17"/>
    </row>
    <row r="604" spans="2:2">
      <c r="B604" s="17"/>
    </row>
    <row r="605" spans="2:2">
      <c r="B605" s="17"/>
    </row>
    <row r="606" spans="2:2">
      <c r="B606" s="17"/>
    </row>
    <row r="608" spans="2:2">
      <c r="B608" s="17"/>
    </row>
    <row r="609" spans="2:2">
      <c r="B609" s="17"/>
    </row>
    <row r="610" spans="2:2">
      <c r="B610" s="17"/>
    </row>
    <row r="611" spans="2:2">
      <c r="B611" s="17"/>
    </row>
    <row r="612" spans="2:2">
      <c r="B612" s="17"/>
    </row>
    <row r="613" spans="2:2">
      <c r="B613" s="17"/>
    </row>
    <row r="614" spans="2:2">
      <c r="B614" s="17"/>
    </row>
    <row r="615" spans="2:2">
      <c r="B615" s="17"/>
    </row>
    <row r="616" spans="2:2">
      <c r="B616" s="17"/>
    </row>
    <row r="617" spans="2:2">
      <c r="B617" s="17"/>
    </row>
    <row r="618" spans="2:2">
      <c r="B618" s="17"/>
    </row>
    <row r="619" spans="2:2">
      <c r="B619" s="17"/>
    </row>
    <row r="620" spans="2:2">
      <c r="B620" s="17"/>
    </row>
    <row r="621" spans="2:2">
      <c r="B621" s="17"/>
    </row>
    <row r="622" spans="2:2">
      <c r="B622" s="17"/>
    </row>
    <row r="623" spans="2:2">
      <c r="B623" s="17"/>
    </row>
    <row r="624" spans="2:2">
      <c r="B624" s="17"/>
    </row>
    <row r="625" spans="2:2">
      <c r="B625" s="17"/>
    </row>
    <row r="626" spans="2:2">
      <c r="B626" s="17"/>
    </row>
    <row r="627" spans="2:2">
      <c r="B627" s="17"/>
    </row>
    <row r="628" spans="2:2">
      <c r="B628" s="17"/>
    </row>
    <row r="629" spans="2:2">
      <c r="B629" s="17"/>
    </row>
    <row r="630" spans="2:2">
      <c r="B630" s="17"/>
    </row>
    <row r="631" spans="2:2">
      <c r="B631" s="17"/>
    </row>
    <row r="632" spans="2:2">
      <c r="B632" s="17"/>
    </row>
    <row r="633" spans="2:2">
      <c r="B633" s="17"/>
    </row>
    <row r="634" spans="2:2">
      <c r="B634" s="17"/>
    </row>
    <row r="635" spans="2:2">
      <c r="B635" s="17"/>
    </row>
    <row r="636" spans="2:2">
      <c r="B636" s="17"/>
    </row>
    <row r="638" spans="2:2">
      <c r="B638" s="17"/>
    </row>
    <row r="639" spans="2:2">
      <c r="B639" s="17"/>
    </row>
    <row r="640" spans="2:2">
      <c r="B640" s="17"/>
    </row>
    <row r="641" spans="2:2">
      <c r="B641" s="17"/>
    </row>
    <row r="642" spans="2:2">
      <c r="B642" s="17"/>
    </row>
    <row r="643" spans="2:2">
      <c r="B643" s="17"/>
    </row>
    <row r="644" spans="2:2">
      <c r="B644" s="17"/>
    </row>
    <row r="645" spans="2:2">
      <c r="B645" s="17"/>
    </row>
    <row r="646" spans="2:2">
      <c r="B646" s="17"/>
    </row>
    <row r="647" spans="2:2">
      <c r="B647" s="17"/>
    </row>
    <row r="648" spans="2:2">
      <c r="B648" s="17"/>
    </row>
    <row r="649" spans="2:2">
      <c r="B649" s="17"/>
    </row>
    <row r="650" spans="2:2">
      <c r="B650" s="17"/>
    </row>
    <row r="651" spans="2:2">
      <c r="B651" s="17"/>
    </row>
    <row r="652" spans="2:2">
      <c r="B652" s="17"/>
    </row>
    <row r="653" spans="2:2">
      <c r="B653" s="17"/>
    </row>
    <row r="654" spans="2:2">
      <c r="B654" s="17"/>
    </row>
    <row r="655" spans="2:2">
      <c r="B655" s="17"/>
    </row>
    <row r="656" spans="2:2">
      <c r="B656" s="17"/>
    </row>
    <row r="657" spans="2:2">
      <c r="B657" s="17"/>
    </row>
    <row r="658" spans="2:2">
      <c r="B658" s="17"/>
    </row>
    <row r="659" spans="2:2">
      <c r="B659" s="17"/>
    </row>
    <row r="660" spans="2:2">
      <c r="B660" s="17"/>
    </row>
    <row r="661" spans="2:2">
      <c r="B661" s="17"/>
    </row>
    <row r="662" spans="2:2">
      <c r="B662" s="17"/>
    </row>
    <row r="663" spans="2:2">
      <c r="B663" s="17"/>
    </row>
    <row r="664" spans="2:2">
      <c r="B664" s="17"/>
    </row>
    <row r="665" spans="2:2">
      <c r="B665" s="17"/>
    </row>
    <row r="666" spans="2:2">
      <c r="B666" s="17"/>
    </row>
    <row r="668" spans="2:2">
      <c r="B668" s="17"/>
    </row>
    <row r="669" spans="2:2">
      <c r="B669" s="17"/>
    </row>
    <row r="670" spans="2:2">
      <c r="B670" s="17"/>
    </row>
    <row r="671" spans="2:2">
      <c r="B671" s="17"/>
    </row>
    <row r="672" spans="2:2">
      <c r="B672" s="17"/>
    </row>
    <row r="673" spans="2:2">
      <c r="B673" s="17"/>
    </row>
    <row r="674" spans="2:2">
      <c r="B674" s="17"/>
    </row>
    <row r="675" spans="2:2">
      <c r="B675" s="17"/>
    </row>
    <row r="676" spans="2:2">
      <c r="B676" s="17"/>
    </row>
    <row r="677" spans="2:2">
      <c r="B677" s="17"/>
    </row>
    <row r="678" spans="2:2">
      <c r="B678" s="17"/>
    </row>
    <row r="679" spans="2:2">
      <c r="B679" s="17"/>
    </row>
    <row r="680" spans="2:2">
      <c r="B680" s="17"/>
    </row>
    <row r="681" spans="2:2">
      <c r="B681" s="17"/>
    </row>
    <row r="682" spans="2:2">
      <c r="B682" s="17"/>
    </row>
    <row r="683" spans="2:2">
      <c r="B683" s="17"/>
    </row>
    <row r="684" spans="2:2">
      <c r="B684" s="17"/>
    </row>
    <row r="685" spans="2:2">
      <c r="B685" s="17"/>
    </row>
    <row r="686" spans="2:2">
      <c r="B686" s="17"/>
    </row>
    <row r="687" spans="2:2">
      <c r="B687" s="17"/>
    </row>
    <row r="688" spans="2:2">
      <c r="B688" s="17"/>
    </row>
    <row r="689" spans="2:2">
      <c r="B689" s="17"/>
    </row>
    <row r="690" spans="2:2">
      <c r="B690" s="17"/>
    </row>
    <row r="691" spans="2:2">
      <c r="B691" s="17"/>
    </row>
    <row r="692" spans="2:2">
      <c r="B692" s="17"/>
    </row>
    <row r="693" spans="2:2">
      <c r="B693" s="17"/>
    </row>
    <row r="694" spans="2:2">
      <c r="B694" s="17"/>
    </row>
    <row r="695" spans="2:2">
      <c r="B695" s="17"/>
    </row>
    <row r="696" spans="2:2">
      <c r="B696" s="17"/>
    </row>
    <row r="698" spans="2:2">
      <c r="B698" s="17"/>
    </row>
    <row r="699" spans="2:2">
      <c r="B699" s="17"/>
    </row>
    <row r="700" spans="2:2">
      <c r="B700" s="17"/>
    </row>
    <row r="701" spans="2:2">
      <c r="B701" s="17"/>
    </row>
    <row r="702" spans="2:2">
      <c r="B702" s="17"/>
    </row>
    <row r="703" spans="2:2">
      <c r="B703" s="17"/>
    </row>
    <row r="704" spans="2:2">
      <c r="B704" s="17"/>
    </row>
    <row r="705" spans="2:2">
      <c r="B705" s="17"/>
    </row>
    <row r="706" spans="2:2">
      <c r="B706" s="17"/>
    </row>
    <row r="707" spans="2:2">
      <c r="B707" s="17"/>
    </row>
    <row r="708" spans="2:2">
      <c r="B708" s="17"/>
    </row>
    <row r="709" spans="2:2">
      <c r="B709" s="17"/>
    </row>
    <row r="710" spans="2:2">
      <c r="B710" s="17"/>
    </row>
    <row r="711" spans="2:2">
      <c r="B711" s="17"/>
    </row>
    <row r="712" spans="2:2">
      <c r="B712" s="17"/>
    </row>
    <row r="713" spans="2:2">
      <c r="B713" s="17"/>
    </row>
    <row r="714" spans="2:2">
      <c r="B714" s="17"/>
    </row>
    <row r="715" spans="2:2">
      <c r="B715" s="17"/>
    </row>
    <row r="716" spans="2:2">
      <c r="B716" s="17"/>
    </row>
    <row r="717" spans="2:2">
      <c r="B717" s="17"/>
    </row>
    <row r="718" spans="2:2">
      <c r="B718" s="17"/>
    </row>
    <row r="719" spans="2:2">
      <c r="B719" s="17"/>
    </row>
    <row r="720" spans="2:2">
      <c r="B720" s="17"/>
    </row>
    <row r="721" spans="2:2">
      <c r="B721" s="17"/>
    </row>
    <row r="722" spans="2:2">
      <c r="B722" s="17"/>
    </row>
    <row r="723" spans="2:2">
      <c r="B723" s="17"/>
    </row>
    <row r="724" spans="2:2">
      <c r="B724" s="17"/>
    </row>
    <row r="725" spans="2:2">
      <c r="B725" s="17"/>
    </row>
    <row r="726" spans="2:2">
      <c r="B726" s="17"/>
    </row>
    <row r="728" spans="2:2">
      <c r="B728" s="17"/>
    </row>
    <row r="729" spans="2:2">
      <c r="B729" s="17"/>
    </row>
    <row r="730" spans="2:2">
      <c r="B730" s="17"/>
    </row>
    <row r="731" spans="2:2">
      <c r="B731" s="17"/>
    </row>
    <row r="732" spans="2:2">
      <c r="B732" s="17"/>
    </row>
    <row r="733" spans="2:2">
      <c r="B733" s="17"/>
    </row>
    <row r="734" spans="2:2">
      <c r="B734" s="17"/>
    </row>
    <row r="735" spans="2:2">
      <c r="B735" s="17"/>
    </row>
    <row r="736" spans="2:2">
      <c r="B736" s="17"/>
    </row>
    <row r="737" spans="2:2">
      <c r="B737" s="17"/>
    </row>
    <row r="738" spans="2:2">
      <c r="B738" s="17"/>
    </row>
    <row r="739" spans="2:2">
      <c r="B739" s="17"/>
    </row>
    <row r="740" spans="2:2">
      <c r="B740" s="17"/>
    </row>
    <row r="741" spans="2:2">
      <c r="B741" s="17"/>
    </row>
    <row r="742" spans="2:2">
      <c r="B742" s="17"/>
    </row>
    <row r="743" spans="2:2">
      <c r="B743" s="17"/>
    </row>
    <row r="744" spans="2:2">
      <c r="B744" s="17"/>
    </row>
    <row r="745" spans="2:2">
      <c r="B745" s="17"/>
    </row>
    <row r="746" spans="2:2">
      <c r="B746" s="17"/>
    </row>
    <row r="747" spans="2:2">
      <c r="B747" s="17"/>
    </row>
    <row r="748" spans="2:2">
      <c r="B748" s="17"/>
    </row>
    <row r="749" spans="2:2">
      <c r="B749" s="17"/>
    </row>
    <row r="750" spans="2:2">
      <c r="B750" s="17"/>
    </row>
    <row r="751" spans="2:2">
      <c r="B751" s="17"/>
    </row>
    <row r="752" spans="2:2">
      <c r="B752" s="17"/>
    </row>
    <row r="753" spans="2:2">
      <c r="B753" s="17"/>
    </row>
    <row r="754" spans="2:2">
      <c r="B754" s="17"/>
    </row>
    <row r="755" spans="2:2">
      <c r="B755" s="17"/>
    </row>
    <row r="756" spans="2:2">
      <c r="B756" s="17"/>
    </row>
    <row r="758" spans="2:2">
      <c r="B758" s="17"/>
    </row>
    <row r="759" spans="2:2">
      <c r="B759" s="17"/>
    </row>
    <row r="760" spans="2:2">
      <c r="B760" s="17"/>
    </row>
    <row r="761" spans="2:2">
      <c r="B761" s="17"/>
    </row>
    <row r="762" spans="2:2">
      <c r="B762" s="17"/>
    </row>
    <row r="763" spans="2:2">
      <c r="B763" s="17"/>
    </row>
    <row r="764" spans="2:2">
      <c r="B764" s="17"/>
    </row>
    <row r="765" spans="2:2">
      <c r="B765" s="17"/>
    </row>
    <row r="766" spans="2:2">
      <c r="B766" s="17"/>
    </row>
    <row r="767" spans="2:2">
      <c r="B767" s="17"/>
    </row>
    <row r="768" spans="2:2">
      <c r="B768" s="17"/>
    </row>
    <row r="769" spans="2:2">
      <c r="B769" s="17"/>
    </row>
    <row r="770" spans="2:2">
      <c r="B770" s="17"/>
    </row>
    <row r="771" spans="2:2">
      <c r="B771" s="17"/>
    </row>
    <row r="772" spans="2:2">
      <c r="B772" s="17"/>
    </row>
    <row r="773" spans="2:2">
      <c r="B773" s="17"/>
    </row>
    <row r="774" spans="2:2">
      <c r="B774" s="17"/>
    </row>
    <row r="775" spans="2:2">
      <c r="B775" s="17"/>
    </row>
    <row r="776" spans="2:2">
      <c r="B776" s="17"/>
    </row>
    <row r="777" spans="2:2">
      <c r="B777" s="17"/>
    </row>
    <row r="778" spans="2:2">
      <c r="B778" s="17"/>
    </row>
    <row r="779" spans="2:2">
      <c r="B779" s="17"/>
    </row>
    <row r="780" spans="2:2">
      <c r="B780" s="17"/>
    </row>
    <row r="781" spans="2:2">
      <c r="B781" s="17"/>
    </row>
    <row r="782" spans="2:2">
      <c r="B782" s="17"/>
    </row>
    <row r="783" spans="2:2">
      <c r="B783" s="17"/>
    </row>
    <row r="784" spans="2:2">
      <c r="B784" s="17"/>
    </row>
    <row r="785" spans="2:2">
      <c r="B785" s="17"/>
    </row>
    <row r="786" spans="2:2">
      <c r="B786" s="17"/>
    </row>
    <row r="788" spans="2:2">
      <c r="B788" s="17"/>
    </row>
    <row r="789" spans="2:2">
      <c r="B789" s="17"/>
    </row>
    <row r="790" spans="2:2">
      <c r="B790" s="17"/>
    </row>
    <row r="791" spans="2:2">
      <c r="B791" s="17"/>
    </row>
    <row r="792" spans="2:2">
      <c r="B792" s="17"/>
    </row>
    <row r="793" spans="2:2">
      <c r="B793" s="17"/>
    </row>
    <row r="794" spans="2:2">
      <c r="B794" s="17"/>
    </row>
    <row r="795" spans="2:2">
      <c r="B795" s="17"/>
    </row>
    <row r="796" spans="2:2">
      <c r="B796" s="17"/>
    </row>
    <row r="797" spans="2:2">
      <c r="B797" s="17"/>
    </row>
    <row r="798" spans="2:2">
      <c r="B798" s="17"/>
    </row>
    <row r="799" spans="2:2">
      <c r="B799" s="17"/>
    </row>
    <row r="800" spans="2:2">
      <c r="B800" s="17"/>
    </row>
    <row r="801" spans="2:2">
      <c r="B801" s="17"/>
    </row>
    <row r="802" spans="2:2">
      <c r="B802" s="17"/>
    </row>
    <row r="803" spans="2:2">
      <c r="B803" s="17"/>
    </row>
    <row r="804" spans="2:2">
      <c r="B804" s="17"/>
    </row>
    <row r="805" spans="2:2">
      <c r="B805" s="17"/>
    </row>
    <row r="806" spans="2:2">
      <c r="B806" s="17"/>
    </row>
    <row r="807" spans="2:2">
      <c r="B807" s="17"/>
    </row>
    <row r="808" spans="2:2">
      <c r="B808" s="17"/>
    </row>
    <row r="809" spans="2:2">
      <c r="B809" s="17"/>
    </row>
    <row r="810" spans="2:2">
      <c r="B810" s="17"/>
    </row>
    <row r="811" spans="2:2">
      <c r="B811" s="17"/>
    </row>
    <row r="812" spans="2:2">
      <c r="B812" s="17"/>
    </row>
    <row r="813" spans="2:2">
      <c r="B813" s="17"/>
    </row>
    <row r="814" spans="2:2">
      <c r="B814" s="17"/>
    </row>
    <row r="815" spans="2:2">
      <c r="B815" s="17"/>
    </row>
    <row r="816" spans="2:2">
      <c r="B816" s="17"/>
    </row>
    <row r="818" spans="2:2">
      <c r="B818" s="17"/>
    </row>
    <row r="819" spans="2:2">
      <c r="B819" s="17"/>
    </row>
    <row r="820" spans="2:2">
      <c r="B820" s="17"/>
    </row>
    <row r="821" spans="2:2">
      <c r="B821" s="17"/>
    </row>
    <row r="822" spans="2:2">
      <c r="B822" s="17"/>
    </row>
    <row r="823" spans="2:2">
      <c r="B823" s="17"/>
    </row>
    <row r="824" spans="2:2">
      <c r="B824" s="17"/>
    </row>
    <row r="825" spans="2:2">
      <c r="B825" s="17"/>
    </row>
    <row r="826" spans="2:2">
      <c r="B826" s="17"/>
    </row>
    <row r="827" spans="2:2">
      <c r="B827" s="17"/>
    </row>
    <row r="828" spans="2:2">
      <c r="B828" s="17"/>
    </row>
    <row r="829" spans="2:2">
      <c r="B829" s="17"/>
    </row>
    <row r="830" spans="2:2">
      <c r="B830" s="17"/>
    </row>
    <row r="831" spans="2:2">
      <c r="B831" s="17"/>
    </row>
    <row r="832" spans="2:2">
      <c r="B832" s="17"/>
    </row>
    <row r="833" spans="2:2">
      <c r="B833" s="17"/>
    </row>
    <row r="834" spans="2:2">
      <c r="B834" s="17"/>
    </row>
    <row r="835" spans="2:2">
      <c r="B835" s="17"/>
    </row>
    <row r="836" spans="2:2">
      <c r="B836" s="17"/>
    </row>
    <row r="837" spans="2:2">
      <c r="B837" s="17"/>
    </row>
    <row r="838" spans="2:2">
      <c r="B838" s="17"/>
    </row>
    <row r="839" spans="2:2">
      <c r="B839" s="17"/>
    </row>
    <row r="840" spans="2:2">
      <c r="B840" s="17"/>
    </row>
    <row r="841" spans="2:2">
      <c r="B841" s="17"/>
    </row>
    <row r="842" spans="2:2">
      <c r="B842" s="17"/>
    </row>
    <row r="843" spans="2:2">
      <c r="B843" s="17"/>
    </row>
    <row r="844" spans="2:2">
      <c r="B844" s="17"/>
    </row>
    <row r="845" spans="2:2">
      <c r="B845" s="17"/>
    </row>
    <row r="846" spans="2:2">
      <c r="B846" s="17"/>
    </row>
    <row r="847" spans="2:2">
      <c r="B847" s="17"/>
    </row>
    <row r="848" spans="2:2">
      <c r="B848" s="17"/>
    </row>
    <row r="849" spans="2:2">
      <c r="B849" s="17"/>
    </row>
    <row r="850" spans="2:2">
      <c r="B850" s="17"/>
    </row>
    <row r="851" spans="2:2">
      <c r="B851" s="17"/>
    </row>
    <row r="852" spans="2:2">
      <c r="B852" s="17"/>
    </row>
    <row r="853" spans="2:2">
      <c r="B853" s="17"/>
    </row>
    <row r="854" spans="2:2">
      <c r="B854" s="17"/>
    </row>
    <row r="855" spans="2:2">
      <c r="B855" s="17"/>
    </row>
    <row r="856" spans="2:2">
      <c r="B856" s="17"/>
    </row>
    <row r="857" spans="2:2">
      <c r="B857" s="17"/>
    </row>
    <row r="858" spans="2:2">
      <c r="B858" s="17"/>
    </row>
    <row r="859" spans="2:2">
      <c r="B859" s="17"/>
    </row>
    <row r="860" spans="2:2">
      <c r="B860" s="17"/>
    </row>
    <row r="861" spans="2:2">
      <c r="B861" s="17"/>
    </row>
    <row r="862" spans="2:2">
      <c r="B862" s="17"/>
    </row>
    <row r="863" spans="2:2">
      <c r="B863" s="17"/>
    </row>
    <row r="864" spans="2:2">
      <c r="B864" s="17"/>
    </row>
    <row r="865" spans="2:2">
      <c r="B865" s="17"/>
    </row>
    <row r="866" spans="2:2">
      <c r="B866" s="17"/>
    </row>
    <row r="867" spans="2:2">
      <c r="B867" s="17"/>
    </row>
    <row r="868" spans="2:2">
      <c r="B868" s="17"/>
    </row>
    <row r="869" spans="2:2">
      <c r="B869" s="17"/>
    </row>
    <row r="870" spans="2:2">
      <c r="B870" s="17"/>
    </row>
    <row r="871" spans="2:2">
      <c r="B871" s="17"/>
    </row>
    <row r="872" spans="2:2">
      <c r="B872" s="17"/>
    </row>
    <row r="873" spans="2:2">
      <c r="B873" s="17"/>
    </row>
    <row r="874" spans="2:2">
      <c r="B874" s="17"/>
    </row>
    <row r="875" spans="2:2">
      <c r="B875" s="17"/>
    </row>
    <row r="876" spans="2:2">
      <c r="B876" s="17"/>
    </row>
    <row r="878" spans="2:2">
      <c r="B878" s="17"/>
    </row>
    <row r="879" spans="2:2">
      <c r="B879" s="31"/>
    </row>
    <row r="880" spans="2:2">
      <c r="B880" s="31"/>
    </row>
    <row r="881" spans="2:2">
      <c r="B881" s="31"/>
    </row>
    <row r="882" spans="2:2">
      <c r="B882" s="31"/>
    </row>
    <row r="883" spans="2:2">
      <c r="B883" s="31"/>
    </row>
    <row r="884" spans="2:2">
      <c r="B884" s="31"/>
    </row>
    <row r="885" spans="2:2">
      <c r="B885" s="31"/>
    </row>
    <row r="886" spans="2:2">
      <c r="B886" s="31"/>
    </row>
    <row r="887" spans="2:2">
      <c r="B887" s="31"/>
    </row>
    <row r="888" spans="2:2">
      <c r="B888" s="31"/>
    </row>
    <row r="889" spans="2:2">
      <c r="B889" s="31"/>
    </row>
    <row r="890" spans="2:2">
      <c r="B890" s="31"/>
    </row>
    <row r="891" spans="2:2">
      <c r="B891" s="31"/>
    </row>
    <row r="892" spans="2:2">
      <c r="B892" s="31"/>
    </row>
    <row r="893" spans="2:2">
      <c r="B893" s="31"/>
    </row>
    <row r="894" spans="2:2">
      <c r="B894" s="31"/>
    </row>
    <row r="895" spans="2:2">
      <c r="B895" s="31"/>
    </row>
    <row r="896" spans="2:2">
      <c r="B896" s="31"/>
    </row>
    <row r="897" spans="2:2">
      <c r="B897" s="31"/>
    </row>
    <row r="898" spans="2:2">
      <c r="B898" s="31"/>
    </row>
    <row r="899" spans="2:2">
      <c r="B899" s="31"/>
    </row>
    <row r="900" spans="2:2">
      <c r="B900" s="31"/>
    </row>
    <row r="901" spans="2:2">
      <c r="B901" s="31"/>
    </row>
    <row r="902" spans="2:2">
      <c r="B902" s="31"/>
    </row>
    <row r="903" spans="2:2">
      <c r="B903" s="31"/>
    </row>
    <row r="904" spans="2:2">
      <c r="B904" s="31"/>
    </row>
    <row r="905" spans="2:2">
      <c r="B905" s="31"/>
    </row>
    <row r="906" spans="2:2">
      <c r="B906" s="31"/>
    </row>
    <row r="907" spans="2:2">
      <c r="B907" s="31"/>
    </row>
    <row r="908" spans="2:2">
      <c r="B908" s="31"/>
    </row>
  </sheetData>
  <autoFilter ref="A5:AE423" xr:uid="{00000000-0009-0000-0000-000008000000}"/>
  <sortState xmlns:xlrd2="http://schemas.microsoft.com/office/spreadsheetml/2017/richdata2" ref="A6:AF422">
    <sortCondition ref="A6:A422"/>
    <sortCondition ref="B6:B422"/>
  </sortState>
  <dataValidations disablePrompts="1" count="1">
    <dataValidation type="list" allowBlank="1" showInputMessage="1" showErrorMessage="1" sqref="A149:A177 A415 A604:A632 A870" xr:uid="{9819BD07-4E54-43BF-B17D-61AB53579CA4}">
      <formula1>Fuels</formula1>
    </dataValidation>
  </dataValidations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Tabelle21">
    <tabColor rgb="FFFF0000"/>
  </sheetPr>
  <dimension ref="A1:AL544"/>
  <sheetViews>
    <sheetView workbookViewId="0">
      <pane ySplit="5" topLeftCell="A6" activePane="bottomLeft" state="frozen"/>
      <selection pane="bottomLeft" activeCell="C25" sqref="C25"/>
    </sheetView>
  </sheetViews>
  <sheetFormatPr defaultColWidth="11.42578125" defaultRowHeight="15"/>
  <cols>
    <col min="2" max="2" width="17.5703125" bestFit="1" customWidth="1"/>
    <col min="3" max="4" width="14.42578125" customWidth="1"/>
    <col min="5" max="5" width="12.85546875" customWidth="1"/>
    <col min="6" max="6" width="18.42578125" customWidth="1"/>
    <col min="7" max="7" width="15.42578125" customWidth="1"/>
    <col min="8" max="8" width="13.85546875" bestFit="1" customWidth="1"/>
    <col min="9" max="9" width="17.5703125" bestFit="1" customWidth="1"/>
    <col min="10" max="10" width="15.5703125" bestFit="1" customWidth="1"/>
    <col min="11" max="11" width="15.85546875" customWidth="1"/>
    <col min="12" max="12" width="16" customWidth="1"/>
    <col min="14" max="14" width="15.42578125" customWidth="1"/>
    <col min="15" max="15" width="21.85546875" customWidth="1"/>
    <col min="22" max="22" width="11.85546875" customWidth="1"/>
  </cols>
  <sheetData>
    <row r="1" spans="1:38">
      <c r="A1" t="s">
        <v>368</v>
      </c>
    </row>
    <row r="2" spans="1:38">
      <c r="A2" t="s">
        <v>364</v>
      </c>
    </row>
    <row r="3" spans="1:38">
      <c r="A3" t="s">
        <v>363</v>
      </c>
    </row>
    <row r="4" spans="1:38">
      <c r="C4" s="47"/>
      <c r="D4" s="47"/>
      <c r="E4" s="47"/>
      <c r="F4" s="47"/>
      <c r="G4" s="47"/>
      <c r="H4" s="47"/>
      <c r="I4" s="47"/>
      <c r="J4" s="47"/>
    </row>
    <row r="5" spans="1:38">
      <c r="B5" s="31"/>
      <c r="C5" s="52" t="s">
        <v>479</v>
      </c>
      <c r="D5" s="52" t="s">
        <v>480</v>
      </c>
      <c r="E5" s="52" t="s">
        <v>481</v>
      </c>
      <c r="F5" s="52" t="s">
        <v>487</v>
      </c>
      <c r="G5" s="52" t="s">
        <v>486</v>
      </c>
      <c r="H5" s="52" t="s">
        <v>483</v>
      </c>
      <c r="I5" s="52" t="s">
        <v>484</v>
      </c>
      <c r="J5" s="52" t="s">
        <v>485</v>
      </c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</row>
    <row r="6" spans="1:38">
      <c r="A6" t="s">
        <v>433</v>
      </c>
      <c r="B6" s="49" t="s">
        <v>479</v>
      </c>
      <c r="C6" s="49">
        <v>0</v>
      </c>
      <c r="D6" s="49">
        <v>59</v>
      </c>
      <c r="E6" s="49">
        <v>40.299999999999997</v>
      </c>
      <c r="F6" s="49">
        <v>70</v>
      </c>
      <c r="G6" s="49">
        <v>57</v>
      </c>
      <c r="H6" s="49">
        <v>47</v>
      </c>
      <c r="I6" s="49">
        <v>59.4</v>
      </c>
      <c r="J6" s="49">
        <v>56</v>
      </c>
    </row>
    <row r="7" spans="1:38">
      <c r="A7" t="s">
        <v>433</v>
      </c>
      <c r="B7" s="49" t="s">
        <v>480</v>
      </c>
      <c r="C7" s="49">
        <v>59</v>
      </c>
      <c r="D7" s="49">
        <v>0</v>
      </c>
      <c r="E7" s="49">
        <v>75.7</v>
      </c>
      <c r="F7" s="49">
        <v>81.900000000000006</v>
      </c>
      <c r="G7" s="49">
        <v>92.7</v>
      </c>
      <c r="H7" s="49">
        <v>62</v>
      </c>
      <c r="I7" s="49">
        <v>51.3</v>
      </c>
      <c r="J7" s="49">
        <v>40.9</v>
      </c>
    </row>
    <row r="8" spans="1:38">
      <c r="A8" t="s">
        <v>433</v>
      </c>
      <c r="B8" s="49" t="s">
        <v>481</v>
      </c>
      <c r="C8" s="49">
        <v>40.299999999999997</v>
      </c>
      <c r="D8" s="49">
        <v>75.7</v>
      </c>
      <c r="E8" s="49">
        <v>0</v>
      </c>
      <c r="F8" s="49">
        <v>85.3</v>
      </c>
      <c r="G8" s="49">
        <v>25.7</v>
      </c>
      <c r="H8" s="49">
        <v>44.5</v>
      </c>
      <c r="I8" s="49">
        <v>92.7</v>
      </c>
      <c r="J8" s="49">
        <v>68.2</v>
      </c>
    </row>
    <row r="9" spans="1:38">
      <c r="A9" t="s">
        <v>433</v>
      </c>
      <c r="B9" s="49" t="s">
        <v>487</v>
      </c>
      <c r="C9" s="49">
        <v>70</v>
      </c>
      <c r="D9" s="49">
        <v>81.900000000000006</v>
      </c>
      <c r="E9" s="49">
        <v>85.3</v>
      </c>
      <c r="F9" s="49">
        <v>0</v>
      </c>
      <c r="G9" s="49">
        <v>45</v>
      </c>
      <c r="H9" s="49">
        <v>21.6</v>
      </c>
      <c r="I9" s="49">
        <v>40.6</v>
      </c>
      <c r="J9" s="49">
        <v>42.1</v>
      </c>
    </row>
    <row r="10" spans="1:38">
      <c r="A10" t="s">
        <v>433</v>
      </c>
      <c r="B10" s="49" t="s">
        <v>486</v>
      </c>
      <c r="C10" s="49">
        <v>57</v>
      </c>
      <c r="D10" s="49">
        <v>92.7</v>
      </c>
      <c r="E10" s="49">
        <v>25.7</v>
      </c>
      <c r="F10" s="49">
        <v>45</v>
      </c>
      <c r="G10" s="49">
        <v>0</v>
      </c>
      <c r="H10" s="49">
        <v>58.7</v>
      </c>
      <c r="I10" s="49">
        <v>78.2</v>
      </c>
      <c r="J10" s="49">
        <v>67.3</v>
      </c>
    </row>
    <row r="11" spans="1:38">
      <c r="A11" t="s">
        <v>433</v>
      </c>
      <c r="B11" s="49" t="s">
        <v>483</v>
      </c>
      <c r="C11" s="49">
        <v>47</v>
      </c>
      <c r="D11" s="49">
        <v>62</v>
      </c>
      <c r="E11" s="49">
        <v>44.5</v>
      </c>
      <c r="F11" s="49">
        <v>21.6</v>
      </c>
      <c r="G11" s="49">
        <v>58.7</v>
      </c>
      <c r="H11" s="49">
        <v>0</v>
      </c>
      <c r="I11" s="49">
        <v>19.5</v>
      </c>
      <c r="J11" s="49">
        <v>19.7</v>
      </c>
    </row>
    <row r="12" spans="1:38">
      <c r="A12" t="s">
        <v>433</v>
      </c>
      <c r="B12" s="49" t="s">
        <v>484</v>
      </c>
      <c r="C12" s="49">
        <v>59.4</v>
      </c>
      <c r="D12" s="49">
        <v>51.3</v>
      </c>
      <c r="E12" s="49">
        <v>92.7</v>
      </c>
      <c r="F12" s="49">
        <v>40.6</v>
      </c>
      <c r="G12" s="49">
        <v>78.2</v>
      </c>
      <c r="H12" s="49">
        <v>19.5</v>
      </c>
      <c r="I12" s="49">
        <v>0</v>
      </c>
      <c r="J12" s="49">
        <v>24.5</v>
      </c>
    </row>
    <row r="13" spans="1:38">
      <c r="A13" t="s">
        <v>433</v>
      </c>
      <c r="B13" s="49" t="s">
        <v>485</v>
      </c>
      <c r="C13" s="49">
        <v>56</v>
      </c>
      <c r="D13" s="49">
        <v>40.9</v>
      </c>
      <c r="E13" s="49">
        <v>68.2</v>
      </c>
      <c r="F13" s="49">
        <v>42.1</v>
      </c>
      <c r="G13" s="49">
        <v>67.3</v>
      </c>
      <c r="H13" s="49">
        <v>19.7</v>
      </c>
      <c r="I13" s="49">
        <v>24.5</v>
      </c>
      <c r="J13" s="49">
        <v>0</v>
      </c>
    </row>
    <row r="14" spans="1:38">
      <c r="A14" s="49" t="s">
        <v>141</v>
      </c>
      <c r="B14" s="49" t="s">
        <v>479</v>
      </c>
      <c r="C14" s="49">
        <f>ROUND(IF(C6&gt;0, ((0.0014*C6+13.97)/1.15)*(10^12)/(1000*29308)/1000000, 0),3)</f>
        <v>0</v>
      </c>
      <c r="D14" s="49">
        <f t="shared" ref="D14:J14" si="0">ROUND(IF(D6&gt;0, ((0.0014*D6+13.97)/1.15)*(10^12)/(1000*29308)/1000000, 0),3)</f>
        <v>0.41699999999999998</v>
      </c>
      <c r="E14" s="49">
        <f t="shared" si="0"/>
        <v>0.41599999999999998</v>
      </c>
      <c r="F14" s="49">
        <f t="shared" si="0"/>
        <v>0.41699999999999998</v>
      </c>
      <c r="G14" s="49">
        <f t="shared" si="0"/>
        <v>0.41699999999999998</v>
      </c>
      <c r="H14" s="49">
        <f t="shared" si="0"/>
        <v>0.41599999999999998</v>
      </c>
      <c r="I14" s="49">
        <f t="shared" si="0"/>
        <v>0.41699999999999998</v>
      </c>
      <c r="J14" s="49">
        <f t="shared" si="0"/>
        <v>0.41699999999999998</v>
      </c>
    </row>
    <row r="15" spans="1:38">
      <c r="A15" t="s">
        <v>141</v>
      </c>
      <c r="B15" s="49" t="s">
        <v>480</v>
      </c>
      <c r="C15" s="49">
        <f t="shared" ref="C15:J15" si="1">ROUND(IF(C7&gt;0, ((0.0014*C7+13.97)/1.15)*(10^12)/(1000*29308)/1000000, 0),3)</f>
        <v>0.41699999999999998</v>
      </c>
      <c r="D15" s="49">
        <f t="shared" si="1"/>
        <v>0</v>
      </c>
      <c r="E15" s="49">
        <f t="shared" si="1"/>
        <v>0.41799999999999998</v>
      </c>
      <c r="F15" s="49">
        <f t="shared" si="1"/>
        <v>0.41799999999999998</v>
      </c>
      <c r="G15" s="49">
        <f t="shared" si="1"/>
        <v>0.41799999999999998</v>
      </c>
      <c r="H15" s="49">
        <f t="shared" si="1"/>
        <v>0.41699999999999998</v>
      </c>
      <c r="I15" s="49">
        <f t="shared" si="1"/>
        <v>0.41699999999999998</v>
      </c>
      <c r="J15" s="49">
        <f t="shared" si="1"/>
        <v>0.41599999999999998</v>
      </c>
    </row>
    <row r="16" spans="1:38">
      <c r="A16" t="s">
        <v>141</v>
      </c>
      <c r="B16" s="49" t="s">
        <v>481</v>
      </c>
      <c r="C16" s="49">
        <f t="shared" ref="C16:J16" si="2">ROUND(IF(C8&gt;0, ((0.0014*C8+13.97)/1.15)*(10^12)/(1000*29308)/1000000, 0),3)</f>
        <v>0.41599999999999998</v>
      </c>
      <c r="D16" s="49">
        <f t="shared" si="2"/>
        <v>0.41799999999999998</v>
      </c>
      <c r="E16" s="49">
        <f t="shared" si="2"/>
        <v>0</v>
      </c>
      <c r="F16" s="49">
        <f t="shared" si="2"/>
        <v>0.41799999999999998</v>
      </c>
      <c r="G16" s="49">
        <f t="shared" si="2"/>
        <v>0.41599999999999998</v>
      </c>
      <c r="H16" s="49">
        <f t="shared" si="2"/>
        <v>0.41599999999999998</v>
      </c>
      <c r="I16" s="49">
        <f t="shared" si="2"/>
        <v>0.41799999999999998</v>
      </c>
      <c r="J16" s="49">
        <f t="shared" si="2"/>
        <v>0.41699999999999998</v>
      </c>
    </row>
    <row r="17" spans="1:10">
      <c r="A17" t="s">
        <v>141</v>
      </c>
      <c r="B17" s="49" t="s">
        <v>487</v>
      </c>
      <c r="C17" s="49">
        <f t="shared" ref="C17:J17" si="3">ROUND(IF(C9&gt;0, ((0.0014*C9+13.97)/1.15)*(10^12)/(1000*29308)/1000000, 0),3)</f>
        <v>0.41699999999999998</v>
      </c>
      <c r="D17" s="49">
        <f t="shared" si="3"/>
        <v>0.41799999999999998</v>
      </c>
      <c r="E17" s="49">
        <f t="shared" si="3"/>
        <v>0.41799999999999998</v>
      </c>
      <c r="F17" s="49">
        <f t="shared" si="3"/>
        <v>0</v>
      </c>
      <c r="G17" s="49">
        <f t="shared" si="3"/>
        <v>0.41599999999999998</v>
      </c>
      <c r="H17" s="49">
        <f t="shared" si="3"/>
        <v>0.41499999999999998</v>
      </c>
      <c r="I17" s="49">
        <f t="shared" si="3"/>
        <v>0.41599999999999998</v>
      </c>
      <c r="J17" s="49">
        <f t="shared" si="3"/>
        <v>0.41599999999999998</v>
      </c>
    </row>
    <row r="18" spans="1:10">
      <c r="A18" t="s">
        <v>141</v>
      </c>
      <c r="B18" s="49" t="s">
        <v>486</v>
      </c>
      <c r="C18" s="49">
        <f t="shared" ref="C18:J18" si="4">ROUND(IF(C10&gt;0, ((0.0014*C10+13.97)/1.15)*(10^12)/(1000*29308)/1000000, 0),3)</f>
        <v>0.41699999999999998</v>
      </c>
      <c r="D18" s="49">
        <f t="shared" si="4"/>
        <v>0.41799999999999998</v>
      </c>
      <c r="E18" s="49">
        <f t="shared" si="4"/>
        <v>0.41599999999999998</v>
      </c>
      <c r="F18" s="49">
        <f t="shared" si="4"/>
        <v>0.41599999999999998</v>
      </c>
      <c r="G18" s="49">
        <f t="shared" si="4"/>
        <v>0</v>
      </c>
      <c r="H18" s="49">
        <f t="shared" si="4"/>
        <v>0.41699999999999998</v>
      </c>
      <c r="I18" s="49">
        <f t="shared" si="4"/>
        <v>0.41799999999999998</v>
      </c>
      <c r="J18" s="49">
        <f t="shared" si="4"/>
        <v>0.41699999999999998</v>
      </c>
    </row>
    <row r="19" spans="1:10">
      <c r="A19" t="s">
        <v>141</v>
      </c>
      <c r="B19" s="49" t="s">
        <v>483</v>
      </c>
      <c r="C19" s="49">
        <f t="shared" ref="C19:J19" si="5">ROUND(IF(C11&gt;0, ((0.0014*C11+13.97)/1.15)*(10^12)/(1000*29308)/1000000, 0),3)</f>
        <v>0.41599999999999998</v>
      </c>
      <c r="D19" s="49">
        <f t="shared" si="5"/>
        <v>0.41699999999999998</v>
      </c>
      <c r="E19" s="49">
        <f t="shared" si="5"/>
        <v>0.41599999999999998</v>
      </c>
      <c r="F19" s="49">
        <f t="shared" si="5"/>
        <v>0.41499999999999998</v>
      </c>
      <c r="G19" s="49">
        <f t="shared" si="5"/>
        <v>0.41699999999999998</v>
      </c>
      <c r="H19" s="49">
        <f t="shared" si="5"/>
        <v>0</v>
      </c>
      <c r="I19" s="49">
        <f t="shared" si="5"/>
        <v>0.41499999999999998</v>
      </c>
      <c r="J19" s="49">
        <f t="shared" si="5"/>
        <v>0.41499999999999998</v>
      </c>
    </row>
    <row r="20" spans="1:10">
      <c r="A20" t="s">
        <v>141</v>
      </c>
      <c r="B20" s="49" t="s">
        <v>484</v>
      </c>
      <c r="C20" s="49">
        <f t="shared" ref="C20:J20" si="6">ROUND(IF(C12&gt;0, ((0.0014*C12+13.97)/1.15)*(10^12)/(1000*29308)/1000000, 0),3)</f>
        <v>0.41699999999999998</v>
      </c>
      <c r="D20" s="49">
        <f t="shared" si="6"/>
        <v>0.41699999999999998</v>
      </c>
      <c r="E20" s="49">
        <f t="shared" si="6"/>
        <v>0.41799999999999998</v>
      </c>
      <c r="F20" s="49">
        <f t="shared" si="6"/>
        <v>0.41599999999999998</v>
      </c>
      <c r="G20" s="49">
        <f t="shared" si="6"/>
        <v>0.41799999999999998</v>
      </c>
      <c r="H20" s="49">
        <f t="shared" si="6"/>
        <v>0.41499999999999998</v>
      </c>
      <c r="I20" s="49">
        <f t="shared" si="6"/>
        <v>0</v>
      </c>
      <c r="J20" s="49">
        <f t="shared" si="6"/>
        <v>0.41599999999999998</v>
      </c>
    </row>
    <row r="21" spans="1:10">
      <c r="A21" t="s">
        <v>141</v>
      </c>
      <c r="B21" s="49" t="s">
        <v>485</v>
      </c>
      <c r="C21" s="49">
        <f t="shared" ref="C21:J21" si="7">ROUND(IF(C13&gt;0, ((0.0014*C13+13.97)/1.15)*(10^12)/(1000*29308)/1000000, 0),3)</f>
        <v>0.41699999999999998</v>
      </c>
      <c r="D21" s="49">
        <f t="shared" si="7"/>
        <v>0.41599999999999998</v>
      </c>
      <c r="E21" s="49">
        <f t="shared" si="7"/>
        <v>0.41699999999999998</v>
      </c>
      <c r="F21" s="49">
        <f t="shared" si="7"/>
        <v>0.41599999999999998</v>
      </c>
      <c r="G21" s="49">
        <f t="shared" si="7"/>
        <v>0.41699999999999998</v>
      </c>
      <c r="H21" s="49">
        <f t="shared" si="7"/>
        <v>0.41499999999999998</v>
      </c>
      <c r="I21" s="49">
        <f t="shared" si="7"/>
        <v>0.41599999999999998</v>
      </c>
      <c r="J21" s="49">
        <f t="shared" si="7"/>
        <v>0</v>
      </c>
    </row>
    <row r="22" spans="1:10">
      <c r="A22" s="49" t="s">
        <v>138</v>
      </c>
      <c r="B22" s="49" t="s">
        <v>479</v>
      </c>
      <c r="C22" s="49">
        <f t="shared" ref="C22:C29" si="8">ROUND((EXP(7.032824+1*0.622482)*((C6/1.852)^ 0.40303))/(1.15*0.0059)/1000000,3)</f>
        <v>0</v>
      </c>
      <c r="D22" s="49">
        <f t="shared" ref="D22:J22" si="9">ROUND((EXP(7.032824+1*0.622482)*((D6/1.852)^ 0.40303))/(1.15*0.0059)/1000000,3)</f>
        <v>1.256</v>
      </c>
      <c r="E22" s="49">
        <f t="shared" si="9"/>
        <v>1.077</v>
      </c>
      <c r="F22" s="49">
        <f t="shared" si="9"/>
        <v>1.345</v>
      </c>
      <c r="G22" s="49">
        <f t="shared" si="9"/>
        <v>1.2390000000000001</v>
      </c>
      <c r="H22" s="49">
        <f t="shared" si="9"/>
        <v>1.1459999999999999</v>
      </c>
      <c r="I22" s="49">
        <f t="shared" si="9"/>
        <v>1.2589999999999999</v>
      </c>
      <c r="J22" s="49">
        <f t="shared" si="9"/>
        <v>1.23</v>
      </c>
    </row>
    <row r="23" spans="1:10">
      <c r="A23" t="s">
        <v>138</v>
      </c>
      <c r="B23" s="49" t="s">
        <v>480</v>
      </c>
      <c r="C23" s="49">
        <f t="shared" si="8"/>
        <v>1.256</v>
      </c>
      <c r="D23" s="49">
        <f t="shared" ref="D23:J28" si="10">ROUND((EXP(7.032824+1*0.622482)*((D7/1.852)^ 0.40303))/(1.15*0.0059)/1000000,3)</f>
        <v>0</v>
      </c>
      <c r="E23" s="49">
        <f t="shared" si="10"/>
        <v>1.389</v>
      </c>
      <c r="F23" s="49">
        <f t="shared" si="10"/>
        <v>1.4330000000000001</v>
      </c>
      <c r="G23" s="49">
        <f t="shared" si="10"/>
        <v>1.5069999999999999</v>
      </c>
      <c r="H23" s="49">
        <f t="shared" si="10"/>
        <v>1.2809999999999999</v>
      </c>
      <c r="I23" s="49">
        <f t="shared" si="10"/>
        <v>1.1870000000000001</v>
      </c>
      <c r="J23" s="49">
        <f t="shared" si="10"/>
        <v>1.083</v>
      </c>
    </row>
    <row r="24" spans="1:10">
      <c r="A24" t="s">
        <v>138</v>
      </c>
      <c r="B24" s="49" t="s">
        <v>481</v>
      </c>
      <c r="C24" s="49">
        <f>ROUND((EXP(7.032824+1*0.622482)*((C8/1.852)^ 0.40303))/(1.15*0.0059)/1000000,3)</f>
        <v>1.077</v>
      </c>
      <c r="D24" s="49">
        <f t="shared" si="10"/>
        <v>1.389</v>
      </c>
      <c r="E24" s="49">
        <f t="shared" si="10"/>
        <v>0</v>
      </c>
      <c r="F24" s="49">
        <f t="shared" si="10"/>
        <v>1.4570000000000001</v>
      </c>
      <c r="G24" s="49">
        <f t="shared" si="10"/>
        <v>0.89800000000000002</v>
      </c>
      <c r="H24" s="49">
        <f t="shared" si="10"/>
        <v>1.121</v>
      </c>
      <c r="I24" s="49">
        <f t="shared" si="10"/>
        <v>1.5069999999999999</v>
      </c>
      <c r="J24" s="49">
        <f t="shared" si="10"/>
        <v>1.331</v>
      </c>
    </row>
    <row r="25" spans="1:10">
      <c r="A25" t="s">
        <v>138</v>
      </c>
      <c r="B25" s="49" t="s">
        <v>487</v>
      </c>
      <c r="C25" s="49">
        <f t="shared" si="8"/>
        <v>1.345</v>
      </c>
      <c r="D25" s="49">
        <f t="shared" si="10"/>
        <v>1.4330000000000001</v>
      </c>
      <c r="E25" s="49">
        <f t="shared" si="10"/>
        <v>1.4570000000000001</v>
      </c>
      <c r="F25" s="49">
        <f t="shared" si="10"/>
        <v>0</v>
      </c>
      <c r="G25" s="49">
        <f t="shared" si="10"/>
        <v>1.1259999999999999</v>
      </c>
      <c r="H25" s="49">
        <f t="shared" si="10"/>
        <v>0.83799999999999997</v>
      </c>
      <c r="I25" s="49">
        <f t="shared" si="10"/>
        <v>1.08</v>
      </c>
      <c r="J25" s="49">
        <f t="shared" si="10"/>
        <v>1.0960000000000001</v>
      </c>
    </row>
    <row r="26" spans="1:10">
      <c r="A26" t="s">
        <v>138</v>
      </c>
      <c r="B26" s="49" t="s">
        <v>486</v>
      </c>
      <c r="C26" s="49">
        <f t="shared" si="8"/>
        <v>1.2390000000000001</v>
      </c>
      <c r="D26" s="49">
        <f t="shared" si="10"/>
        <v>1.5069999999999999</v>
      </c>
      <c r="E26" s="49">
        <f t="shared" si="10"/>
        <v>0.89800000000000002</v>
      </c>
      <c r="F26" s="49">
        <f t="shared" si="10"/>
        <v>1.1259999999999999</v>
      </c>
      <c r="G26" s="49">
        <f t="shared" si="10"/>
        <v>0</v>
      </c>
      <c r="H26" s="49">
        <f t="shared" si="10"/>
        <v>1.2529999999999999</v>
      </c>
      <c r="I26" s="49">
        <f t="shared" si="10"/>
        <v>1.407</v>
      </c>
      <c r="J26" s="49">
        <f t="shared" si="10"/>
        <v>1.3240000000000001</v>
      </c>
    </row>
    <row r="27" spans="1:10">
      <c r="A27" t="s">
        <v>138</v>
      </c>
      <c r="B27" s="49" t="s">
        <v>483</v>
      </c>
      <c r="C27" s="49">
        <f t="shared" si="8"/>
        <v>1.1459999999999999</v>
      </c>
      <c r="D27" s="49">
        <f t="shared" si="10"/>
        <v>1.2809999999999999</v>
      </c>
      <c r="E27" s="49">
        <f t="shared" si="10"/>
        <v>1.121</v>
      </c>
      <c r="F27" s="49">
        <f t="shared" si="10"/>
        <v>0.83799999999999997</v>
      </c>
      <c r="G27" s="49">
        <f t="shared" si="10"/>
        <v>1.2529999999999999</v>
      </c>
      <c r="H27" s="49">
        <f t="shared" si="10"/>
        <v>0</v>
      </c>
      <c r="I27" s="49">
        <f t="shared" si="10"/>
        <v>0.80400000000000005</v>
      </c>
      <c r="J27" s="49">
        <f t="shared" si="10"/>
        <v>0.80700000000000005</v>
      </c>
    </row>
    <row r="28" spans="1:10">
      <c r="A28" t="s">
        <v>138</v>
      </c>
      <c r="B28" s="49" t="s">
        <v>484</v>
      </c>
      <c r="C28" s="49">
        <f t="shared" si="8"/>
        <v>1.2589999999999999</v>
      </c>
      <c r="D28" s="49">
        <f t="shared" si="10"/>
        <v>1.1870000000000001</v>
      </c>
      <c r="E28" s="49">
        <f t="shared" si="10"/>
        <v>1.5069999999999999</v>
      </c>
      <c r="F28" s="49">
        <f t="shared" si="10"/>
        <v>1.08</v>
      </c>
      <c r="G28" s="49">
        <f t="shared" si="10"/>
        <v>1.407</v>
      </c>
      <c r="H28" s="49">
        <f t="shared" si="10"/>
        <v>0.80400000000000005</v>
      </c>
      <c r="I28" s="49">
        <f t="shared" si="10"/>
        <v>0</v>
      </c>
      <c r="J28" s="49">
        <f t="shared" si="10"/>
        <v>0.88100000000000001</v>
      </c>
    </row>
    <row r="29" spans="1:10">
      <c r="A29" t="s">
        <v>138</v>
      </c>
      <c r="B29" s="49" t="s">
        <v>485</v>
      </c>
      <c r="C29" s="49">
        <f t="shared" si="8"/>
        <v>1.23</v>
      </c>
      <c r="D29" s="49">
        <f t="shared" ref="D29:J29" si="11">ROUND((EXP(7.032824+1*0.622482)*((D13/1.852)^ 0.40303))/(1.15*0.0059)/1000000,3)</f>
        <v>1.083</v>
      </c>
      <c r="E29" s="49">
        <f t="shared" si="11"/>
        <v>1.331</v>
      </c>
      <c r="F29" s="49">
        <f t="shared" si="11"/>
        <v>1.0960000000000001</v>
      </c>
      <c r="G29" s="49">
        <f t="shared" si="11"/>
        <v>1.3240000000000001</v>
      </c>
      <c r="H29" s="49">
        <f t="shared" si="11"/>
        <v>0.80700000000000005</v>
      </c>
      <c r="I29" s="49">
        <f t="shared" si="11"/>
        <v>0.88100000000000001</v>
      </c>
      <c r="J29" s="49">
        <f t="shared" si="11"/>
        <v>0</v>
      </c>
    </row>
    <row r="30" spans="1:10">
      <c r="A30" s="49" t="s">
        <v>24</v>
      </c>
      <c r="B30" s="49" t="s">
        <v>479</v>
      </c>
      <c r="C30" s="49">
        <f>IF(C6&gt;0,0.01,0)</f>
        <v>0</v>
      </c>
      <c r="D30" s="49">
        <f t="shared" ref="D30:J30" si="12">IF(D6&gt;0,0.01,0)</f>
        <v>0.01</v>
      </c>
      <c r="E30" s="49">
        <f t="shared" si="12"/>
        <v>0.01</v>
      </c>
      <c r="F30" s="49">
        <f t="shared" si="12"/>
        <v>0.01</v>
      </c>
      <c r="G30" s="49">
        <f t="shared" si="12"/>
        <v>0.01</v>
      </c>
      <c r="H30" s="49">
        <f t="shared" si="12"/>
        <v>0.01</v>
      </c>
      <c r="I30" s="49">
        <f t="shared" si="12"/>
        <v>0.01</v>
      </c>
      <c r="J30" s="49">
        <f t="shared" si="12"/>
        <v>0.01</v>
      </c>
    </row>
    <row r="31" spans="1:10">
      <c r="A31" t="s">
        <v>24</v>
      </c>
      <c r="B31" s="49" t="s">
        <v>480</v>
      </c>
      <c r="C31" s="49">
        <f t="shared" ref="C31:J37" si="13">IF(C7&gt;0,0.01,0)</f>
        <v>0.01</v>
      </c>
      <c r="D31" s="49">
        <f t="shared" si="13"/>
        <v>0</v>
      </c>
      <c r="E31" s="49">
        <f t="shared" si="13"/>
        <v>0.01</v>
      </c>
      <c r="F31" s="49">
        <f t="shared" si="13"/>
        <v>0.01</v>
      </c>
      <c r="G31" s="49">
        <f t="shared" si="13"/>
        <v>0.01</v>
      </c>
      <c r="H31" s="49">
        <f t="shared" si="13"/>
        <v>0.01</v>
      </c>
      <c r="I31" s="49">
        <f t="shared" si="13"/>
        <v>0.01</v>
      </c>
      <c r="J31" s="49">
        <f t="shared" si="13"/>
        <v>0.01</v>
      </c>
    </row>
    <row r="32" spans="1:10">
      <c r="A32" t="s">
        <v>24</v>
      </c>
      <c r="B32" s="49" t="s">
        <v>481</v>
      </c>
      <c r="C32" s="49">
        <f t="shared" si="13"/>
        <v>0.01</v>
      </c>
      <c r="D32" s="49">
        <f t="shared" si="13"/>
        <v>0.01</v>
      </c>
      <c r="E32" s="49">
        <f t="shared" si="13"/>
        <v>0</v>
      </c>
      <c r="F32" s="49">
        <f t="shared" si="13"/>
        <v>0.01</v>
      </c>
      <c r="G32" s="49">
        <f t="shared" si="13"/>
        <v>0.01</v>
      </c>
      <c r="H32" s="49">
        <f t="shared" si="13"/>
        <v>0.01</v>
      </c>
      <c r="I32" s="49">
        <f t="shared" si="13"/>
        <v>0.01</v>
      </c>
      <c r="J32" s="49">
        <f t="shared" si="13"/>
        <v>0.01</v>
      </c>
    </row>
    <row r="33" spans="1:10">
      <c r="A33" t="s">
        <v>24</v>
      </c>
      <c r="B33" s="49" t="s">
        <v>487</v>
      </c>
      <c r="C33" s="49">
        <f t="shared" si="13"/>
        <v>0.01</v>
      </c>
      <c r="D33" s="49">
        <f t="shared" si="13"/>
        <v>0.01</v>
      </c>
      <c r="E33" s="49">
        <f t="shared" si="13"/>
        <v>0.01</v>
      </c>
      <c r="F33" s="49">
        <f t="shared" si="13"/>
        <v>0</v>
      </c>
      <c r="G33" s="49">
        <f t="shared" si="13"/>
        <v>0.01</v>
      </c>
      <c r="H33" s="49">
        <f t="shared" si="13"/>
        <v>0.01</v>
      </c>
      <c r="I33" s="49">
        <f t="shared" si="13"/>
        <v>0.01</v>
      </c>
      <c r="J33" s="49">
        <f t="shared" si="13"/>
        <v>0.01</v>
      </c>
    </row>
    <row r="34" spans="1:10">
      <c r="A34" t="s">
        <v>24</v>
      </c>
      <c r="B34" s="49" t="s">
        <v>486</v>
      </c>
      <c r="C34" s="49">
        <f t="shared" si="13"/>
        <v>0.01</v>
      </c>
      <c r="D34" s="49">
        <f t="shared" si="13"/>
        <v>0.01</v>
      </c>
      <c r="E34" s="49">
        <f t="shared" si="13"/>
        <v>0.01</v>
      </c>
      <c r="F34" s="49">
        <f t="shared" si="13"/>
        <v>0.01</v>
      </c>
      <c r="G34" s="49">
        <f t="shared" si="13"/>
        <v>0</v>
      </c>
      <c r="H34" s="49">
        <f t="shared" si="13"/>
        <v>0.01</v>
      </c>
      <c r="I34" s="49">
        <f t="shared" si="13"/>
        <v>0.01</v>
      </c>
      <c r="J34" s="49">
        <f t="shared" si="13"/>
        <v>0.01</v>
      </c>
    </row>
    <row r="35" spans="1:10">
      <c r="A35" t="s">
        <v>24</v>
      </c>
      <c r="B35" s="49" t="s">
        <v>483</v>
      </c>
      <c r="C35" s="49">
        <f t="shared" si="13"/>
        <v>0.01</v>
      </c>
      <c r="D35" s="49">
        <f t="shared" si="13"/>
        <v>0.01</v>
      </c>
      <c r="E35" s="49">
        <f t="shared" si="13"/>
        <v>0.01</v>
      </c>
      <c r="F35" s="49">
        <f t="shared" si="13"/>
        <v>0.01</v>
      </c>
      <c r="G35" s="49">
        <f t="shared" si="13"/>
        <v>0.01</v>
      </c>
      <c r="H35" s="49">
        <f t="shared" si="13"/>
        <v>0</v>
      </c>
      <c r="I35" s="49">
        <f t="shared" si="13"/>
        <v>0.01</v>
      </c>
      <c r="J35" s="49">
        <f t="shared" si="13"/>
        <v>0.01</v>
      </c>
    </row>
    <row r="36" spans="1:10">
      <c r="A36" t="s">
        <v>24</v>
      </c>
      <c r="B36" s="49" t="s">
        <v>484</v>
      </c>
      <c r="C36" s="49">
        <f t="shared" si="13"/>
        <v>0.01</v>
      </c>
      <c r="D36" s="49">
        <f t="shared" si="13"/>
        <v>0.01</v>
      </c>
      <c r="E36" s="49">
        <f t="shared" si="13"/>
        <v>0.01</v>
      </c>
      <c r="F36" s="49">
        <f t="shared" si="13"/>
        <v>0.01</v>
      </c>
      <c r="G36" s="49">
        <f t="shared" si="13"/>
        <v>0.01</v>
      </c>
      <c r="H36" s="49">
        <f t="shared" si="13"/>
        <v>0.01</v>
      </c>
      <c r="I36" s="49">
        <f t="shared" si="13"/>
        <v>0</v>
      </c>
      <c r="J36" s="49">
        <f t="shared" si="13"/>
        <v>0.01</v>
      </c>
    </row>
    <row r="37" spans="1:10">
      <c r="A37" t="s">
        <v>24</v>
      </c>
      <c r="B37" s="49" t="s">
        <v>485</v>
      </c>
      <c r="C37" s="49">
        <f t="shared" si="13"/>
        <v>0.01</v>
      </c>
      <c r="D37" s="49">
        <f t="shared" si="13"/>
        <v>0.01</v>
      </c>
      <c r="E37" s="49">
        <f t="shared" si="13"/>
        <v>0.01</v>
      </c>
      <c r="F37" s="49">
        <f t="shared" si="13"/>
        <v>0.01</v>
      </c>
      <c r="G37" s="49">
        <f t="shared" si="13"/>
        <v>0.01</v>
      </c>
      <c r="H37" s="49">
        <f t="shared" si="13"/>
        <v>0.01</v>
      </c>
      <c r="I37" s="49">
        <f t="shared" si="13"/>
        <v>0.01</v>
      </c>
      <c r="J37" s="49">
        <f t="shared" si="13"/>
        <v>0</v>
      </c>
    </row>
    <row r="38" spans="1:10">
      <c r="A38" s="49" t="s">
        <v>312</v>
      </c>
      <c r="B38" s="49" t="s">
        <v>479</v>
      </c>
      <c r="C38" s="49">
        <f t="shared" ref="C38:C45" si="14">ROUND((EXP(7.032824+1*0.622482)*((C6/1.852)^ 0.40303))/(1.15*0.0059)/1000000,3)</f>
        <v>0</v>
      </c>
      <c r="D38" s="49">
        <f t="shared" ref="D38:J38" si="15">ROUND((EXP(7.032824+1*0.622482)*((D6/1.852)^ 0.40303))/(1.15*0.0059)/1000000,3)</f>
        <v>1.256</v>
      </c>
      <c r="E38" s="49">
        <f t="shared" si="15"/>
        <v>1.077</v>
      </c>
      <c r="F38" s="49">
        <f t="shared" si="15"/>
        <v>1.345</v>
      </c>
      <c r="G38" s="49">
        <f t="shared" si="15"/>
        <v>1.2390000000000001</v>
      </c>
      <c r="H38" s="49">
        <f t="shared" si="15"/>
        <v>1.1459999999999999</v>
      </c>
      <c r="I38" s="49">
        <f t="shared" si="15"/>
        <v>1.2589999999999999</v>
      </c>
      <c r="J38" s="49">
        <f t="shared" si="15"/>
        <v>1.23</v>
      </c>
    </row>
    <row r="39" spans="1:10">
      <c r="A39" t="s">
        <v>312</v>
      </c>
      <c r="B39" s="49" t="s">
        <v>480</v>
      </c>
      <c r="C39" s="49">
        <f t="shared" si="14"/>
        <v>1.256</v>
      </c>
      <c r="D39" s="49">
        <f t="shared" ref="D39:J45" si="16">ROUND((EXP(7.032824+1*0.622482)*((D7/1.852)^ 0.40303))/(1.15*0.0059)/1000000,3)</f>
        <v>0</v>
      </c>
      <c r="E39" s="49">
        <f t="shared" si="16"/>
        <v>1.389</v>
      </c>
      <c r="F39" s="49">
        <f t="shared" si="16"/>
        <v>1.4330000000000001</v>
      </c>
      <c r="G39" s="49">
        <f t="shared" si="16"/>
        <v>1.5069999999999999</v>
      </c>
      <c r="H39" s="49">
        <f t="shared" si="16"/>
        <v>1.2809999999999999</v>
      </c>
      <c r="I39" s="49">
        <f t="shared" si="16"/>
        <v>1.1870000000000001</v>
      </c>
      <c r="J39" s="49">
        <f t="shared" si="16"/>
        <v>1.083</v>
      </c>
    </row>
    <row r="40" spans="1:10">
      <c r="A40" t="s">
        <v>312</v>
      </c>
      <c r="B40" s="49" t="s">
        <v>481</v>
      </c>
      <c r="C40" s="49">
        <f t="shared" si="14"/>
        <v>1.077</v>
      </c>
      <c r="D40" s="49">
        <f t="shared" si="16"/>
        <v>1.389</v>
      </c>
      <c r="E40" s="49">
        <f t="shared" si="16"/>
        <v>0</v>
      </c>
      <c r="F40" s="49">
        <f t="shared" si="16"/>
        <v>1.4570000000000001</v>
      </c>
      <c r="G40" s="49">
        <f t="shared" si="16"/>
        <v>0.89800000000000002</v>
      </c>
      <c r="H40" s="49">
        <f t="shared" si="16"/>
        <v>1.121</v>
      </c>
      <c r="I40" s="49">
        <f t="shared" si="16"/>
        <v>1.5069999999999999</v>
      </c>
      <c r="J40" s="49">
        <f t="shared" si="16"/>
        <v>1.331</v>
      </c>
    </row>
    <row r="41" spans="1:10">
      <c r="A41" t="s">
        <v>312</v>
      </c>
      <c r="B41" s="49" t="s">
        <v>487</v>
      </c>
      <c r="C41" s="49">
        <f t="shared" si="14"/>
        <v>1.345</v>
      </c>
      <c r="D41" s="49">
        <f t="shared" si="16"/>
        <v>1.4330000000000001</v>
      </c>
      <c r="E41" s="49">
        <f t="shared" si="16"/>
        <v>1.4570000000000001</v>
      </c>
      <c r="F41" s="49">
        <f t="shared" si="16"/>
        <v>0</v>
      </c>
      <c r="G41" s="49">
        <f t="shared" si="16"/>
        <v>1.1259999999999999</v>
      </c>
      <c r="H41" s="49">
        <f t="shared" si="16"/>
        <v>0.83799999999999997</v>
      </c>
      <c r="I41" s="49">
        <f t="shared" si="16"/>
        <v>1.08</v>
      </c>
      <c r="J41" s="49">
        <f t="shared" si="16"/>
        <v>1.0960000000000001</v>
      </c>
    </row>
    <row r="42" spans="1:10">
      <c r="A42" t="s">
        <v>312</v>
      </c>
      <c r="B42" s="49" t="s">
        <v>486</v>
      </c>
      <c r="C42" s="49">
        <f t="shared" si="14"/>
        <v>1.2390000000000001</v>
      </c>
      <c r="D42" s="49">
        <f t="shared" si="16"/>
        <v>1.5069999999999999</v>
      </c>
      <c r="E42" s="49">
        <f t="shared" si="16"/>
        <v>0.89800000000000002</v>
      </c>
      <c r="F42" s="49">
        <f t="shared" si="16"/>
        <v>1.1259999999999999</v>
      </c>
      <c r="G42" s="49">
        <f t="shared" si="16"/>
        <v>0</v>
      </c>
      <c r="H42" s="49">
        <f t="shared" si="16"/>
        <v>1.2529999999999999</v>
      </c>
      <c r="I42" s="49">
        <f t="shared" si="16"/>
        <v>1.407</v>
      </c>
      <c r="J42" s="49">
        <f t="shared" si="16"/>
        <v>1.3240000000000001</v>
      </c>
    </row>
    <row r="43" spans="1:10">
      <c r="A43" t="s">
        <v>312</v>
      </c>
      <c r="B43" s="49" t="s">
        <v>483</v>
      </c>
      <c r="C43" s="49">
        <f t="shared" si="14"/>
        <v>1.1459999999999999</v>
      </c>
      <c r="D43" s="49">
        <f t="shared" si="16"/>
        <v>1.2809999999999999</v>
      </c>
      <c r="E43" s="49">
        <f t="shared" si="16"/>
        <v>1.121</v>
      </c>
      <c r="F43" s="49">
        <f t="shared" si="16"/>
        <v>0.83799999999999997</v>
      </c>
      <c r="G43" s="49">
        <f t="shared" si="16"/>
        <v>1.2529999999999999</v>
      </c>
      <c r="H43" s="49">
        <f t="shared" si="16"/>
        <v>0</v>
      </c>
      <c r="I43" s="49">
        <f t="shared" si="16"/>
        <v>0.80400000000000005</v>
      </c>
      <c r="J43" s="49">
        <f t="shared" si="16"/>
        <v>0.80700000000000005</v>
      </c>
    </row>
    <row r="44" spans="1:10">
      <c r="A44" t="s">
        <v>312</v>
      </c>
      <c r="B44" s="49" t="s">
        <v>484</v>
      </c>
      <c r="C44" s="49">
        <f t="shared" si="14"/>
        <v>1.2589999999999999</v>
      </c>
      <c r="D44" s="49">
        <f t="shared" si="16"/>
        <v>1.1870000000000001</v>
      </c>
      <c r="E44" s="49">
        <f t="shared" si="16"/>
        <v>1.5069999999999999</v>
      </c>
      <c r="F44" s="49">
        <f t="shared" si="16"/>
        <v>1.08</v>
      </c>
      <c r="G44" s="49">
        <f t="shared" si="16"/>
        <v>1.407</v>
      </c>
      <c r="H44" s="49">
        <f t="shared" si="16"/>
        <v>0.80400000000000005</v>
      </c>
      <c r="I44" s="49">
        <f t="shared" si="16"/>
        <v>0</v>
      </c>
      <c r="J44" s="49">
        <f t="shared" si="16"/>
        <v>0.88100000000000001</v>
      </c>
    </row>
    <row r="45" spans="1:10">
      <c r="A45" t="s">
        <v>312</v>
      </c>
      <c r="B45" s="49" t="s">
        <v>485</v>
      </c>
      <c r="C45" s="49">
        <f t="shared" si="14"/>
        <v>1.23</v>
      </c>
      <c r="D45" s="49">
        <f t="shared" si="16"/>
        <v>1.083</v>
      </c>
      <c r="E45" s="49">
        <f t="shared" si="16"/>
        <v>1.331</v>
      </c>
      <c r="F45" s="49">
        <f t="shared" si="16"/>
        <v>1.0960000000000001</v>
      </c>
      <c r="G45" s="49">
        <f t="shared" si="16"/>
        <v>1.3240000000000001</v>
      </c>
      <c r="H45" s="49">
        <f t="shared" si="16"/>
        <v>0.80700000000000005</v>
      </c>
      <c r="I45" s="49">
        <f t="shared" si="16"/>
        <v>0.88100000000000001</v>
      </c>
      <c r="J45" s="49">
        <f t="shared" si="16"/>
        <v>0</v>
      </c>
    </row>
    <row r="46" spans="1:10">
      <c r="A46" s="49" t="s">
        <v>313</v>
      </c>
      <c r="B46" s="49" t="s">
        <v>479</v>
      </c>
      <c r="C46" s="49">
        <f>ROUND((EXP(7.032824+1*0.622482)*((C6/1.852)^ 0.40303))/(1.15*0.0059)/1000000,3)</f>
        <v>0</v>
      </c>
      <c r="D46" s="49">
        <f t="shared" ref="D46:J46" si="17">ROUND((EXP(7.032824+1*0.622482)*((D6/1.852)^ 0.40303))/(1.15*0.0059)/1000000,3)</f>
        <v>1.256</v>
      </c>
      <c r="E46" s="49">
        <f t="shared" si="17"/>
        <v>1.077</v>
      </c>
      <c r="F46" s="49">
        <f t="shared" si="17"/>
        <v>1.345</v>
      </c>
      <c r="G46" s="49">
        <f t="shared" si="17"/>
        <v>1.2390000000000001</v>
      </c>
      <c r="H46" s="49">
        <f t="shared" si="17"/>
        <v>1.1459999999999999</v>
      </c>
      <c r="I46" s="49">
        <f t="shared" si="17"/>
        <v>1.2589999999999999</v>
      </c>
      <c r="J46" s="49">
        <f t="shared" si="17"/>
        <v>1.23</v>
      </c>
    </row>
    <row r="47" spans="1:10">
      <c r="A47" t="s">
        <v>313</v>
      </c>
      <c r="B47" s="49" t="s">
        <v>480</v>
      </c>
      <c r="C47" s="49">
        <f t="shared" ref="C47:J53" si="18">ROUND((EXP(7.032824+1*0.622482)*((C7/1.852)^ 0.40303))/(1.15*0.0059)/1000000,3)</f>
        <v>1.256</v>
      </c>
      <c r="D47" s="49">
        <f t="shared" si="18"/>
        <v>0</v>
      </c>
      <c r="E47" s="49">
        <f t="shared" si="18"/>
        <v>1.389</v>
      </c>
      <c r="F47" s="49">
        <f t="shared" si="18"/>
        <v>1.4330000000000001</v>
      </c>
      <c r="G47" s="49">
        <f t="shared" si="18"/>
        <v>1.5069999999999999</v>
      </c>
      <c r="H47" s="49">
        <f t="shared" si="18"/>
        <v>1.2809999999999999</v>
      </c>
      <c r="I47" s="49">
        <f t="shared" si="18"/>
        <v>1.1870000000000001</v>
      </c>
      <c r="J47" s="49">
        <f t="shared" si="18"/>
        <v>1.083</v>
      </c>
    </row>
    <row r="48" spans="1:10">
      <c r="A48" t="s">
        <v>313</v>
      </c>
      <c r="B48" s="49" t="s">
        <v>481</v>
      </c>
      <c r="C48" s="49">
        <f t="shared" si="18"/>
        <v>1.077</v>
      </c>
      <c r="D48" s="49">
        <f t="shared" si="18"/>
        <v>1.389</v>
      </c>
      <c r="E48" s="49">
        <f t="shared" si="18"/>
        <v>0</v>
      </c>
      <c r="F48" s="49">
        <f t="shared" si="18"/>
        <v>1.4570000000000001</v>
      </c>
      <c r="G48" s="49">
        <f t="shared" si="18"/>
        <v>0.89800000000000002</v>
      </c>
      <c r="H48" s="49">
        <f t="shared" si="18"/>
        <v>1.121</v>
      </c>
      <c r="I48" s="49">
        <f t="shared" si="18"/>
        <v>1.5069999999999999</v>
      </c>
      <c r="J48" s="49">
        <f t="shared" si="18"/>
        <v>1.331</v>
      </c>
    </row>
    <row r="49" spans="1:32">
      <c r="A49" t="s">
        <v>313</v>
      </c>
      <c r="B49" s="49" t="s">
        <v>487</v>
      </c>
      <c r="C49" s="49">
        <f t="shared" si="18"/>
        <v>1.345</v>
      </c>
      <c r="D49" s="49">
        <f t="shared" si="18"/>
        <v>1.4330000000000001</v>
      </c>
      <c r="E49" s="49">
        <f t="shared" si="18"/>
        <v>1.4570000000000001</v>
      </c>
      <c r="F49" s="49">
        <f t="shared" si="18"/>
        <v>0</v>
      </c>
      <c r="G49" s="49">
        <f t="shared" si="18"/>
        <v>1.1259999999999999</v>
      </c>
      <c r="H49" s="49">
        <f t="shared" si="18"/>
        <v>0.83799999999999997</v>
      </c>
      <c r="I49" s="49">
        <f t="shared" si="18"/>
        <v>1.08</v>
      </c>
      <c r="J49" s="49">
        <f t="shared" si="18"/>
        <v>1.0960000000000001</v>
      </c>
    </row>
    <row r="50" spans="1:32">
      <c r="A50" t="s">
        <v>313</v>
      </c>
      <c r="B50" s="49" t="s">
        <v>486</v>
      </c>
      <c r="C50" s="49">
        <f t="shared" si="18"/>
        <v>1.2390000000000001</v>
      </c>
      <c r="D50" s="49">
        <f t="shared" si="18"/>
        <v>1.5069999999999999</v>
      </c>
      <c r="E50" s="49">
        <f t="shared" si="18"/>
        <v>0.89800000000000002</v>
      </c>
      <c r="F50" s="49">
        <f t="shared" si="18"/>
        <v>1.1259999999999999</v>
      </c>
      <c r="G50" s="49">
        <f t="shared" si="18"/>
        <v>0</v>
      </c>
      <c r="H50" s="49">
        <f t="shared" si="18"/>
        <v>1.2529999999999999</v>
      </c>
      <c r="I50" s="49">
        <f t="shared" si="18"/>
        <v>1.407</v>
      </c>
      <c r="J50" s="49">
        <f t="shared" si="18"/>
        <v>1.3240000000000001</v>
      </c>
    </row>
    <row r="51" spans="1:32">
      <c r="A51" t="s">
        <v>313</v>
      </c>
      <c r="B51" s="49" t="s">
        <v>483</v>
      </c>
      <c r="C51" s="49">
        <f t="shared" si="18"/>
        <v>1.1459999999999999</v>
      </c>
      <c r="D51" s="49">
        <f t="shared" si="18"/>
        <v>1.2809999999999999</v>
      </c>
      <c r="E51" s="49">
        <f t="shared" si="18"/>
        <v>1.121</v>
      </c>
      <c r="F51" s="49">
        <f t="shared" si="18"/>
        <v>0.83799999999999997</v>
      </c>
      <c r="G51" s="49">
        <f t="shared" si="18"/>
        <v>1.2529999999999999</v>
      </c>
      <c r="H51" s="49">
        <f t="shared" si="18"/>
        <v>0</v>
      </c>
      <c r="I51" s="49">
        <f t="shared" si="18"/>
        <v>0.80400000000000005</v>
      </c>
      <c r="J51" s="49">
        <f t="shared" si="18"/>
        <v>0.80700000000000005</v>
      </c>
    </row>
    <row r="52" spans="1:32">
      <c r="A52" t="s">
        <v>313</v>
      </c>
      <c r="B52" s="49" t="s">
        <v>484</v>
      </c>
      <c r="C52" s="49">
        <f t="shared" si="18"/>
        <v>1.2589999999999999</v>
      </c>
      <c r="D52" s="49">
        <f t="shared" si="18"/>
        <v>1.1870000000000001</v>
      </c>
      <c r="E52" s="49">
        <f t="shared" si="18"/>
        <v>1.5069999999999999</v>
      </c>
      <c r="F52" s="49">
        <f t="shared" si="18"/>
        <v>1.08</v>
      </c>
      <c r="G52" s="49">
        <f t="shared" si="18"/>
        <v>1.407</v>
      </c>
      <c r="H52" s="49">
        <f t="shared" si="18"/>
        <v>0.80400000000000005</v>
      </c>
      <c r="I52" s="49">
        <f t="shared" si="18"/>
        <v>0</v>
      </c>
      <c r="J52" s="49">
        <f t="shared" si="18"/>
        <v>0.88100000000000001</v>
      </c>
    </row>
    <row r="53" spans="1:32">
      <c r="A53" t="s">
        <v>313</v>
      </c>
      <c r="B53" s="49" t="s">
        <v>485</v>
      </c>
      <c r="C53" s="49">
        <f t="shared" si="18"/>
        <v>1.23</v>
      </c>
      <c r="D53" s="49">
        <f t="shared" si="18"/>
        <v>1.083</v>
      </c>
      <c r="E53" s="49">
        <f t="shared" si="18"/>
        <v>1.331</v>
      </c>
      <c r="F53" s="49">
        <f t="shared" si="18"/>
        <v>1.0960000000000001</v>
      </c>
      <c r="G53" s="49">
        <f t="shared" si="18"/>
        <v>1.3240000000000001</v>
      </c>
      <c r="H53" s="49">
        <f t="shared" si="18"/>
        <v>0.80700000000000005</v>
      </c>
      <c r="I53" s="49">
        <f t="shared" si="18"/>
        <v>0.88100000000000001</v>
      </c>
      <c r="J53" s="49">
        <f t="shared" si="18"/>
        <v>0</v>
      </c>
    </row>
    <row r="54" spans="1:32">
      <c r="A54" s="49" t="s">
        <v>270</v>
      </c>
      <c r="B54" s="49" t="s">
        <v>479</v>
      </c>
      <c r="C54" s="49">
        <f>ROUND((EXP(7.032824+1*0.622482)*((C6/1.852)^ 0.40303))/(1.15*0.0059)/1000000,3)</f>
        <v>0</v>
      </c>
      <c r="D54" s="49">
        <f t="shared" ref="D54:J54" si="19">ROUND((EXP(7.032824+1*0.622482)*((D6/1.852)^ 0.40303))/(1.15*0.0059)/1000000,3)</f>
        <v>1.256</v>
      </c>
      <c r="E54" s="49">
        <f t="shared" si="19"/>
        <v>1.077</v>
      </c>
      <c r="F54" s="49">
        <f t="shared" si="19"/>
        <v>1.345</v>
      </c>
      <c r="G54" s="49">
        <f t="shared" si="19"/>
        <v>1.2390000000000001</v>
      </c>
      <c r="H54" s="49">
        <f t="shared" si="19"/>
        <v>1.1459999999999999</v>
      </c>
      <c r="I54" s="49">
        <f t="shared" si="19"/>
        <v>1.2589999999999999</v>
      </c>
      <c r="J54" s="49">
        <f t="shared" si="19"/>
        <v>1.23</v>
      </c>
    </row>
    <row r="55" spans="1:32">
      <c r="A55" t="s">
        <v>270</v>
      </c>
      <c r="B55" s="49" t="s">
        <v>480</v>
      </c>
      <c r="C55" s="49">
        <f t="shared" ref="C55:J61" si="20">ROUND((EXP(7.032824+1*0.622482)*((C7/1.852)^ 0.40303))/(1.15*0.0059)/1000000,3)</f>
        <v>1.256</v>
      </c>
      <c r="D55" s="49">
        <f t="shared" si="20"/>
        <v>0</v>
      </c>
      <c r="E55" s="49">
        <f t="shared" si="20"/>
        <v>1.389</v>
      </c>
      <c r="F55" s="49">
        <f t="shared" si="20"/>
        <v>1.4330000000000001</v>
      </c>
      <c r="G55" s="49">
        <f t="shared" si="20"/>
        <v>1.5069999999999999</v>
      </c>
      <c r="H55" s="49">
        <f t="shared" si="20"/>
        <v>1.2809999999999999</v>
      </c>
      <c r="I55" s="49">
        <f t="shared" si="20"/>
        <v>1.1870000000000001</v>
      </c>
      <c r="J55" s="49">
        <f t="shared" si="20"/>
        <v>1.083</v>
      </c>
    </row>
    <row r="56" spans="1:32">
      <c r="A56" t="s">
        <v>270</v>
      </c>
      <c r="B56" s="49" t="s">
        <v>481</v>
      </c>
      <c r="C56" s="49">
        <f t="shared" si="20"/>
        <v>1.077</v>
      </c>
      <c r="D56" s="49">
        <f t="shared" si="20"/>
        <v>1.389</v>
      </c>
      <c r="E56" s="49">
        <f t="shared" si="20"/>
        <v>0</v>
      </c>
      <c r="F56" s="49">
        <f t="shared" si="20"/>
        <v>1.4570000000000001</v>
      </c>
      <c r="G56" s="49">
        <f t="shared" si="20"/>
        <v>0.89800000000000002</v>
      </c>
      <c r="H56" s="49">
        <f t="shared" si="20"/>
        <v>1.121</v>
      </c>
      <c r="I56" s="49">
        <f t="shared" si="20"/>
        <v>1.5069999999999999</v>
      </c>
      <c r="J56" s="49">
        <f t="shared" si="20"/>
        <v>1.331</v>
      </c>
    </row>
    <row r="57" spans="1:32">
      <c r="A57" t="s">
        <v>270</v>
      </c>
      <c r="B57" s="49" t="s">
        <v>487</v>
      </c>
      <c r="C57" s="49">
        <f t="shared" si="20"/>
        <v>1.345</v>
      </c>
      <c r="D57" s="49">
        <f t="shared" si="20"/>
        <v>1.4330000000000001</v>
      </c>
      <c r="E57" s="49">
        <f t="shared" si="20"/>
        <v>1.4570000000000001</v>
      </c>
      <c r="F57" s="49">
        <f t="shared" si="20"/>
        <v>0</v>
      </c>
      <c r="G57" s="49">
        <f t="shared" si="20"/>
        <v>1.1259999999999999</v>
      </c>
      <c r="H57" s="49">
        <f t="shared" si="20"/>
        <v>0.83799999999999997</v>
      </c>
      <c r="I57" s="49">
        <f t="shared" si="20"/>
        <v>1.08</v>
      </c>
      <c r="J57" s="49">
        <f t="shared" si="20"/>
        <v>1.0960000000000001</v>
      </c>
    </row>
    <row r="58" spans="1:32">
      <c r="A58" t="s">
        <v>270</v>
      </c>
      <c r="B58" s="49" t="s">
        <v>486</v>
      </c>
      <c r="C58" s="49">
        <f t="shared" si="20"/>
        <v>1.2390000000000001</v>
      </c>
      <c r="D58" s="49">
        <f t="shared" si="20"/>
        <v>1.5069999999999999</v>
      </c>
      <c r="E58" s="49">
        <f t="shared" si="20"/>
        <v>0.89800000000000002</v>
      </c>
      <c r="F58" s="49">
        <f t="shared" si="20"/>
        <v>1.1259999999999999</v>
      </c>
      <c r="G58" s="49">
        <f t="shared" si="20"/>
        <v>0</v>
      </c>
      <c r="H58" s="49">
        <f t="shared" si="20"/>
        <v>1.2529999999999999</v>
      </c>
      <c r="I58" s="49">
        <f t="shared" si="20"/>
        <v>1.407</v>
      </c>
      <c r="J58" s="49">
        <f t="shared" si="20"/>
        <v>1.3240000000000001</v>
      </c>
    </row>
    <row r="59" spans="1:32">
      <c r="A59" t="s">
        <v>270</v>
      </c>
      <c r="B59" s="49" t="s">
        <v>483</v>
      </c>
      <c r="C59" s="49">
        <f t="shared" si="20"/>
        <v>1.1459999999999999</v>
      </c>
      <c r="D59" s="49">
        <f t="shared" si="20"/>
        <v>1.2809999999999999</v>
      </c>
      <c r="E59" s="49">
        <f t="shared" si="20"/>
        <v>1.121</v>
      </c>
      <c r="F59" s="49">
        <f t="shared" si="20"/>
        <v>0.83799999999999997</v>
      </c>
      <c r="G59" s="49">
        <f t="shared" si="20"/>
        <v>1.2529999999999999</v>
      </c>
      <c r="H59" s="49">
        <f t="shared" si="20"/>
        <v>0</v>
      </c>
      <c r="I59" s="49">
        <f t="shared" si="20"/>
        <v>0.80400000000000005</v>
      </c>
      <c r="J59" s="49">
        <f t="shared" si="20"/>
        <v>0.80700000000000005</v>
      </c>
    </row>
    <row r="60" spans="1:32">
      <c r="A60" t="s">
        <v>270</v>
      </c>
      <c r="B60" s="49" t="s">
        <v>484</v>
      </c>
      <c r="C60" s="49">
        <f t="shared" si="20"/>
        <v>1.2589999999999999</v>
      </c>
      <c r="D60" s="49">
        <f t="shared" si="20"/>
        <v>1.1870000000000001</v>
      </c>
      <c r="E60" s="49">
        <f t="shared" si="20"/>
        <v>1.5069999999999999</v>
      </c>
      <c r="F60" s="49">
        <f t="shared" si="20"/>
        <v>1.08</v>
      </c>
      <c r="G60" s="49">
        <f t="shared" si="20"/>
        <v>1.407</v>
      </c>
      <c r="H60" s="49">
        <f t="shared" si="20"/>
        <v>0.80400000000000005</v>
      </c>
      <c r="I60" s="49">
        <f t="shared" si="20"/>
        <v>0</v>
      </c>
      <c r="J60" s="49">
        <f t="shared" si="20"/>
        <v>0.88100000000000001</v>
      </c>
    </row>
    <row r="61" spans="1:32">
      <c r="A61" t="s">
        <v>270</v>
      </c>
      <c r="B61" s="49" t="s">
        <v>485</v>
      </c>
      <c r="C61" s="49">
        <f t="shared" si="20"/>
        <v>1.23</v>
      </c>
      <c r="D61" s="49">
        <f t="shared" si="20"/>
        <v>1.083</v>
      </c>
      <c r="E61" s="49">
        <f t="shared" si="20"/>
        <v>1.331</v>
      </c>
      <c r="F61" s="49">
        <f t="shared" si="20"/>
        <v>1.0960000000000001</v>
      </c>
      <c r="G61" s="49">
        <f t="shared" si="20"/>
        <v>1.3240000000000001</v>
      </c>
      <c r="H61" s="49">
        <f t="shared" si="20"/>
        <v>0.80700000000000005</v>
      </c>
      <c r="I61" s="49">
        <f t="shared" si="20"/>
        <v>0.88100000000000001</v>
      </c>
      <c r="J61" s="49">
        <f t="shared" si="20"/>
        <v>0</v>
      </c>
    </row>
    <row r="64" spans="1:32"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</row>
    <row r="65" spans="2:2">
      <c r="B65" s="17"/>
    </row>
    <row r="66" spans="2:2">
      <c r="B66" s="17"/>
    </row>
    <row r="67" spans="2:2">
      <c r="B67" s="17"/>
    </row>
    <row r="68" spans="2:2">
      <c r="B68" s="17"/>
    </row>
    <row r="69" spans="2:2">
      <c r="B69" s="17"/>
    </row>
    <row r="70" spans="2:2">
      <c r="B70" s="17"/>
    </row>
    <row r="71" spans="2:2">
      <c r="B71" s="17"/>
    </row>
    <row r="72" spans="2:2">
      <c r="B72" s="17"/>
    </row>
    <row r="73" spans="2:2">
      <c r="B73" s="17"/>
    </row>
    <row r="74" spans="2:2">
      <c r="B74" s="17"/>
    </row>
    <row r="75" spans="2:2">
      <c r="B75" s="17"/>
    </row>
    <row r="76" spans="2:2">
      <c r="B76" s="17"/>
    </row>
    <row r="77" spans="2:2">
      <c r="B77" s="17"/>
    </row>
    <row r="78" spans="2:2">
      <c r="B78" s="17"/>
    </row>
    <row r="79" spans="2:2">
      <c r="B79" s="17"/>
    </row>
    <row r="80" spans="2:2">
      <c r="B80" s="17"/>
    </row>
    <row r="81" spans="2:2">
      <c r="B81" s="17"/>
    </row>
    <row r="82" spans="2:2">
      <c r="B82" s="17"/>
    </row>
    <row r="83" spans="2:2">
      <c r="B83" s="17"/>
    </row>
    <row r="84" spans="2:2">
      <c r="B84" s="17"/>
    </row>
    <row r="85" spans="2:2">
      <c r="B85" s="17"/>
    </row>
    <row r="86" spans="2:2">
      <c r="B86" s="17"/>
    </row>
    <row r="87" spans="2:2">
      <c r="B87" s="17"/>
    </row>
    <row r="88" spans="2:2">
      <c r="B88" s="17"/>
    </row>
    <row r="89" spans="2:2">
      <c r="B89" s="17"/>
    </row>
    <row r="90" spans="2:2">
      <c r="B90" s="17"/>
    </row>
    <row r="91" spans="2:2">
      <c r="B91" s="17"/>
    </row>
    <row r="92" spans="2:2">
      <c r="B92" s="17"/>
    </row>
    <row r="94" spans="2:2">
      <c r="B94" s="17"/>
    </row>
    <row r="95" spans="2:2">
      <c r="B95" s="17"/>
    </row>
    <row r="96" spans="2:2">
      <c r="B96" s="17"/>
    </row>
    <row r="97" spans="2:2">
      <c r="B97" s="17"/>
    </row>
    <row r="98" spans="2:2">
      <c r="B98" s="17"/>
    </row>
    <row r="99" spans="2:2">
      <c r="B99" s="17"/>
    </row>
    <row r="100" spans="2:2">
      <c r="B100" s="17"/>
    </row>
    <row r="101" spans="2:2">
      <c r="B101" s="17"/>
    </row>
    <row r="102" spans="2:2">
      <c r="B102" s="17"/>
    </row>
    <row r="103" spans="2:2">
      <c r="B103" s="17"/>
    </row>
    <row r="104" spans="2:2">
      <c r="B104" s="17"/>
    </row>
    <row r="105" spans="2:2">
      <c r="B105" s="17"/>
    </row>
    <row r="106" spans="2:2">
      <c r="B106" s="17"/>
    </row>
    <row r="107" spans="2:2">
      <c r="B107" s="17"/>
    </row>
    <row r="108" spans="2:2">
      <c r="B108" s="17"/>
    </row>
    <row r="109" spans="2:2">
      <c r="B109" s="17"/>
    </row>
    <row r="110" spans="2:2">
      <c r="B110" s="17"/>
    </row>
    <row r="111" spans="2:2">
      <c r="B111" s="17"/>
    </row>
    <row r="112" spans="2:2">
      <c r="B112" s="17"/>
    </row>
    <row r="113" spans="2:2">
      <c r="B113" s="17"/>
    </row>
    <row r="114" spans="2:2">
      <c r="B114" s="17"/>
    </row>
    <row r="115" spans="2:2">
      <c r="B115" s="17"/>
    </row>
    <row r="116" spans="2:2">
      <c r="B116" s="17"/>
    </row>
    <row r="117" spans="2:2">
      <c r="B117" s="17"/>
    </row>
    <row r="118" spans="2:2">
      <c r="B118" s="17"/>
    </row>
    <row r="119" spans="2:2">
      <c r="B119" s="17"/>
    </row>
    <row r="120" spans="2:2">
      <c r="B120" s="17"/>
    </row>
    <row r="121" spans="2:2">
      <c r="B121" s="17"/>
    </row>
    <row r="122" spans="2:2">
      <c r="B122" s="17"/>
    </row>
    <row r="124" spans="2:2">
      <c r="B124" s="17"/>
    </row>
    <row r="125" spans="2:2">
      <c r="B125" s="17"/>
    </row>
    <row r="126" spans="2:2">
      <c r="B126" s="17"/>
    </row>
    <row r="127" spans="2:2">
      <c r="B127" s="17"/>
    </row>
    <row r="128" spans="2:2">
      <c r="B128" s="17"/>
    </row>
    <row r="129" spans="2:2">
      <c r="B129" s="17"/>
    </row>
    <row r="130" spans="2:2">
      <c r="B130" s="17"/>
    </row>
    <row r="131" spans="2:2">
      <c r="B131" s="17"/>
    </row>
    <row r="132" spans="2:2">
      <c r="B132" s="17"/>
    </row>
    <row r="133" spans="2:2">
      <c r="B133" s="17"/>
    </row>
    <row r="134" spans="2:2">
      <c r="B134" s="17"/>
    </row>
    <row r="135" spans="2:2">
      <c r="B135" s="17"/>
    </row>
    <row r="136" spans="2:2">
      <c r="B136" s="17"/>
    </row>
    <row r="137" spans="2:2">
      <c r="B137" s="17"/>
    </row>
    <row r="138" spans="2:2">
      <c r="B138" s="17"/>
    </row>
    <row r="139" spans="2:2">
      <c r="B139" s="17"/>
    </row>
    <row r="140" spans="2:2">
      <c r="B140" s="17"/>
    </row>
    <row r="141" spans="2:2">
      <c r="B141" s="17"/>
    </row>
    <row r="142" spans="2:2">
      <c r="B142" s="17"/>
    </row>
    <row r="143" spans="2:2">
      <c r="B143" s="17"/>
    </row>
    <row r="144" spans="2:2">
      <c r="B144" s="17"/>
    </row>
    <row r="145" spans="2:2">
      <c r="B145" s="17"/>
    </row>
    <row r="146" spans="2:2">
      <c r="B146" s="17"/>
    </row>
    <row r="147" spans="2:2">
      <c r="B147" s="17"/>
    </row>
    <row r="148" spans="2:2">
      <c r="B148" s="17"/>
    </row>
    <row r="149" spans="2:2">
      <c r="B149" s="17"/>
    </row>
    <row r="150" spans="2:2">
      <c r="B150" s="17"/>
    </row>
    <row r="151" spans="2:2">
      <c r="B151" s="17"/>
    </row>
    <row r="152" spans="2:2">
      <c r="B152" s="17"/>
    </row>
    <row r="154" spans="2:2">
      <c r="B154" s="17"/>
    </row>
    <row r="155" spans="2:2">
      <c r="B155" s="17"/>
    </row>
    <row r="156" spans="2:2">
      <c r="B156" s="17"/>
    </row>
    <row r="157" spans="2:2">
      <c r="B157" s="17"/>
    </row>
    <row r="158" spans="2:2">
      <c r="B158" s="17"/>
    </row>
    <row r="159" spans="2:2">
      <c r="B159" s="17"/>
    </row>
    <row r="160" spans="2:2">
      <c r="B160" s="17"/>
    </row>
    <row r="161" spans="2:2">
      <c r="B161" s="17"/>
    </row>
    <row r="162" spans="2:2">
      <c r="B162" s="17"/>
    </row>
    <row r="163" spans="2:2">
      <c r="B163" s="17"/>
    </row>
    <row r="164" spans="2:2">
      <c r="B164" s="17"/>
    </row>
    <row r="165" spans="2:2">
      <c r="B165" s="17"/>
    </row>
    <row r="166" spans="2:2">
      <c r="B166" s="17"/>
    </row>
    <row r="167" spans="2:2">
      <c r="B167" s="17"/>
    </row>
    <row r="168" spans="2:2">
      <c r="B168" s="17"/>
    </row>
    <row r="169" spans="2:2">
      <c r="B169" s="17"/>
    </row>
    <row r="170" spans="2:2">
      <c r="B170" s="17"/>
    </row>
    <row r="171" spans="2:2">
      <c r="B171" s="17"/>
    </row>
    <row r="172" spans="2:2">
      <c r="B172" s="17"/>
    </row>
    <row r="173" spans="2:2">
      <c r="B173" s="17"/>
    </row>
    <row r="174" spans="2:2">
      <c r="B174" s="17"/>
    </row>
    <row r="175" spans="2:2">
      <c r="B175" s="17"/>
    </row>
    <row r="176" spans="2:2">
      <c r="B176" s="17"/>
    </row>
    <row r="177" spans="2:2">
      <c r="B177" s="17"/>
    </row>
    <row r="178" spans="2:2">
      <c r="B178" s="17"/>
    </row>
    <row r="179" spans="2:2">
      <c r="B179" s="17"/>
    </row>
    <row r="180" spans="2:2">
      <c r="B180" s="17"/>
    </row>
    <row r="181" spans="2:2">
      <c r="B181" s="17"/>
    </row>
    <row r="182" spans="2:2">
      <c r="B182" s="17"/>
    </row>
    <row r="184" spans="2:2">
      <c r="B184" s="17"/>
    </row>
    <row r="185" spans="2:2">
      <c r="B185" s="17"/>
    </row>
    <row r="186" spans="2:2">
      <c r="B186" s="17"/>
    </row>
    <row r="187" spans="2:2">
      <c r="B187" s="17"/>
    </row>
    <row r="188" spans="2:2">
      <c r="B188" s="17"/>
    </row>
    <row r="189" spans="2:2">
      <c r="B189" s="17"/>
    </row>
    <row r="190" spans="2:2">
      <c r="B190" s="17"/>
    </row>
    <row r="191" spans="2:2">
      <c r="B191" s="17"/>
    </row>
    <row r="192" spans="2:2">
      <c r="B192" s="17"/>
    </row>
    <row r="193" spans="2:2">
      <c r="B193" s="17"/>
    </row>
    <row r="194" spans="2:2">
      <c r="B194" s="17"/>
    </row>
    <row r="195" spans="2:2">
      <c r="B195" s="17"/>
    </row>
    <row r="196" spans="2:2">
      <c r="B196" s="17"/>
    </row>
    <row r="197" spans="2:2">
      <c r="B197" s="17"/>
    </row>
    <row r="198" spans="2:2">
      <c r="B198" s="17"/>
    </row>
    <row r="199" spans="2:2">
      <c r="B199" s="17"/>
    </row>
    <row r="200" spans="2:2">
      <c r="B200" s="17"/>
    </row>
    <row r="201" spans="2:2">
      <c r="B201" s="17"/>
    </row>
    <row r="202" spans="2:2">
      <c r="B202" s="17"/>
    </row>
    <row r="203" spans="2:2">
      <c r="B203" s="17"/>
    </row>
    <row r="204" spans="2:2">
      <c r="B204" s="17"/>
    </row>
    <row r="205" spans="2:2">
      <c r="B205" s="17"/>
    </row>
    <row r="206" spans="2:2">
      <c r="B206" s="17"/>
    </row>
    <row r="207" spans="2:2">
      <c r="B207" s="17"/>
    </row>
    <row r="208" spans="2:2">
      <c r="B208" s="17"/>
    </row>
    <row r="209" spans="2:2">
      <c r="B209" s="17"/>
    </row>
    <row r="210" spans="2:2">
      <c r="B210" s="17"/>
    </row>
    <row r="211" spans="2:2">
      <c r="B211" s="17"/>
    </row>
    <row r="212" spans="2:2">
      <c r="B212" s="17"/>
    </row>
    <row r="214" spans="2:2">
      <c r="B214" s="17"/>
    </row>
    <row r="215" spans="2:2">
      <c r="B215" s="17"/>
    </row>
    <row r="216" spans="2:2">
      <c r="B216" s="17"/>
    </row>
    <row r="217" spans="2:2">
      <c r="B217" s="17"/>
    </row>
    <row r="218" spans="2:2">
      <c r="B218" s="17"/>
    </row>
    <row r="219" spans="2:2">
      <c r="B219" s="17"/>
    </row>
    <row r="220" spans="2:2">
      <c r="B220" s="17"/>
    </row>
    <row r="221" spans="2:2">
      <c r="B221" s="17"/>
    </row>
    <row r="222" spans="2:2">
      <c r="B222" s="17"/>
    </row>
    <row r="223" spans="2:2">
      <c r="B223" s="17"/>
    </row>
    <row r="224" spans="2:2">
      <c r="B224" s="17"/>
    </row>
    <row r="225" spans="2:2">
      <c r="B225" s="17"/>
    </row>
    <row r="226" spans="2:2">
      <c r="B226" s="17"/>
    </row>
    <row r="227" spans="2:2">
      <c r="B227" s="17"/>
    </row>
    <row r="228" spans="2:2">
      <c r="B228" s="17"/>
    </row>
    <row r="229" spans="2:2">
      <c r="B229" s="17"/>
    </row>
    <row r="230" spans="2:2">
      <c r="B230" s="17"/>
    </row>
    <row r="231" spans="2:2">
      <c r="B231" s="17"/>
    </row>
    <row r="232" spans="2:2">
      <c r="B232" s="17"/>
    </row>
    <row r="233" spans="2:2">
      <c r="B233" s="17"/>
    </row>
    <row r="234" spans="2:2">
      <c r="B234" s="17"/>
    </row>
    <row r="235" spans="2:2">
      <c r="B235" s="17"/>
    </row>
    <row r="236" spans="2:2">
      <c r="B236" s="17"/>
    </row>
    <row r="237" spans="2:2">
      <c r="B237" s="17"/>
    </row>
    <row r="238" spans="2:2">
      <c r="B238" s="17"/>
    </row>
    <row r="239" spans="2:2">
      <c r="B239" s="17"/>
    </row>
    <row r="240" spans="2:2">
      <c r="B240" s="17"/>
    </row>
    <row r="241" spans="2:2">
      <c r="B241" s="17"/>
    </row>
    <row r="242" spans="2:2">
      <c r="B242" s="17"/>
    </row>
    <row r="244" spans="2:2">
      <c r="B244" s="17"/>
    </row>
    <row r="245" spans="2:2">
      <c r="B245" s="17"/>
    </row>
    <row r="246" spans="2:2">
      <c r="B246" s="17"/>
    </row>
    <row r="247" spans="2:2">
      <c r="B247" s="17"/>
    </row>
    <row r="248" spans="2:2">
      <c r="B248" s="17"/>
    </row>
    <row r="249" spans="2:2">
      <c r="B249" s="17"/>
    </row>
    <row r="250" spans="2:2">
      <c r="B250" s="17"/>
    </row>
    <row r="251" spans="2:2">
      <c r="B251" s="17"/>
    </row>
    <row r="252" spans="2:2">
      <c r="B252" s="17"/>
    </row>
    <row r="253" spans="2:2">
      <c r="B253" s="17"/>
    </row>
    <row r="254" spans="2:2">
      <c r="B254" s="17"/>
    </row>
    <row r="255" spans="2:2">
      <c r="B255" s="17"/>
    </row>
    <row r="256" spans="2:2">
      <c r="B256" s="17"/>
    </row>
    <row r="257" spans="2:2">
      <c r="B257" s="17"/>
    </row>
    <row r="258" spans="2:2">
      <c r="B258" s="17"/>
    </row>
    <row r="259" spans="2:2">
      <c r="B259" s="17"/>
    </row>
    <row r="260" spans="2:2">
      <c r="B260" s="17"/>
    </row>
    <row r="261" spans="2:2">
      <c r="B261" s="17"/>
    </row>
    <row r="262" spans="2:2">
      <c r="B262" s="17"/>
    </row>
    <row r="263" spans="2:2">
      <c r="B263" s="17"/>
    </row>
    <row r="264" spans="2:2">
      <c r="B264" s="17"/>
    </row>
    <row r="265" spans="2:2">
      <c r="B265" s="17"/>
    </row>
    <row r="266" spans="2:2">
      <c r="B266" s="17"/>
    </row>
    <row r="267" spans="2:2">
      <c r="B267" s="17"/>
    </row>
    <row r="268" spans="2:2">
      <c r="B268" s="17"/>
    </row>
    <row r="269" spans="2:2">
      <c r="B269" s="17"/>
    </row>
    <row r="270" spans="2:2">
      <c r="B270" s="17"/>
    </row>
    <row r="271" spans="2:2">
      <c r="B271" s="17"/>
    </row>
    <row r="272" spans="2:2">
      <c r="B272" s="17"/>
    </row>
    <row r="274" spans="2:2">
      <c r="B274" s="17"/>
    </row>
    <row r="275" spans="2:2">
      <c r="B275" s="17"/>
    </row>
    <row r="276" spans="2:2">
      <c r="B276" s="17"/>
    </row>
    <row r="277" spans="2:2">
      <c r="B277" s="17"/>
    </row>
    <row r="278" spans="2:2">
      <c r="B278" s="17"/>
    </row>
    <row r="279" spans="2:2">
      <c r="B279" s="17"/>
    </row>
    <row r="280" spans="2:2">
      <c r="B280" s="17"/>
    </row>
    <row r="281" spans="2:2">
      <c r="B281" s="17"/>
    </row>
    <row r="282" spans="2:2">
      <c r="B282" s="17"/>
    </row>
    <row r="283" spans="2:2">
      <c r="B283" s="17"/>
    </row>
    <row r="284" spans="2:2">
      <c r="B284" s="17"/>
    </row>
    <row r="285" spans="2:2">
      <c r="B285" s="17"/>
    </row>
    <row r="286" spans="2:2">
      <c r="B286" s="17"/>
    </row>
    <row r="287" spans="2:2">
      <c r="B287" s="17"/>
    </row>
    <row r="288" spans="2:2">
      <c r="B288" s="17"/>
    </row>
    <row r="289" spans="2:2">
      <c r="B289" s="17"/>
    </row>
    <row r="290" spans="2:2">
      <c r="B290" s="17"/>
    </row>
    <row r="291" spans="2:2">
      <c r="B291" s="17"/>
    </row>
    <row r="292" spans="2:2">
      <c r="B292" s="17"/>
    </row>
    <row r="293" spans="2:2">
      <c r="B293" s="17"/>
    </row>
    <row r="294" spans="2:2">
      <c r="B294" s="17"/>
    </row>
    <row r="295" spans="2:2">
      <c r="B295" s="17"/>
    </row>
    <row r="296" spans="2:2">
      <c r="B296" s="17"/>
    </row>
    <row r="297" spans="2:2">
      <c r="B297" s="17"/>
    </row>
    <row r="298" spans="2:2">
      <c r="B298" s="17"/>
    </row>
    <row r="299" spans="2:2">
      <c r="B299" s="17"/>
    </row>
    <row r="300" spans="2:2">
      <c r="B300" s="17"/>
    </row>
    <row r="301" spans="2:2">
      <c r="B301" s="17"/>
    </row>
    <row r="302" spans="2:2">
      <c r="B302" s="17"/>
    </row>
    <row r="304" spans="2:2">
      <c r="B304" s="17"/>
    </row>
    <row r="305" spans="2:2">
      <c r="B305" s="17"/>
    </row>
    <row r="306" spans="2:2">
      <c r="B306" s="17"/>
    </row>
    <row r="307" spans="2:2">
      <c r="B307" s="17"/>
    </row>
    <row r="308" spans="2:2">
      <c r="B308" s="17"/>
    </row>
    <row r="309" spans="2:2">
      <c r="B309" s="17"/>
    </row>
    <row r="310" spans="2:2">
      <c r="B310" s="17"/>
    </row>
    <row r="311" spans="2:2">
      <c r="B311" s="17"/>
    </row>
    <row r="312" spans="2:2">
      <c r="B312" s="17"/>
    </row>
    <row r="313" spans="2:2">
      <c r="B313" s="17"/>
    </row>
    <row r="314" spans="2:2">
      <c r="B314" s="17"/>
    </row>
    <row r="315" spans="2:2">
      <c r="B315" s="17"/>
    </row>
    <row r="316" spans="2:2">
      <c r="B316" s="17"/>
    </row>
    <row r="317" spans="2:2">
      <c r="B317" s="17"/>
    </row>
    <row r="318" spans="2:2">
      <c r="B318" s="17"/>
    </row>
    <row r="319" spans="2:2">
      <c r="B319" s="17"/>
    </row>
    <row r="320" spans="2:2">
      <c r="B320" s="17"/>
    </row>
    <row r="321" spans="2:2">
      <c r="B321" s="17"/>
    </row>
    <row r="322" spans="2:2">
      <c r="B322" s="17"/>
    </row>
    <row r="323" spans="2:2">
      <c r="B323" s="17"/>
    </row>
    <row r="324" spans="2:2">
      <c r="B324" s="17"/>
    </row>
    <row r="325" spans="2:2">
      <c r="B325" s="17"/>
    </row>
    <row r="326" spans="2:2">
      <c r="B326" s="17"/>
    </row>
    <row r="327" spans="2:2">
      <c r="B327" s="17"/>
    </row>
    <row r="328" spans="2:2">
      <c r="B328" s="17"/>
    </row>
    <row r="329" spans="2:2">
      <c r="B329" s="17"/>
    </row>
    <row r="330" spans="2:2">
      <c r="B330" s="17"/>
    </row>
    <row r="331" spans="2:2">
      <c r="B331" s="17"/>
    </row>
    <row r="332" spans="2:2">
      <c r="B332" s="17"/>
    </row>
    <row r="334" spans="2:2">
      <c r="B334" s="17"/>
    </row>
    <row r="335" spans="2:2">
      <c r="B335" s="17"/>
    </row>
    <row r="336" spans="2:2">
      <c r="B336" s="17"/>
    </row>
    <row r="337" spans="2:2">
      <c r="B337" s="17"/>
    </row>
    <row r="338" spans="2:2">
      <c r="B338" s="17"/>
    </row>
    <row r="339" spans="2:2">
      <c r="B339" s="17"/>
    </row>
    <row r="340" spans="2:2">
      <c r="B340" s="17"/>
    </row>
    <row r="341" spans="2:2">
      <c r="B341" s="17"/>
    </row>
    <row r="342" spans="2:2">
      <c r="B342" s="17"/>
    </row>
    <row r="343" spans="2:2">
      <c r="B343" s="17"/>
    </row>
    <row r="344" spans="2:2">
      <c r="B344" s="17"/>
    </row>
    <row r="345" spans="2:2">
      <c r="B345" s="17"/>
    </row>
    <row r="346" spans="2:2">
      <c r="B346" s="17"/>
    </row>
    <row r="347" spans="2:2">
      <c r="B347" s="17"/>
    </row>
    <row r="348" spans="2:2">
      <c r="B348" s="17"/>
    </row>
    <row r="349" spans="2:2">
      <c r="B349" s="17"/>
    </row>
    <row r="350" spans="2:2">
      <c r="B350" s="17"/>
    </row>
    <row r="351" spans="2:2">
      <c r="B351" s="17"/>
    </row>
    <row r="352" spans="2:2">
      <c r="B352" s="17"/>
    </row>
    <row r="353" spans="2:2">
      <c r="B353" s="17"/>
    </row>
    <row r="354" spans="2:2">
      <c r="B354" s="17"/>
    </row>
    <row r="355" spans="2:2">
      <c r="B355" s="17"/>
    </row>
    <row r="356" spans="2:2">
      <c r="B356" s="17"/>
    </row>
    <row r="357" spans="2:2">
      <c r="B357" s="17"/>
    </row>
    <row r="358" spans="2:2">
      <c r="B358" s="17"/>
    </row>
    <row r="359" spans="2:2">
      <c r="B359" s="17"/>
    </row>
    <row r="360" spans="2:2">
      <c r="B360" s="17"/>
    </row>
    <row r="361" spans="2:2">
      <c r="B361" s="17"/>
    </row>
    <row r="362" spans="2:2">
      <c r="B362" s="17"/>
    </row>
    <row r="364" spans="2:2">
      <c r="B364" s="17"/>
    </row>
    <row r="365" spans="2:2">
      <c r="B365" s="17"/>
    </row>
    <row r="366" spans="2:2">
      <c r="B366" s="17"/>
    </row>
    <row r="367" spans="2:2">
      <c r="B367" s="17"/>
    </row>
    <row r="368" spans="2:2">
      <c r="B368" s="17"/>
    </row>
    <row r="369" spans="2:2">
      <c r="B369" s="17"/>
    </row>
    <row r="370" spans="2:2">
      <c r="B370" s="17"/>
    </row>
    <row r="371" spans="2:2">
      <c r="B371" s="17"/>
    </row>
    <row r="372" spans="2:2">
      <c r="B372" s="17"/>
    </row>
    <row r="373" spans="2:2">
      <c r="B373" s="17"/>
    </row>
    <row r="374" spans="2:2">
      <c r="B374" s="17"/>
    </row>
    <row r="375" spans="2:2">
      <c r="B375" s="17"/>
    </row>
    <row r="376" spans="2:2">
      <c r="B376" s="17"/>
    </row>
    <row r="377" spans="2:2">
      <c r="B377" s="17"/>
    </row>
    <row r="378" spans="2:2">
      <c r="B378" s="17"/>
    </row>
    <row r="379" spans="2:2">
      <c r="B379" s="17"/>
    </row>
    <row r="380" spans="2:2">
      <c r="B380" s="17"/>
    </row>
    <row r="381" spans="2:2">
      <c r="B381" s="17"/>
    </row>
    <row r="382" spans="2:2">
      <c r="B382" s="17"/>
    </row>
    <row r="383" spans="2:2">
      <c r="B383" s="17"/>
    </row>
    <row r="384" spans="2:2">
      <c r="B384" s="17"/>
    </row>
    <row r="385" spans="2:2">
      <c r="B385" s="17"/>
    </row>
    <row r="386" spans="2:2">
      <c r="B386" s="17"/>
    </row>
    <row r="387" spans="2:2">
      <c r="B387" s="17"/>
    </row>
    <row r="388" spans="2:2">
      <c r="B388" s="17"/>
    </row>
    <row r="389" spans="2:2">
      <c r="B389" s="17"/>
    </row>
    <row r="390" spans="2:2">
      <c r="B390" s="17"/>
    </row>
    <row r="391" spans="2:2">
      <c r="B391" s="17"/>
    </row>
    <row r="392" spans="2:2">
      <c r="B392" s="17"/>
    </row>
    <row r="394" spans="2:2">
      <c r="B394" s="17"/>
    </row>
    <row r="395" spans="2:2">
      <c r="B395" s="17"/>
    </row>
    <row r="396" spans="2:2">
      <c r="B396" s="17"/>
    </row>
    <row r="397" spans="2:2">
      <c r="B397" s="17"/>
    </row>
    <row r="398" spans="2:2">
      <c r="B398" s="17"/>
    </row>
    <row r="399" spans="2:2">
      <c r="B399" s="17"/>
    </row>
    <row r="400" spans="2:2">
      <c r="B400" s="17"/>
    </row>
    <row r="401" spans="2:2">
      <c r="B401" s="17"/>
    </row>
    <row r="402" spans="2:2">
      <c r="B402" s="17"/>
    </row>
    <row r="403" spans="2:2">
      <c r="B403" s="17"/>
    </row>
    <row r="404" spans="2:2">
      <c r="B404" s="17"/>
    </row>
    <row r="405" spans="2:2">
      <c r="B405" s="17"/>
    </row>
    <row r="406" spans="2:2">
      <c r="B406" s="17"/>
    </row>
    <row r="407" spans="2:2">
      <c r="B407" s="17"/>
    </row>
    <row r="408" spans="2:2">
      <c r="B408" s="17"/>
    </row>
    <row r="409" spans="2:2">
      <c r="B409" s="17"/>
    </row>
    <row r="410" spans="2:2">
      <c r="B410" s="17"/>
    </row>
    <row r="411" spans="2:2">
      <c r="B411" s="17"/>
    </row>
    <row r="412" spans="2:2">
      <c r="B412" s="17"/>
    </row>
    <row r="413" spans="2:2">
      <c r="B413" s="17"/>
    </row>
    <row r="414" spans="2:2">
      <c r="B414" s="17"/>
    </row>
    <row r="415" spans="2:2">
      <c r="B415" s="17"/>
    </row>
    <row r="416" spans="2:2">
      <c r="B416" s="17"/>
    </row>
    <row r="417" spans="2:2">
      <c r="B417" s="17"/>
    </row>
    <row r="418" spans="2:2">
      <c r="B418" s="17"/>
    </row>
    <row r="419" spans="2:2">
      <c r="B419" s="17"/>
    </row>
    <row r="420" spans="2:2">
      <c r="B420" s="17"/>
    </row>
    <row r="421" spans="2:2">
      <c r="B421" s="17"/>
    </row>
    <row r="422" spans="2:2">
      <c r="B422" s="17"/>
    </row>
    <row r="424" spans="2:2">
      <c r="B424" s="17"/>
    </row>
    <row r="425" spans="2:2">
      <c r="B425" s="17"/>
    </row>
    <row r="426" spans="2:2">
      <c r="B426" s="17"/>
    </row>
    <row r="427" spans="2:2">
      <c r="B427" s="17"/>
    </row>
    <row r="428" spans="2:2">
      <c r="B428" s="17"/>
    </row>
    <row r="429" spans="2:2">
      <c r="B429" s="17"/>
    </row>
    <row r="430" spans="2:2">
      <c r="B430" s="17"/>
    </row>
    <row r="431" spans="2:2">
      <c r="B431" s="17"/>
    </row>
    <row r="432" spans="2:2">
      <c r="B432" s="17"/>
    </row>
    <row r="433" spans="2:2">
      <c r="B433" s="17"/>
    </row>
    <row r="434" spans="2:2">
      <c r="B434" s="17"/>
    </row>
    <row r="435" spans="2:2">
      <c r="B435" s="17"/>
    </row>
    <row r="436" spans="2:2">
      <c r="B436" s="17"/>
    </row>
    <row r="437" spans="2:2">
      <c r="B437" s="17"/>
    </row>
    <row r="438" spans="2:2">
      <c r="B438" s="17"/>
    </row>
    <row r="439" spans="2:2">
      <c r="B439" s="17"/>
    </row>
    <row r="440" spans="2:2">
      <c r="B440" s="17"/>
    </row>
    <row r="441" spans="2:2">
      <c r="B441" s="17"/>
    </row>
    <row r="442" spans="2:2">
      <c r="B442" s="17"/>
    </row>
    <row r="443" spans="2:2">
      <c r="B443" s="17"/>
    </row>
    <row r="444" spans="2:2">
      <c r="B444" s="17"/>
    </row>
    <row r="445" spans="2:2">
      <c r="B445" s="17"/>
    </row>
    <row r="446" spans="2:2">
      <c r="B446" s="17"/>
    </row>
    <row r="447" spans="2:2">
      <c r="B447" s="17"/>
    </row>
    <row r="448" spans="2:2">
      <c r="B448" s="17"/>
    </row>
    <row r="449" spans="2:2">
      <c r="B449" s="17"/>
    </row>
    <row r="450" spans="2:2">
      <c r="B450" s="17"/>
    </row>
    <row r="451" spans="2:2">
      <c r="B451" s="17"/>
    </row>
    <row r="452" spans="2:2">
      <c r="B452" s="17"/>
    </row>
    <row r="454" spans="2:2">
      <c r="B454" s="17"/>
    </row>
    <row r="455" spans="2:2">
      <c r="B455" s="17"/>
    </row>
    <row r="456" spans="2:2">
      <c r="B456" s="17"/>
    </row>
    <row r="457" spans="2:2">
      <c r="B457" s="17"/>
    </row>
    <row r="458" spans="2:2">
      <c r="B458" s="17"/>
    </row>
    <row r="459" spans="2:2">
      <c r="B459" s="17"/>
    </row>
    <row r="460" spans="2:2">
      <c r="B460" s="17"/>
    </row>
    <row r="461" spans="2:2">
      <c r="B461" s="17"/>
    </row>
    <row r="462" spans="2:2">
      <c r="B462" s="17"/>
    </row>
    <row r="463" spans="2:2">
      <c r="B463" s="17"/>
    </row>
    <row r="464" spans="2:2">
      <c r="B464" s="17"/>
    </row>
    <row r="465" spans="2:2">
      <c r="B465" s="17"/>
    </row>
    <row r="466" spans="2:2">
      <c r="B466" s="17"/>
    </row>
    <row r="467" spans="2:2">
      <c r="B467" s="17"/>
    </row>
    <row r="468" spans="2:2">
      <c r="B468" s="17"/>
    </row>
    <row r="469" spans="2:2">
      <c r="B469" s="17"/>
    </row>
    <row r="470" spans="2:2">
      <c r="B470" s="17"/>
    </row>
    <row r="471" spans="2:2">
      <c r="B471" s="17"/>
    </row>
    <row r="472" spans="2:2">
      <c r="B472" s="17"/>
    </row>
    <row r="473" spans="2:2">
      <c r="B473" s="17"/>
    </row>
    <row r="474" spans="2:2">
      <c r="B474" s="17"/>
    </row>
    <row r="475" spans="2:2">
      <c r="B475" s="17"/>
    </row>
    <row r="476" spans="2:2">
      <c r="B476" s="17"/>
    </row>
    <row r="477" spans="2:2">
      <c r="B477" s="17"/>
    </row>
    <row r="478" spans="2:2">
      <c r="B478" s="17"/>
    </row>
    <row r="479" spans="2:2">
      <c r="B479" s="17"/>
    </row>
    <row r="480" spans="2:2">
      <c r="B480" s="17"/>
    </row>
    <row r="481" spans="2:2">
      <c r="B481" s="17"/>
    </row>
    <row r="482" spans="2:2">
      <c r="B482" s="17"/>
    </row>
    <row r="484" spans="2:2">
      <c r="B484" s="17"/>
    </row>
    <row r="485" spans="2:2">
      <c r="B485" s="17"/>
    </row>
    <row r="486" spans="2:2">
      <c r="B486" s="17"/>
    </row>
    <row r="487" spans="2:2">
      <c r="B487" s="17"/>
    </row>
    <row r="488" spans="2:2">
      <c r="B488" s="17"/>
    </row>
    <row r="489" spans="2:2">
      <c r="B489" s="17"/>
    </row>
    <row r="490" spans="2:2">
      <c r="B490" s="17"/>
    </row>
    <row r="491" spans="2:2">
      <c r="B491" s="17"/>
    </row>
    <row r="492" spans="2:2">
      <c r="B492" s="17"/>
    </row>
    <row r="493" spans="2:2">
      <c r="B493" s="17"/>
    </row>
    <row r="494" spans="2:2">
      <c r="B494" s="17"/>
    </row>
    <row r="495" spans="2:2">
      <c r="B495" s="17"/>
    </row>
    <row r="496" spans="2:2">
      <c r="B496" s="17"/>
    </row>
    <row r="497" spans="2:2">
      <c r="B497" s="17"/>
    </row>
    <row r="498" spans="2:2">
      <c r="B498" s="17"/>
    </row>
    <row r="499" spans="2:2">
      <c r="B499" s="17"/>
    </row>
    <row r="500" spans="2:2">
      <c r="B500" s="17"/>
    </row>
    <row r="501" spans="2:2">
      <c r="B501" s="17"/>
    </row>
    <row r="502" spans="2:2">
      <c r="B502" s="17"/>
    </row>
    <row r="503" spans="2:2">
      <c r="B503" s="17"/>
    </row>
    <row r="504" spans="2:2">
      <c r="B504" s="17"/>
    </row>
    <row r="505" spans="2:2">
      <c r="B505" s="17"/>
    </row>
    <row r="506" spans="2:2">
      <c r="B506" s="17"/>
    </row>
    <row r="507" spans="2:2">
      <c r="B507" s="17"/>
    </row>
    <row r="508" spans="2:2">
      <c r="B508" s="17"/>
    </row>
    <row r="509" spans="2:2">
      <c r="B509" s="17"/>
    </row>
    <row r="510" spans="2:2">
      <c r="B510" s="17"/>
    </row>
    <row r="511" spans="2:2">
      <c r="B511" s="17"/>
    </row>
    <row r="512" spans="2:2">
      <c r="B512" s="17"/>
    </row>
    <row r="514" spans="2:2">
      <c r="B514" s="17"/>
    </row>
    <row r="515" spans="2:2">
      <c r="B515" s="17"/>
    </row>
    <row r="516" spans="2:2">
      <c r="B516" s="17"/>
    </row>
    <row r="517" spans="2:2">
      <c r="B517" s="17"/>
    </row>
    <row r="518" spans="2:2">
      <c r="B518" s="17"/>
    </row>
    <row r="519" spans="2:2">
      <c r="B519" s="17"/>
    </row>
    <row r="520" spans="2:2">
      <c r="B520" s="17"/>
    </row>
    <row r="521" spans="2:2">
      <c r="B521" s="17"/>
    </row>
    <row r="522" spans="2:2">
      <c r="B522" s="17"/>
    </row>
    <row r="523" spans="2:2">
      <c r="B523" s="17"/>
    </row>
    <row r="524" spans="2:2">
      <c r="B524" s="17"/>
    </row>
    <row r="525" spans="2:2">
      <c r="B525" s="17"/>
    </row>
    <row r="526" spans="2:2">
      <c r="B526" s="17"/>
    </row>
    <row r="527" spans="2:2">
      <c r="B527" s="17"/>
    </row>
    <row r="528" spans="2:2">
      <c r="B528" s="17"/>
    </row>
    <row r="529" spans="2:2">
      <c r="B529" s="17"/>
    </row>
    <row r="530" spans="2:2">
      <c r="B530" s="17"/>
    </row>
    <row r="531" spans="2:2">
      <c r="B531" s="17"/>
    </row>
    <row r="532" spans="2:2">
      <c r="B532" s="17"/>
    </row>
    <row r="533" spans="2:2">
      <c r="B533" s="17"/>
    </row>
    <row r="534" spans="2:2">
      <c r="B534" s="17"/>
    </row>
    <row r="535" spans="2:2">
      <c r="B535" s="17"/>
    </row>
    <row r="536" spans="2:2">
      <c r="B536" s="17"/>
    </row>
    <row r="537" spans="2:2">
      <c r="B537" s="17"/>
    </row>
    <row r="538" spans="2:2">
      <c r="B538" s="17"/>
    </row>
    <row r="539" spans="2:2">
      <c r="B539" s="17"/>
    </row>
    <row r="540" spans="2:2">
      <c r="B540" s="17"/>
    </row>
    <row r="541" spans="2:2">
      <c r="B541" s="17"/>
    </row>
    <row r="542" spans="2:2">
      <c r="B542" s="17"/>
    </row>
    <row r="544" spans="2:2">
      <c r="B544" s="1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Tabelle4">
    <tabColor theme="5" tint="0.79998168889431442"/>
  </sheetPr>
  <dimension ref="A1:J34"/>
  <sheetViews>
    <sheetView workbookViewId="0">
      <selection activeCell="I10" sqref="I10"/>
    </sheetView>
  </sheetViews>
  <sheetFormatPr defaultColWidth="11.42578125" defaultRowHeight="15"/>
  <cols>
    <col min="1" max="1" width="12.85546875" customWidth="1"/>
    <col min="2" max="2" width="17.5703125" bestFit="1" customWidth="1"/>
    <col min="3" max="3" width="15.42578125" bestFit="1" customWidth="1"/>
    <col min="4" max="4" width="13" bestFit="1" customWidth="1"/>
    <col min="5" max="5" width="14.7109375" bestFit="1" customWidth="1"/>
    <col min="6" max="6" width="18.28515625" bestFit="1" customWidth="1"/>
    <col min="7" max="7" width="11.85546875" bestFit="1" customWidth="1"/>
    <col min="8" max="8" width="16.140625" bestFit="1" customWidth="1"/>
    <col min="9" max="9" width="19.85546875" bestFit="1" customWidth="1"/>
    <col min="10" max="10" width="15.5703125" bestFit="1" customWidth="1"/>
  </cols>
  <sheetData>
    <row r="1" spans="1:10">
      <c r="A1" t="s">
        <v>367</v>
      </c>
    </row>
    <row r="2" spans="1:10">
      <c r="A2" t="s">
        <v>177</v>
      </c>
    </row>
    <row r="3" spans="1:10">
      <c r="A3" t="s">
        <v>478</v>
      </c>
    </row>
    <row r="5" spans="1:10">
      <c r="C5" s="52" t="s">
        <v>479</v>
      </c>
      <c r="D5" s="52" t="s">
        <v>480</v>
      </c>
      <c r="E5" s="52" t="s">
        <v>481</v>
      </c>
      <c r="F5" s="52" t="s">
        <v>487</v>
      </c>
      <c r="G5" s="52" t="s">
        <v>486</v>
      </c>
      <c r="H5" s="52" t="s">
        <v>483</v>
      </c>
      <c r="I5" s="52" t="s">
        <v>484</v>
      </c>
      <c r="J5" s="52" t="s">
        <v>485</v>
      </c>
    </row>
    <row r="6" spans="1:10">
      <c r="C6" s="55">
        <v>2018</v>
      </c>
      <c r="D6" s="51">
        <v>2018</v>
      </c>
      <c r="E6" s="51">
        <v>2018</v>
      </c>
      <c r="F6" s="51">
        <v>2018</v>
      </c>
      <c r="G6" s="51">
        <v>2018</v>
      </c>
      <c r="H6" s="51">
        <v>2018</v>
      </c>
      <c r="I6" s="51">
        <v>2018</v>
      </c>
      <c r="J6" s="51">
        <v>2018</v>
      </c>
    </row>
    <row r="7" spans="1:10">
      <c r="A7" t="s">
        <v>24</v>
      </c>
      <c r="B7" s="49" t="s">
        <v>479</v>
      </c>
      <c r="C7" s="54">
        <v>0</v>
      </c>
      <c r="D7" s="47">
        <v>0</v>
      </c>
      <c r="E7" s="47">
        <v>0</v>
      </c>
      <c r="F7" s="47">
        <v>0</v>
      </c>
      <c r="G7" s="47">
        <v>5.2999999999999999E-2</v>
      </c>
      <c r="H7" s="47">
        <v>0</v>
      </c>
      <c r="I7" s="47">
        <v>0</v>
      </c>
      <c r="J7" s="47">
        <v>0</v>
      </c>
    </row>
    <row r="8" spans="1:10">
      <c r="A8" t="s">
        <v>24</v>
      </c>
      <c r="B8" s="49" t="s">
        <v>480</v>
      </c>
      <c r="C8" s="54">
        <v>0</v>
      </c>
      <c r="D8" s="47">
        <v>0</v>
      </c>
      <c r="E8" s="47">
        <v>0</v>
      </c>
      <c r="F8" s="47">
        <v>0</v>
      </c>
      <c r="G8" s="47">
        <v>0</v>
      </c>
      <c r="H8" s="47">
        <v>0</v>
      </c>
      <c r="I8" s="47">
        <v>0</v>
      </c>
      <c r="J8" s="47">
        <v>5.2999999999999999E-2</v>
      </c>
    </row>
    <row r="9" spans="1:10">
      <c r="A9" t="s">
        <v>24</v>
      </c>
      <c r="B9" s="49" t="s">
        <v>481</v>
      </c>
      <c r="C9" s="54">
        <v>0</v>
      </c>
      <c r="D9" s="47">
        <v>0</v>
      </c>
      <c r="E9" s="47">
        <v>0</v>
      </c>
      <c r="F9" s="47">
        <v>0</v>
      </c>
      <c r="G9" s="47">
        <v>5.2999999999999999E-2</v>
      </c>
      <c r="H9" s="47">
        <v>0</v>
      </c>
      <c r="I9" s="47">
        <v>0</v>
      </c>
      <c r="J9" s="47">
        <v>0</v>
      </c>
    </row>
    <row r="10" spans="1:10">
      <c r="A10" t="s">
        <v>24</v>
      </c>
      <c r="B10" s="49" t="s">
        <v>487</v>
      </c>
      <c r="C10" s="54">
        <v>0</v>
      </c>
      <c r="D10" s="47">
        <v>0</v>
      </c>
      <c r="E10" s="47">
        <v>0</v>
      </c>
      <c r="F10" s="47">
        <v>0</v>
      </c>
      <c r="G10" s="56">
        <v>0.106</v>
      </c>
      <c r="H10" s="47">
        <v>0.20699999999999999</v>
      </c>
      <c r="I10" s="47">
        <v>0</v>
      </c>
      <c r="J10" s="47">
        <v>0</v>
      </c>
    </row>
    <row r="11" spans="1:10">
      <c r="A11" t="s">
        <v>24</v>
      </c>
      <c r="B11" s="49" t="s">
        <v>486</v>
      </c>
      <c r="C11" s="47">
        <v>5.2999999999999999E-2</v>
      </c>
      <c r="D11" s="47">
        <v>0</v>
      </c>
      <c r="E11" s="47">
        <v>5.2999999999999999E-2</v>
      </c>
      <c r="F11" s="47">
        <v>5.2999999999999999E-2</v>
      </c>
      <c r="G11" s="47">
        <v>0</v>
      </c>
      <c r="H11" s="47">
        <v>0</v>
      </c>
      <c r="I11" s="47">
        <v>0</v>
      </c>
      <c r="J11" s="47">
        <v>0</v>
      </c>
    </row>
    <row r="12" spans="1:10">
      <c r="A12" t="s">
        <v>24</v>
      </c>
      <c r="B12" s="49" t="s">
        <v>483</v>
      </c>
      <c r="C12" s="54">
        <v>0</v>
      </c>
      <c r="D12" s="47">
        <v>0</v>
      </c>
      <c r="E12" s="47">
        <v>0</v>
      </c>
      <c r="F12" s="47">
        <v>7.0999999999999994E-2</v>
      </c>
      <c r="G12" s="47">
        <v>0</v>
      </c>
      <c r="H12" s="47">
        <v>0</v>
      </c>
      <c r="I12" s="47">
        <v>7.0999999999999994E-2</v>
      </c>
      <c r="J12" s="47">
        <v>8.3000000000000004E-2</v>
      </c>
    </row>
    <row r="13" spans="1:10">
      <c r="A13" t="s">
        <v>24</v>
      </c>
      <c r="B13" s="49" t="s">
        <v>484</v>
      </c>
      <c r="C13" s="54">
        <v>0</v>
      </c>
      <c r="D13" s="47">
        <v>0</v>
      </c>
      <c r="E13" s="47">
        <v>0</v>
      </c>
      <c r="F13" s="47">
        <v>0</v>
      </c>
      <c r="G13" s="47">
        <v>0</v>
      </c>
      <c r="H13" s="47">
        <v>7.0999999999999994E-2</v>
      </c>
      <c r="I13" s="47">
        <v>0</v>
      </c>
      <c r="J13" s="47">
        <v>0.154</v>
      </c>
    </row>
    <row r="14" spans="1:10">
      <c r="A14" t="s">
        <v>24</v>
      </c>
      <c r="B14" s="49" t="s">
        <v>485</v>
      </c>
      <c r="C14" s="54">
        <v>0</v>
      </c>
      <c r="D14" s="47">
        <v>5.2999999999999999E-2</v>
      </c>
      <c r="E14" s="47">
        <v>0</v>
      </c>
      <c r="F14" s="47">
        <v>0</v>
      </c>
      <c r="G14" s="47">
        <v>0</v>
      </c>
      <c r="H14" s="47">
        <v>8.3000000000000004E-2</v>
      </c>
      <c r="I14" s="47">
        <v>0.154</v>
      </c>
      <c r="J14" s="47">
        <v>0</v>
      </c>
    </row>
    <row r="15" spans="1:10">
      <c r="C15" s="12"/>
    </row>
    <row r="16" spans="1:10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</sheetData>
  <autoFilter ref="B5:I34" xr:uid="{00000000-0009-0000-0000-00000A000000}"/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Tabelle19">
    <tabColor theme="5" tint="0.79998168889431442"/>
  </sheetPr>
  <dimension ref="A1:J41"/>
  <sheetViews>
    <sheetView workbookViewId="0">
      <selection activeCell="U54" sqref="U54"/>
    </sheetView>
  </sheetViews>
  <sheetFormatPr defaultColWidth="11.42578125" defaultRowHeight="15"/>
  <cols>
    <col min="1" max="1" width="7.85546875" customWidth="1"/>
    <col min="2" max="2" width="17.5703125" bestFit="1" customWidth="1"/>
    <col min="3" max="3" width="13.140625" bestFit="1" customWidth="1"/>
    <col min="4" max="4" width="10.7109375" bestFit="1" customWidth="1"/>
    <col min="5" max="5" width="12.42578125" bestFit="1" customWidth="1"/>
    <col min="6" max="6" width="16" bestFit="1" customWidth="1"/>
    <col min="7" max="7" width="9.5703125" bestFit="1" customWidth="1"/>
    <col min="8" max="8" width="13.85546875" bestFit="1" customWidth="1"/>
    <col min="9" max="9" width="17.5703125" bestFit="1" customWidth="1"/>
    <col min="10" max="10" width="15.5703125" bestFit="1" customWidth="1"/>
  </cols>
  <sheetData>
    <row r="1" spans="1:10">
      <c r="A1" t="s">
        <v>369</v>
      </c>
    </row>
    <row r="2" spans="1:10">
      <c r="A2" t="s">
        <v>370</v>
      </c>
    </row>
    <row r="3" spans="1:10">
      <c r="A3" t="s">
        <v>371</v>
      </c>
    </row>
    <row r="5" spans="1:10">
      <c r="C5" s="52" t="s">
        <v>479</v>
      </c>
      <c r="D5" s="52" t="s">
        <v>480</v>
      </c>
      <c r="E5" s="52" t="s">
        <v>481</v>
      </c>
      <c r="F5" s="52" t="s">
        <v>487</v>
      </c>
      <c r="G5" s="52" t="s">
        <v>486</v>
      </c>
      <c r="H5" s="52" t="s">
        <v>483</v>
      </c>
      <c r="I5" s="52" t="s">
        <v>484</v>
      </c>
      <c r="J5" s="52" t="s">
        <v>485</v>
      </c>
    </row>
    <row r="6" spans="1:10">
      <c r="A6" t="s">
        <v>24</v>
      </c>
      <c r="B6" s="49" t="s">
        <v>479</v>
      </c>
      <c r="C6">
        <v>2.1425000000000001</v>
      </c>
      <c r="D6">
        <v>2.1425000000000001</v>
      </c>
      <c r="E6">
        <v>2.1425000000000001</v>
      </c>
      <c r="F6">
        <v>2.1425000000000001</v>
      </c>
      <c r="G6">
        <v>2.1425000000000001</v>
      </c>
      <c r="H6">
        <v>2.1425000000000001</v>
      </c>
      <c r="I6">
        <v>2.1425000000000001</v>
      </c>
      <c r="J6">
        <v>2.1425000000000001</v>
      </c>
    </row>
    <row r="7" spans="1:10">
      <c r="A7" t="s">
        <v>24</v>
      </c>
      <c r="B7" s="49" t="s">
        <v>480</v>
      </c>
      <c r="C7">
        <v>2.1425000000000001</v>
      </c>
      <c r="D7">
        <v>2.1425000000000001</v>
      </c>
      <c r="E7">
        <v>2.1425000000000001</v>
      </c>
      <c r="F7">
        <v>2.1425000000000001</v>
      </c>
      <c r="G7">
        <v>2.1425000000000001</v>
      </c>
      <c r="H7">
        <v>2.1425000000000001</v>
      </c>
      <c r="I7">
        <v>2.1425000000000001</v>
      </c>
      <c r="J7">
        <v>2.1425000000000001</v>
      </c>
    </row>
    <row r="8" spans="1:10">
      <c r="A8" t="s">
        <v>24</v>
      </c>
      <c r="B8" s="49" t="s">
        <v>481</v>
      </c>
      <c r="C8">
        <v>2.1425000000000001</v>
      </c>
      <c r="D8">
        <v>2.1425000000000001</v>
      </c>
      <c r="E8">
        <v>2.1425000000000001</v>
      </c>
      <c r="F8">
        <v>2.1425000000000001</v>
      </c>
      <c r="G8">
        <v>2.1425000000000001</v>
      </c>
      <c r="H8">
        <v>2.1425000000000001</v>
      </c>
      <c r="I8">
        <v>2.1425000000000001</v>
      </c>
      <c r="J8">
        <v>2.1425000000000001</v>
      </c>
    </row>
    <row r="9" spans="1:10">
      <c r="A9" t="s">
        <v>24</v>
      </c>
      <c r="B9" s="49" t="s">
        <v>487</v>
      </c>
      <c r="C9">
        <v>2.1425000000000001</v>
      </c>
      <c r="D9">
        <v>2.1425000000000001</v>
      </c>
      <c r="E9">
        <v>2.1425000000000001</v>
      </c>
      <c r="F9">
        <v>2.1425000000000001</v>
      </c>
      <c r="G9">
        <v>2.1425000000000001</v>
      </c>
      <c r="H9">
        <v>2.1425000000000001</v>
      </c>
      <c r="I9">
        <v>2.1425000000000001</v>
      </c>
      <c r="J9">
        <v>2.1425000000000001</v>
      </c>
    </row>
    <row r="10" spans="1:10">
      <c r="A10" t="s">
        <v>24</v>
      </c>
      <c r="B10" s="49" t="s">
        <v>486</v>
      </c>
      <c r="C10">
        <v>2.1425000000000001</v>
      </c>
      <c r="D10">
        <v>2.1425000000000001</v>
      </c>
      <c r="E10">
        <v>2.1425000000000001</v>
      </c>
      <c r="F10">
        <v>2.1425000000000001</v>
      </c>
      <c r="G10">
        <v>2.1425000000000001</v>
      </c>
      <c r="H10">
        <v>2.1425000000000001</v>
      </c>
      <c r="I10">
        <v>2.1425000000000001</v>
      </c>
      <c r="J10">
        <v>2.1425000000000001</v>
      </c>
    </row>
    <row r="11" spans="1:10">
      <c r="A11" t="s">
        <v>24</v>
      </c>
      <c r="B11" s="49" t="s">
        <v>483</v>
      </c>
      <c r="C11">
        <v>2.1425000000000001</v>
      </c>
      <c r="D11">
        <v>2.1425000000000001</v>
      </c>
      <c r="E11">
        <v>2.1425000000000001</v>
      </c>
      <c r="F11">
        <v>2.1425000000000001</v>
      </c>
      <c r="G11">
        <v>2.1425000000000001</v>
      </c>
      <c r="H11">
        <v>2.1425000000000001</v>
      </c>
      <c r="I11">
        <v>2.1425000000000001</v>
      </c>
      <c r="J11">
        <v>2.1425000000000001</v>
      </c>
    </row>
    <row r="12" spans="1:10">
      <c r="A12" t="s">
        <v>24</v>
      </c>
      <c r="B12" s="49" t="s">
        <v>484</v>
      </c>
      <c r="C12">
        <v>2.1425000000000001</v>
      </c>
      <c r="D12">
        <v>2.1425000000000001</v>
      </c>
      <c r="E12">
        <v>2.1425000000000001</v>
      </c>
      <c r="F12">
        <v>2.1425000000000001</v>
      </c>
      <c r="G12">
        <v>2.1425000000000001</v>
      </c>
      <c r="H12">
        <v>2.1425000000000001</v>
      </c>
      <c r="I12">
        <v>2.1425000000000001</v>
      </c>
      <c r="J12">
        <v>2.1425000000000001</v>
      </c>
    </row>
    <row r="13" spans="1:10">
      <c r="A13" t="s">
        <v>24</v>
      </c>
      <c r="B13" s="49" t="s">
        <v>485</v>
      </c>
      <c r="C13">
        <v>2.1425000000000001</v>
      </c>
      <c r="D13">
        <v>2.1425000000000001</v>
      </c>
      <c r="E13">
        <v>2.1425000000000001</v>
      </c>
      <c r="F13">
        <v>2.1425000000000001</v>
      </c>
      <c r="G13">
        <v>2.1425000000000001</v>
      </c>
      <c r="H13">
        <v>2.1425000000000001</v>
      </c>
      <c r="I13">
        <v>2.1425000000000001</v>
      </c>
      <c r="J13">
        <v>2.1425000000000001</v>
      </c>
    </row>
    <row r="14" spans="1:10">
      <c r="B14" s="12"/>
    </row>
    <row r="15" spans="1:10">
      <c r="B15" s="12"/>
    </row>
    <row r="16" spans="1:10">
      <c r="B16" s="12"/>
    </row>
    <row r="17" spans="2:2">
      <c r="B17" s="12"/>
    </row>
    <row r="18" spans="2:2">
      <c r="B18" s="12"/>
    </row>
    <row r="19" spans="2:2">
      <c r="B19" s="12"/>
    </row>
    <row r="20" spans="2:2">
      <c r="B20" s="12"/>
    </row>
    <row r="21" spans="2:2">
      <c r="B21" s="12"/>
    </row>
    <row r="22" spans="2:2">
      <c r="B22" s="12"/>
    </row>
    <row r="23" spans="2:2">
      <c r="B23" s="12"/>
    </row>
    <row r="24" spans="2:2">
      <c r="B24" s="12"/>
    </row>
    <row r="25" spans="2:2">
      <c r="B25" s="12"/>
    </row>
    <row r="26" spans="2:2">
      <c r="B26" s="12"/>
    </row>
    <row r="27" spans="2:2">
      <c r="B27" s="12"/>
    </row>
    <row r="28" spans="2:2">
      <c r="B28" s="12"/>
    </row>
    <row r="29" spans="2:2">
      <c r="B29" s="12"/>
    </row>
    <row r="30" spans="2:2">
      <c r="B30" s="12"/>
    </row>
    <row r="31" spans="2:2">
      <c r="B31" s="12"/>
    </row>
    <row r="32" spans="2:2">
      <c r="B32" s="12"/>
    </row>
    <row r="33" spans="2:2">
      <c r="B33" s="12"/>
    </row>
    <row r="34" spans="2:2">
      <c r="B34" s="12"/>
    </row>
    <row r="35" spans="2:2">
      <c r="B35" s="12"/>
    </row>
    <row r="36" spans="2:2">
      <c r="B36" s="12"/>
    </row>
    <row r="37" spans="2:2">
      <c r="B37" s="12"/>
    </row>
    <row r="38" spans="2:2">
      <c r="B38" s="12"/>
    </row>
    <row r="39" spans="2:2">
      <c r="B39" s="12"/>
    </row>
    <row r="40" spans="2:2">
      <c r="B40" s="12"/>
    </row>
    <row r="41" spans="2:2">
      <c r="B41" s="12"/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Tabelle20">
    <tabColor theme="5" tint="0.79998168889431442"/>
  </sheetPr>
  <dimension ref="A1:K41"/>
  <sheetViews>
    <sheetView workbookViewId="0">
      <selection activeCell="D6" sqref="D6"/>
    </sheetView>
  </sheetViews>
  <sheetFormatPr defaultColWidth="11.42578125" defaultRowHeight="15"/>
  <cols>
    <col min="1" max="1" width="5" bestFit="1" customWidth="1"/>
    <col min="2" max="2" width="9" customWidth="1"/>
    <col min="3" max="3" width="17.5703125" bestFit="1" customWidth="1"/>
    <col min="4" max="4" width="13.140625" bestFit="1" customWidth="1"/>
    <col min="5" max="5" width="10.7109375" bestFit="1" customWidth="1"/>
    <col min="6" max="6" width="12.42578125" bestFit="1" customWidth="1"/>
    <col min="7" max="7" width="16" bestFit="1" customWidth="1"/>
    <col min="8" max="8" width="9.5703125" bestFit="1" customWidth="1"/>
    <col min="9" max="9" width="13.85546875" bestFit="1" customWidth="1"/>
    <col min="10" max="10" width="17.5703125" bestFit="1" customWidth="1"/>
    <col min="11" max="11" width="15.5703125" bestFit="1" customWidth="1"/>
  </cols>
  <sheetData>
    <row r="1" spans="1:11">
      <c r="A1" t="s">
        <v>374</v>
      </c>
    </row>
    <row r="2" spans="1:11">
      <c r="A2" t="s">
        <v>373</v>
      </c>
    </row>
    <row r="3" spans="1:11">
      <c r="A3" t="s">
        <v>372</v>
      </c>
    </row>
    <row r="5" spans="1:11">
      <c r="D5" s="49" t="s">
        <v>479</v>
      </c>
      <c r="E5" s="49" t="s">
        <v>480</v>
      </c>
      <c r="F5" s="49" t="s">
        <v>481</v>
      </c>
      <c r="G5" s="49" t="s">
        <v>487</v>
      </c>
      <c r="H5" s="49" t="s">
        <v>486</v>
      </c>
      <c r="I5" s="49" t="s">
        <v>483</v>
      </c>
      <c r="J5" s="49" t="s">
        <v>484</v>
      </c>
      <c r="K5" s="49" t="s">
        <v>485</v>
      </c>
    </row>
    <row r="6" spans="1:11">
      <c r="A6">
        <v>2018</v>
      </c>
      <c r="B6" t="s">
        <v>24</v>
      </c>
      <c r="C6" s="49" t="s">
        <v>479</v>
      </c>
      <c r="D6">
        <v>2</v>
      </c>
      <c r="E6">
        <v>2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</row>
    <row r="7" spans="1:11">
      <c r="A7">
        <v>2018</v>
      </c>
      <c r="B7" t="s">
        <v>24</v>
      </c>
      <c r="C7" s="49" t="s">
        <v>480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</row>
    <row r="8" spans="1:11">
      <c r="A8">
        <v>2018</v>
      </c>
      <c r="B8" t="s">
        <v>24</v>
      </c>
      <c r="C8" s="49" t="s">
        <v>481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</row>
    <row r="9" spans="1:11">
      <c r="A9">
        <v>2018</v>
      </c>
      <c r="B9" t="s">
        <v>24</v>
      </c>
      <c r="C9" s="49" t="s">
        <v>487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</row>
    <row r="10" spans="1:11">
      <c r="A10">
        <v>2018</v>
      </c>
      <c r="B10" t="s">
        <v>24</v>
      </c>
      <c r="C10" s="49" t="s">
        <v>486</v>
      </c>
      <c r="D10">
        <v>2</v>
      </c>
      <c r="E10">
        <v>2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</row>
    <row r="11" spans="1:11">
      <c r="A11">
        <v>2018</v>
      </c>
      <c r="B11" t="s">
        <v>24</v>
      </c>
      <c r="C11" s="49" t="s">
        <v>483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>
        <v>2018</v>
      </c>
      <c r="B12" t="s">
        <v>24</v>
      </c>
      <c r="C12" s="49" t="s">
        <v>484</v>
      </c>
      <c r="D12">
        <v>2</v>
      </c>
      <c r="E12">
        <v>2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</row>
    <row r="13" spans="1:11">
      <c r="A13">
        <v>2018</v>
      </c>
      <c r="B13" t="s">
        <v>24</v>
      </c>
      <c r="C13" s="49" t="s">
        <v>485</v>
      </c>
      <c r="D13">
        <v>2</v>
      </c>
      <c r="E13">
        <v>2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</row>
    <row r="14" spans="1:11">
      <c r="C14" s="12"/>
    </row>
    <row r="15" spans="1:11">
      <c r="C15" s="12"/>
    </row>
    <row r="16" spans="1:11">
      <c r="C16" s="12"/>
    </row>
    <row r="17" spans="3:3">
      <c r="C17" s="12"/>
    </row>
    <row r="18" spans="3:3">
      <c r="C18" s="12"/>
    </row>
    <row r="19" spans="3:3">
      <c r="C19" s="12"/>
    </row>
    <row r="20" spans="3:3">
      <c r="C20" s="12"/>
    </row>
    <row r="21" spans="3:3">
      <c r="C21" s="12"/>
    </row>
    <row r="22" spans="3:3">
      <c r="C22" s="12"/>
    </row>
    <row r="23" spans="3:3">
      <c r="C23" s="12"/>
    </row>
    <row r="24" spans="3:3">
      <c r="C24" s="12"/>
    </row>
    <row r="25" spans="3:3">
      <c r="C25" s="12"/>
    </row>
    <row r="26" spans="3:3">
      <c r="C26" s="12"/>
    </row>
    <row r="27" spans="3:3">
      <c r="C27" s="12"/>
    </row>
    <row r="28" spans="3:3">
      <c r="C28" s="12"/>
    </row>
    <row r="29" spans="3:3">
      <c r="C29" s="12"/>
    </row>
    <row r="30" spans="3:3">
      <c r="C30" s="12"/>
    </row>
    <row r="31" spans="3:3">
      <c r="C31" s="12"/>
    </row>
    <row r="32" spans="3:3">
      <c r="C32" s="12"/>
    </row>
    <row r="33" spans="3:3">
      <c r="C33" s="12"/>
    </row>
    <row r="34" spans="3:3">
      <c r="C34" s="12"/>
    </row>
    <row r="35" spans="3:3">
      <c r="C35" s="12"/>
    </row>
    <row r="36" spans="3:3">
      <c r="C36" s="12"/>
    </row>
    <row r="37" spans="3:3">
      <c r="C37" s="12"/>
    </row>
    <row r="38" spans="3:3">
      <c r="C38" s="12"/>
    </row>
    <row r="39" spans="3:3">
      <c r="C39" s="12"/>
    </row>
    <row r="40" spans="3:3">
      <c r="C40" s="12"/>
    </row>
    <row r="41" spans="3:3">
      <c r="C41" s="12"/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Tabelle34"/>
  <dimension ref="A1:K5"/>
  <sheetViews>
    <sheetView workbookViewId="0">
      <selection activeCell="A4" sqref="A4"/>
    </sheetView>
  </sheetViews>
  <sheetFormatPr defaultColWidth="11.42578125" defaultRowHeight="15"/>
  <cols>
    <col min="1" max="1" width="24.42578125" customWidth="1"/>
  </cols>
  <sheetData>
    <row r="1" spans="1:11">
      <c r="A1" t="s">
        <v>375</v>
      </c>
    </row>
    <row r="2" spans="1:11">
      <c r="A2" t="s">
        <v>62</v>
      </c>
    </row>
    <row r="3" spans="1:11">
      <c r="A3" t="s">
        <v>378</v>
      </c>
    </row>
    <row r="4" spans="1:11">
      <c r="B4" s="11"/>
      <c r="C4" s="11"/>
      <c r="D4" s="11"/>
      <c r="E4" s="11"/>
      <c r="F4" s="11"/>
      <c r="G4" s="11"/>
      <c r="H4" s="11"/>
      <c r="I4" s="11"/>
      <c r="J4" s="11"/>
      <c r="K4" s="11"/>
    </row>
    <row r="5" spans="1:11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Tabelle33"/>
  <dimension ref="A1:N6"/>
  <sheetViews>
    <sheetView topLeftCell="A16" workbookViewId="0">
      <selection activeCell="L33" sqref="L33"/>
    </sheetView>
  </sheetViews>
  <sheetFormatPr defaultColWidth="11.42578125" defaultRowHeight="15"/>
  <cols>
    <col min="1" max="1" width="25.42578125" customWidth="1"/>
    <col min="4" max="4" width="11.42578125" customWidth="1"/>
    <col min="9" max="10" width="11.42578125" customWidth="1"/>
  </cols>
  <sheetData>
    <row r="1" spans="1:14">
      <c r="A1" t="s">
        <v>376</v>
      </c>
    </row>
    <row r="2" spans="1:14">
      <c r="A2" t="s">
        <v>377</v>
      </c>
    </row>
    <row r="3" spans="1:14">
      <c r="A3" t="s">
        <v>378</v>
      </c>
    </row>
    <row r="4" spans="1:14">
      <c r="L4" s="61"/>
      <c r="M4" s="61"/>
      <c r="N4" s="61"/>
    </row>
    <row r="5" spans="1:14"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14">
      <c r="A6" t="s">
        <v>0</v>
      </c>
      <c r="B6">
        <v>99999</v>
      </c>
      <c r="C6">
        <v>99999</v>
      </c>
      <c r="D6">
        <v>99999</v>
      </c>
      <c r="E6">
        <v>99999</v>
      </c>
      <c r="F6">
        <v>99999</v>
      </c>
      <c r="G6">
        <v>99999</v>
      </c>
      <c r="H6">
        <v>99999</v>
      </c>
      <c r="I6">
        <v>99999</v>
      </c>
    </row>
  </sheetData>
  <mergeCells count="1">
    <mergeCell ref="L4:N4"/>
  </mergeCells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13"/>
  <sheetViews>
    <sheetView workbookViewId="0">
      <selection activeCell="A13" sqref="A13:J13"/>
    </sheetView>
  </sheetViews>
  <sheetFormatPr defaultColWidth="11.42578125" defaultRowHeight="15"/>
  <cols>
    <col min="1" max="2" width="25.42578125" customWidth="1"/>
    <col min="5" max="5" width="11.42578125" customWidth="1"/>
    <col min="10" max="11" width="11.42578125" customWidth="1"/>
  </cols>
  <sheetData>
    <row r="1" spans="1:10">
      <c r="A1" t="s">
        <v>379</v>
      </c>
    </row>
    <row r="2" spans="1:10">
      <c r="A2" t="s">
        <v>336</v>
      </c>
    </row>
    <row r="3" spans="1:10">
      <c r="A3" t="s">
        <v>378</v>
      </c>
    </row>
    <row r="5" spans="1:10">
      <c r="A5" t="s">
        <v>25</v>
      </c>
      <c r="B5" t="s">
        <v>324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0</v>
      </c>
      <c r="B6" t="s">
        <v>24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t="s">
        <v>0</v>
      </c>
      <c r="B7" t="s">
        <v>284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t="s">
        <v>0</v>
      </c>
      <c r="B8" t="s">
        <v>318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t="s">
        <v>0</v>
      </c>
      <c r="B9" t="s">
        <v>319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t="s">
        <v>0</v>
      </c>
      <c r="B10" t="s">
        <v>320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t="s">
        <v>0</v>
      </c>
      <c r="B11" t="s">
        <v>321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t="s">
        <v>0</v>
      </c>
      <c r="B12" t="s">
        <v>322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t="s">
        <v>0</v>
      </c>
      <c r="B13" t="s">
        <v>435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Tabelle35">
    <tabColor theme="5" tint="0.79998168889431442"/>
  </sheetPr>
  <dimension ref="A1:J41"/>
  <sheetViews>
    <sheetView workbookViewId="0">
      <selection activeCell="C13" sqref="C13:D13"/>
    </sheetView>
  </sheetViews>
  <sheetFormatPr defaultColWidth="11.42578125" defaultRowHeight="15"/>
  <cols>
    <col min="1" max="1" width="25.42578125" customWidth="1"/>
    <col min="4" max="4" width="11.42578125" customWidth="1"/>
    <col min="9" max="10" width="11.42578125" customWidth="1"/>
  </cols>
  <sheetData>
    <row r="1" spans="1:10">
      <c r="A1" t="s">
        <v>380</v>
      </c>
    </row>
    <row r="2" spans="1:10">
      <c r="A2" t="s">
        <v>63</v>
      </c>
    </row>
    <row r="3" spans="1:10">
      <c r="A3" t="s">
        <v>378</v>
      </c>
    </row>
    <row r="5" spans="1:10">
      <c r="A5" t="s">
        <v>20</v>
      </c>
      <c r="B5" t="s">
        <v>25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479</v>
      </c>
      <c r="B6" t="s">
        <v>0</v>
      </c>
      <c r="C6">
        <v>999999</v>
      </c>
      <c r="D6">
        <v>999999</v>
      </c>
      <c r="E6">
        <v>999999</v>
      </c>
      <c r="F6">
        <v>999999</v>
      </c>
      <c r="G6">
        <v>999999</v>
      </c>
      <c r="H6">
        <v>999999</v>
      </c>
      <c r="I6">
        <v>999999</v>
      </c>
      <c r="J6">
        <v>999999</v>
      </c>
    </row>
    <row r="7" spans="1:10">
      <c r="A7" s="49" t="s">
        <v>480</v>
      </c>
      <c r="B7" t="s">
        <v>0</v>
      </c>
      <c r="C7">
        <v>999999</v>
      </c>
      <c r="D7">
        <v>999999</v>
      </c>
      <c r="E7">
        <v>999999</v>
      </c>
      <c r="F7">
        <v>999999</v>
      </c>
      <c r="G7">
        <v>999999</v>
      </c>
      <c r="H7">
        <v>999999</v>
      </c>
      <c r="I7">
        <v>999999</v>
      </c>
      <c r="J7">
        <v>999999</v>
      </c>
    </row>
    <row r="8" spans="1:10">
      <c r="A8" s="49" t="s">
        <v>481</v>
      </c>
      <c r="B8" t="s">
        <v>0</v>
      </c>
      <c r="C8">
        <v>999999</v>
      </c>
      <c r="D8">
        <v>999999</v>
      </c>
      <c r="E8">
        <v>999999</v>
      </c>
      <c r="F8">
        <v>999999</v>
      </c>
      <c r="G8">
        <v>999999</v>
      </c>
      <c r="H8">
        <v>999999</v>
      </c>
      <c r="I8">
        <v>999999</v>
      </c>
      <c r="J8">
        <v>999999</v>
      </c>
    </row>
    <row r="9" spans="1:10">
      <c r="A9" s="49" t="s">
        <v>487</v>
      </c>
      <c r="B9" t="s">
        <v>0</v>
      </c>
      <c r="C9">
        <v>999999</v>
      </c>
      <c r="D9">
        <v>999999</v>
      </c>
      <c r="E9">
        <v>999999</v>
      </c>
      <c r="F9">
        <v>999999</v>
      </c>
      <c r="G9">
        <v>999999</v>
      </c>
      <c r="H9">
        <v>999999</v>
      </c>
      <c r="I9">
        <v>999999</v>
      </c>
      <c r="J9">
        <v>999999</v>
      </c>
    </row>
    <row r="10" spans="1:10">
      <c r="A10" s="49" t="s">
        <v>486</v>
      </c>
      <c r="B10" t="s">
        <v>0</v>
      </c>
      <c r="C10">
        <v>999999</v>
      </c>
      <c r="D10">
        <v>999999</v>
      </c>
      <c r="E10">
        <v>999999</v>
      </c>
      <c r="F10">
        <v>999999</v>
      </c>
      <c r="G10">
        <v>999999</v>
      </c>
      <c r="H10">
        <v>999999</v>
      </c>
      <c r="I10">
        <v>999999</v>
      </c>
      <c r="J10">
        <v>999999</v>
      </c>
    </row>
    <row r="11" spans="1:10">
      <c r="A11" s="49" t="s">
        <v>483</v>
      </c>
      <c r="B11" t="s">
        <v>0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</row>
    <row r="12" spans="1:10">
      <c r="A12" s="49" t="s">
        <v>484</v>
      </c>
      <c r="B12" t="s">
        <v>0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</row>
    <row r="13" spans="1:10">
      <c r="A13" s="49" t="s">
        <v>485</v>
      </c>
      <c r="B13" t="s">
        <v>0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</row>
    <row r="14" spans="1:10">
      <c r="A14" s="12"/>
    </row>
    <row r="15" spans="1:10">
      <c r="A15" s="12"/>
    </row>
    <row r="16" spans="1:10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Tabelle18"/>
  <dimension ref="A1:L113"/>
  <sheetViews>
    <sheetView zoomScale="90" zoomScaleNormal="90" zoomScalePageLayoutView="90" workbookViewId="0">
      <selection activeCell="Q85" sqref="Q85"/>
    </sheetView>
  </sheetViews>
  <sheetFormatPr defaultColWidth="11.42578125" defaultRowHeight="15"/>
  <cols>
    <col min="2" max="2" width="23.42578125" customWidth="1"/>
  </cols>
  <sheetData>
    <row r="1" spans="1:12">
      <c r="A1" t="s">
        <v>384</v>
      </c>
    </row>
    <row r="2" spans="1:12">
      <c r="A2" t="s">
        <v>7</v>
      </c>
    </row>
    <row r="3" spans="1:12">
      <c r="A3" t="s">
        <v>383</v>
      </c>
    </row>
    <row r="5" spans="1:12"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2">
      <c r="A6" s="11" t="s">
        <v>484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2">
      <c r="A7" s="11" t="s">
        <v>484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2">
      <c r="A8" s="11" t="s">
        <v>484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2">
      <c r="A9" s="11" t="s">
        <v>484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2">
      <c r="A10" s="11" t="s">
        <v>484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2">
      <c r="A11" s="11" t="s">
        <v>484</v>
      </c>
      <c r="B11" s="2" t="s">
        <v>126</v>
      </c>
      <c r="C11" t="s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1" t="s">
        <v>484</v>
      </c>
      <c r="B12" s="2" t="s">
        <v>127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</row>
    <row r="13" spans="1:12">
      <c r="A13" s="11" t="s">
        <v>484</v>
      </c>
      <c r="B13" s="2" t="s">
        <v>127</v>
      </c>
      <c r="C13" t="s">
        <v>0</v>
      </c>
      <c r="D13">
        <v>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1" t="s">
        <v>484</v>
      </c>
      <c r="B14" s="2" t="s">
        <v>496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2">
      <c r="A15" s="11" t="s">
        <v>484</v>
      </c>
      <c r="B15" t="s">
        <v>109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2">
      <c r="A16" s="11" t="s">
        <v>484</v>
      </c>
      <c r="B16" t="s">
        <v>110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s="11" t="s">
        <v>484</v>
      </c>
      <c r="B17" t="s">
        <v>112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s="11" t="s">
        <v>484</v>
      </c>
      <c r="B18" t="s">
        <v>156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s="11" t="s">
        <v>484</v>
      </c>
      <c r="B19" t="s">
        <v>115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s="11" t="s">
        <v>484</v>
      </c>
      <c r="B20" t="s">
        <v>116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s="11" t="s">
        <v>484</v>
      </c>
      <c r="B21" t="s">
        <v>118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s="11" t="s">
        <v>484</v>
      </c>
      <c r="B22" t="s">
        <v>155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s="11" t="s">
        <v>484</v>
      </c>
      <c r="B23" t="s">
        <v>103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s="11" t="s">
        <v>484</v>
      </c>
      <c r="B24" t="s">
        <v>102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s="11" t="s">
        <v>484</v>
      </c>
      <c r="B25" t="s">
        <v>22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s="11" t="s">
        <v>484</v>
      </c>
      <c r="B26" t="s">
        <v>56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s="11" t="s">
        <v>484</v>
      </c>
      <c r="B27" s="2" t="s">
        <v>58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s="11" t="s">
        <v>484</v>
      </c>
      <c r="B28" s="2" t="s">
        <v>128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s="11" t="s">
        <v>484</v>
      </c>
      <c r="B29" s="2" t="s">
        <v>59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s="11" t="s">
        <v>484</v>
      </c>
      <c r="B30" s="2" t="s">
        <v>59</v>
      </c>
      <c r="C30" t="s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</row>
    <row r="31" spans="1:12">
      <c r="A31" s="11" t="s">
        <v>484</v>
      </c>
      <c r="B31" s="2" t="s">
        <v>124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s="11" t="s">
        <v>484</v>
      </c>
      <c r="B32" s="2" t="s">
        <v>124</v>
      </c>
      <c r="C32" t="s">
        <v>0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 s="11" t="s">
        <v>484</v>
      </c>
      <c r="B33" t="s">
        <v>193</v>
      </c>
      <c r="C33" t="s">
        <v>0</v>
      </c>
      <c r="D33">
        <v>1</v>
      </c>
      <c r="E33">
        <v>-0.7</v>
      </c>
      <c r="F33" s="10">
        <v>-0.69999999999999984</v>
      </c>
      <c r="G33" s="10">
        <v>-0.69999999999999984</v>
      </c>
      <c r="H33" s="10">
        <v>-0.7</v>
      </c>
      <c r="I33" s="10">
        <v>-0.7</v>
      </c>
      <c r="J33" s="10">
        <v>-0.7</v>
      </c>
      <c r="K33" s="10">
        <v>-0.7</v>
      </c>
      <c r="L33">
        <v>-0.7</v>
      </c>
    </row>
    <row r="34" spans="1:12">
      <c r="A34" s="11" t="s">
        <v>484</v>
      </c>
      <c r="B34" t="s">
        <v>194</v>
      </c>
      <c r="C34" t="s">
        <v>0</v>
      </c>
      <c r="D34">
        <v>1</v>
      </c>
      <c r="E34">
        <v>-0.7</v>
      </c>
      <c r="F34" s="10">
        <v>-0.69999999999999984</v>
      </c>
      <c r="G34" s="10">
        <v>-0.69999999999999984</v>
      </c>
      <c r="H34" s="10">
        <v>-0.7</v>
      </c>
      <c r="I34" s="10">
        <v>-0.7</v>
      </c>
      <c r="J34" s="10">
        <v>-0.7</v>
      </c>
      <c r="K34" s="10">
        <v>-0.7</v>
      </c>
      <c r="L34">
        <v>-0.7</v>
      </c>
    </row>
    <row r="35" spans="1:12">
      <c r="A35" s="11" t="s">
        <v>484</v>
      </c>
      <c r="B35" t="s">
        <v>219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s="11" t="s">
        <v>484</v>
      </c>
      <c r="B36" t="s">
        <v>206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s="11" t="s">
        <v>484</v>
      </c>
      <c r="B37" t="s">
        <v>202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s="11" t="s">
        <v>484</v>
      </c>
      <c r="B38" t="s">
        <v>203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s="11" t="s">
        <v>484</v>
      </c>
      <c r="B39" t="s">
        <v>204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s="11" t="s">
        <v>484</v>
      </c>
      <c r="B40" t="s">
        <v>227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s="11" t="s">
        <v>484</v>
      </c>
      <c r="B41" t="s">
        <v>220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s="11" t="s">
        <v>484</v>
      </c>
      <c r="B42" t="s">
        <v>221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s="11" t="s">
        <v>484</v>
      </c>
      <c r="B43" t="s">
        <v>211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s="11" t="s">
        <v>484</v>
      </c>
      <c r="B44" t="s">
        <v>214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s="11" t="s">
        <v>484</v>
      </c>
      <c r="B45" t="s">
        <v>215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s="11" t="s">
        <v>484</v>
      </c>
      <c r="B46" t="s">
        <v>216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s="11" t="s">
        <v>484</v>
      </c>
      <c r="B47" t="s">
        <v>244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s="11" t="s">
        <v>484</v>
      </c>
      <c r="B48" t="s">
        <v>222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s="11" t="s">
        <v>484</v>
      </c>
      <c r="B49" t="s">
        <v>218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s="11" t="s">
        <v>484</v>
      </c>
      <c r="B50" t="s">
        <v>225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s="11" t="s">
        <v>484</v>
      </c>
      <c r="B51" t="s">
        <v>224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s="11" t="s">
        <v>484</v>
      </c>
      <c r="B52" t="s">
        <v>226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s="11" t="s">
        <v>484</v>
      </c>
      <c r="B53" t="s">
        <v>238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s="11" t="s">
        <v>484</v>
      </c>
      <c r="B54" t="s">
        <v>238</v>
      </c>
      <c r="C54" t="s">
        <v>0</v>
      </c>
      <c r="D54">
        <v>2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s="11" t="s">
        <v>484</v>
      </c>
      <c r="B55" t="s">
        <v>238</v>
      </c>
      <c r="C55" t="s">
        <v>0</v>
      </c>
      <c r="D55">
        <v>3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s="11" t="s">
        <v>484</v>
      </c>
      <c r="B56" t="s">
        <v>238</v>
      </c>
      <c r="C56" t="s">
        <v>0</v>
      </c>
      <c r="D56">
        <v>4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s="11" t="s">
        <v>484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s="11" t="s">
        <v>484</v>
      </c>
      <c r="B58" t="s">
        <v>243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s="11" t="s">
        <v>484</v>
      </c>
      <c r="B59" t="s">
        <v>249</v>
      </c>
      <c r="C59" t="s">
        <v>0</v>
      </c>
      <c r="D59">
        <v>1</v>
      </c>
      <c r="E59">
        <v>0.12</v>
      </c>
      <c r="F59" s="10">
        <v>0.12</v>
      </c>
      <c r="G59" s="10">
        <v>0.12</v>
      </c>
      <c r="H59" s="10">
        <v>0.12</v>
      </c>
      <c r="I59" s="10">
        <v>0.12</v>
      </c>
      <c r="J59" s="10">
        <v>0.12</v>
      </c>
      <c r="K59" s="10">
        <v>0.12</v>
      </c>
      <c r="L59">
        <v>0.12</v>
      </c>
    </row>
    <row r="60" spans="1:12">
      <c r="A60" s="11" t="s">
        <v>484</v>
      </c>
      <c r="B60" t="s">
        <v>249</v>
      </c>
      <c r="C60" t="s">
        <v>0</v>
      </c>
      <c r="D60">
        <v>2</v>
      </c>
      <c r="E60">
        <v>0.12</v>
      </c>
      <c r="F60" s="10">
        <v>0.12</v>
      </c>
      <c r="G60" s="10">
        <v>0.12</v>
      </c>
      <c r="H60" s="10">
        <v>0.12</v>
      </c>
      <c r="I60" s="10">
        <v>0.12</v>
      </c>
      <c r="J60" s="10">
        <v>0.12</v>
      </c>
      <c r="K60" s="10">
        <v>0.12</v>
      </c>
      <c r="L60">
        <v>0.12</v>
      </c>
    </row>
    <row r="61" spans="1:12">
      <c r="A61" s="11" t="s">
        <v>484</v>
      </c>
      <c r="B61" t="s">
        <v>249</v>
      </c>
      <c r="C61" t="s">
        <v>0</v>
      </c>
      <c r="D61">
        <v>3</v>
      </c>
      <c r="E61">
        <v>0.12</v>
      </c>
      <c r="F61" s="10">
        <v>0.12</v>
      </c>
      <c r="G61" s="10">
        <v>0.12</v>
      </c>
      <c r="H61" s="10">
        <v>0.12</v>
      </c>
      <c r="I61" s="10">
        <v>0.12</v>
      </c>
      <c r="J61" s="10">
        <v>0.12</v>
      </c>
      <c r="K61" s="10">
        <v>0.12</v>
      </c>
      <c r="L61">
        <v>0.12</v>
      </c>
    </row>
    <row r="62" spans="1:12">
      <c r="A62" s="11" t="s">
        <v>484</v>
      </c>
      <c r="B62" t="s">
        <v>249</v>
      </c>
      <c r="C62" t="s">
        <v>0</v>
      </c>
      <c r="D62">
        <v>4</v>
      </c>
      <c r="E62">
        <v>0.12</v>
      </c>
      <c r="F62" s="10">
        <v>0.12</v>
      </c>
      <c r="G62" s="10">
        <v>0.12</v>
      </c>
      <c r="H62" s="10">
        <v>0.12</v>
      </c>
      <c r="I62" s="10">
        <v>0.12</v>
      </c>
      <c r="J62" s="10">
        <v>0.12</v>
      </c>
      <c r="K62" s="10">
        <v>0.12</v>
      </c>
      <c r="L62">
        <v>0.12</v>
      </c>
    </row>
    <row r="63" spans="1:12">
      <c r="A63" s="11" t="s">
        <v>484</v>
      </c>
      <c r="B63" t="s">
        <v>250</v>
      </c>
      <c r="C63" t="s">
        <v>0</v>
      </c>
      <c r="D63">
        <v>1</v>
      </c>
      <c r="E63">
        <v>0.12</v>
      </c>
      <c r="F63" s="10">
        <v>0.12</v>
      </c>
      <c r="G63" s="10">
        <v>0.12</v>
      </c>
      <c r="H63" s="10">
        <v>0.12</v>
      </c>
      <c r="I63" s="10">
        <v>0.12</v>
      </c>
      <c r="J63" s="10">
        <v>0.12</v>
      </c>
      <c r="K63" s="10">
        <v>0.12</v>
      </c>
      <c r="L63">
        <v>0.12</v>
      </c>
    </row>
    <row r="64" spans="1:12">
      <c r="A64" s="11" t="s">
        <v>484</v>
      </c>
      <c r="B64" t="s">
        <v>262</v>
      </c>
      <c r="C64" t="s">
        <v>0</v>
      </c>
      <c r="D64">
        <v>1</v>
      </c>
      <c r="E64">
        <v>-0.7</v>
      </c>
      <c r="F64" s="10">
        <v>-0.69999999999999984</v>
      </c>
      <c r="G64" s="10">
        <v>-0.69999999999999984</v>
      </c>
      <c r="H64" s="10">
        <v>-0.7</v>
      </c>
      <c r="I64" s="10">
        <v>-0.7</v>
      </c>
      <c r="J64" s="10">
        <v>-0.7</v>
      </c>
      <c r="K64" s="10">
        <v>-0.7</v>
      </c>
      <c r="L64">
        <v>-0.7</v>
      </c>
    </row>
    <row r="65" spans="1:12">
      <c r="A65" s="11" t="s">
        <v>484</v>
      </c>
      <c r="B65" t="s">
        <v>256</v>
      </c>
      <c r="C65" t="s">
        <v>0</v>
      </c>
      <c r="D65">
        <v>1</v>
      </c>
      <c r="E65">
        <v>0.12</v>
      </c>
      <c r="F65" s="10">
        <v>0.12</v>
      </c>
      <c r="G65" s="10">
        <v>0.12</v>
      </c>
      <c r="H65" s="10">
        <v>0.12</v>
      </c>
      <c r="I65" s="10">
        <v>0.12</v>
      </c>
      <c r="J65" s="10">
        <v>0.12</v>
      </c>
      <c r="K65" s="10">
        <v>0.12</v>
      </c>
      <c r="L65">
        <v>0.12</v>
      </c>
    </row>
    <row r="66" spans="1:12">
      <c r="A66" s="11" t="s">
        <v>484</v>
      </c>
      <c r="B66" t="s">
        <v>257</v>
      </c>
      <c r="C66" t="s">
        <v>0</v>
      </c>
      <c r="D66">
        <v>1</v>
      </c>
      <c r="E66">
        <v>0.12</v>
      </c>
      <c r="F66" s="10">
        <v>0.12</v>
      </c>
      <c r="G66" s="10">
        <v>0.12</v>
      </c>
      <c r="H66" s="10">
        <v>0.12</v>
      </c>
      <c r="I66" s="10">
        <v>0.12</v>
      </c>
      <c r="J66" s="10">
        <v>0.12</v>
      </c>
      <c r="K66" s="10">
        <v>0.12</v>
      </c>
      <c r="L66">
        <v>0.12</v>
      </c>
    </row>
    <row r="67" spans="1:12">
      <c r="A67" s="11" t="s">
        <v>484</v>
      </c>
      <c r="B67" t="s">
        <v>263</v>
      </c>
      <c r="C67" t="s">
        <v>0</v>
      </c>
      <c r="D67">
        <v>1</v>
      </c>
      <c r="E67">
        <v>-0.7</v>
      </c>
      <c r="F67" s="10">
        <v>-0.69999999999999984</v>
      </c>
      <c r="G67" s="10">
        <v>-0.69999999999999984</v>
      </c>
      <c r="H67" s="10">
        <v>-0.7</v>
      </c>
      <c r="I67" s="10">
        <v>-0.7</v>
      </c>
      <c r="J67" s="10">
        <v>-0.7</v>
      </c>
      <c r="K67" s="10">
        <v>-0.7</v>
      </c>
      <c r="L67">
        <v>-0.7</v>
      </c>
    </row>
    <row r="68" spans="1:12">
      <c r="A68" s="11" t="s">
        <v>484</v>
      </c>
      <c r="B68" t="s">
        <v>254</v>
      </c>
      <c r="C68" t="s">
        <v>0</v>
      </c>
      <c r="D68">
        <v>1</v>
      </c>
      <c r="E68">
        <v>0.12</v>
      </c>
      <c r="F68" s="10">
        <v>0.12</v>
      </c>
      <c r="G68" s="10">
        <v>0.12</v>
      </c>
      <c r="H68" s="10">
        <v>0.12</v>
      </c>
      <c r="I68" s="10">
        <v>0.12</v>
      </c>
      <c r="J68" s="10">
        <v>0.12</v>
      </c>
      <c r="K68" s="10">
        <v>0.12</v>
      </c>
      <c r="L68">
        <v>0.12</v>
      </c>
    </row>
    <row r="69" spans="1:12">
      <c r="A69" s="11" t="s">
        <v>484</v>
      </c>
      <c r="B69" t="s">
        <v>255</v>
      </c>
      <c r="C69" t="s">
        <v>0</v>
      </c>
      <c r="D69">
        <v>1</v>
      </c>
      <c r="E69">
        <v>0.12</v>
      </c>
      <c r="F69" s="10">
        <v>0.12</v>
      </c>
      <c r="G69" s="10">
        <v>0.12</v>
      </c>
      <c r="H69" s="10">
        <v>0.12</v>
      </c>
      <c r="I69" s="10">
        <v>0.12</v>
      </c>
      <c r="J69" s="10">
        <v>0.12</v>
      </c>
      <c r="K69" s="10">
        <v>0.12</v>
      </c>
      <c r="L69">
        <v>0.12</v>
      </c>
    </row>
    <row r="70" spans="1:12">
      <c r="A70" s="11" t="s">
        <v>484</v>
      </c>
      <c r="B70" t="s">
        <v>258</v>
      </c>
      <c r="C70" t="s">
        <v>0</v>
      </c>
      <c r="D70">
        <v>1</v>
      </c>
      <c r="E70">
        <v>0.12</v>
      </c>
      <c r="F70" s="10">
        <v>0.12</v>
      </c>
      <c r="G70" s="10">
        <v>0.12</v>
      </c>
      <c r="H70" s="10">
        <v>0.12</v>
      </c>
      <c r="I70" s="10">
        <v>0.12</v>
      </c>
      <c r="J70" s="10">
        <v>0.12</v>
      </c>
      <c r="K70" s="10">
        <v>0.12</v>
      </c>
      <c r="L70">
        <v>0.12</v>
      </c>
    </row>
    <row r="71" spans="1:12">
      <c r="A71" s="11" t="s">
        <v>484</v>
      </c>
      <c r="B71" t="s">
        <v>259</v>
      </c>
      <c r="C71" t="s">
        <v>0</v>
      </c>
      <c r="D71">
        <v>1</v>
      </c>
      <c r="E71">
        <v>0.12</v>
      </c>
      <c r="F71" s="10">
        <v>0.12</v>
      </c>
      <c r="G71" s="10">
        <v>0.12</v>
      </c>
      <c r="H71" s="10">
        <v>0.12</v>
      </c>
      <c r="I71" s="10">
        <v>0.12</v>
      </c>
      <c r="J71" s="10">
        <v>0.12</v>
      </c>
      <c r="K71" s="10">
        <v>0.12</v>
      </c>
      <c r="L71">
        <v>0.12</v>
      </c>
    </row>
    <row r="72" spans="1:12">
      <c r="A72" s="11" t="s">
        <v>484</v>
      </c>
      <c r="B72" t="s">
        <v>251</v>
      </c>
      <c r="C72" t="s">
        <v>0</v>
      </c>
      <c r="D72">
        <v>1</v>
      </c>
      <c r="E72">
        <v>0.12</v>
      </c>
      <c r="F72" s="10">
        <v>0.12</v>
      </c>
      <c r="G72" s="10">
        <v>0.12</v>
      </c>
      <c r="H72" s="10">
        <v>0.12</v>
      </c>
      <c r="I72" s="10">
        <v>0.12</v>
      </c>
      <c r="J72" s="10">
        <v>0.12</v>
      </c>
      <c r="K72" s="10">
        <v>0.12</v>
      </c>
      <c r="L72">
        <v>0.12</v>
      </c>
    </row>
    <row r="73" spans="1:12">
      <c r="A73" s="11" t="s">
        <v>484</v>
      </c>
      <c r="B73" t="s">
        <v>252</v>
      </c>
      <c r="C73" t="s">
        <v>0</v>
      </c>
      <c r="D73">
        <v>1</v>
      </c>
      <c r="E73">
        <v>0.12</v>
      </c>
      <c r="F73" s="10">
        <v>0.12</v>
      </c>
      <c r="G73" s="10">
        <v>0.12</v>
      </c>
      <c r="H73" s="10">
        <v>0.12</v>
      </c>
      <c r="I73" s="10">
        <v>0.12</v>
      </c>
      <c r="J73" s="10">
        <v>0.12</v>
      </c>
      <c r="K73" s="10">
        <v>0.12</v>
      </c>
      <c r="L73">
        <v>0.12</v>
      </c>
    </row>
    <row r="74" spans="1:12">
      <c r="A74" s="11" t="s">
        <v>484</v>
      </c>
      <c r="B74" t="s">
        <v>253</v>
      </c>
      <c r="C74" t="s">
        <v>0</v>
      </c>
      <c r="D74">
        <v>1</v>
      </c>
      <c r="E74">
        <v>0.12</v>
      </c>
      <c r="F74" s="10">
        <v>0.12</v>
      </c>
      <c r="G74" s="10">
        <v>0.12</v>
      </c>
      <c r="H74" s="10">
        <v>0.12</v>
      </c>
      <c r="I74" s="10">
        <v>0.12</v>
      </c>
      <c r="J74" s="10">
        <v>0.12</v>
      </c>
      <c r="K74" s="10">
        <v>0.12</v>
      </c>
      <c r="L74">
        <v>0.12</v>
      </c>
    </row>
    <row r="75" spans="1:12">
      <c r="A75" s="11" t="s">
        <v>484</v>
      </c>
      <c r="B75" t="s">
        <v>260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s="11" t="s">
        <v>484</v>
      </c>
      <c r="B76" t="s">
        <v>261</v>
      </c>
      <c r="C76" t="s">
        <v>0</v>
      </c>
      <c r="D76">
        <v>1</v>
      </c>
      <c r="E76">
        <v>0.12</v>
      </c>
      <c r="F76" s="10">
        <v>0.12</v>
      </c>
      <c r="G76" s="10">
        <v>0.12</v>
      </c>
      <c r="H76" s="10">
        <v>0.12</v>
      </c>
      <c r="I76" s="10">
        <v>0.12</v>
      </c>
      <c r="J76" s="10">
        <v>0.12</v>
      </c>
      <c r="K76" s="10">
        <v>0.12</v>
      </c>
      <c r="L76">
        <v>0.12</v>
      </c>
    </row>
    <row r="77" spans="1:12">
      <c r="A77" s="11" t="s">
        <v>484</v>
      </c>
      <c r="B77" t="s">
        <v>264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s="11" t="s">
        <v>484</v>
      </c>
      <c r="B78" s="2" t="s">
        <v>316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s="11" t="s">
        <v>484</v>
      </c>
      <c r="B79" s="2" t="s">
        <v>497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s="11" t="s">
        <v>484</v>
      </c>
      <c r="B80" s="2" t="s">
        <v>317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</row>
    <row r="81" spans="1:12">
      <c r="A81" s="11" t="s">
        <v>484</v>
      </c>
      <c r="B81" t="s">
        <v>329</v>
      </c>
      <c r="C81" t="s">
        <v>0</v>
      </c>
      <c r="D81">
        <v>1</v>
      </c>
      <c r="E81">
        <v>-1</v>
      </c>
      <c r="F81">
        <v>-1</v>
      </c>
      <c r="G81">
        <v>-1</v>
      </c>
      <c r="H81">
        <v>-1</v>
      </c>
      <c r="I81">
        <v>-1</v>
      </c>
      <c r="J81">
        <v>-1</v>
      </c>
      <c r="K81">
        <v>-1</v>
      </c>
      <c r="L81">
        <v>-1</v>
      </c>
    </row>
    <row r="82" spans="1:12">
      <c r="A82" s="11" t="s">
        <v>484</v>
      </c>
      <c r="B82" t="s">
        <v>330</v>
      </c>
      <c r="C82" t="s">
        <v>0</v>
      </c>
      <c r="D82">
        <v>1</v>
      </c>
      <c r="E82">
        <v>-1</v>
      </c>
      <c r="F82">
        <v>-1</v>
      </c>
      <c r="G82">
        <v>-1</v>
      </c>
      <c r="H82">
        <v>-1</v>
      </c>
      <c r="I82">
        <v>-1</v>
      </c>
      <c r="J82">
        <v>-1</v>
      </c>
      <c r="K82">
        <v>-1</v>
      </c>
      <c r="L82">
        <v>-1</v>
      </c>
    </row>
    <row r="83" spans="1:12">
      <c r="A83" t="s">
        <v>484</v>
      </c>
      <c r="B83" t="s">
        <v>333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484</v>
      </c>
      <c r="B84" t="s">
        <v>332</v>
      </c>
      <c r="C84" t="s">
        <v>0</v>
      </c>
      <c r="D84">
        <v>1</v>
      </c>
      <c r="E84">
        <v>-1</v>
      </c>
      <c r="F84">
        <v>-1</v>
      </c>
      <c r="G84">
        <v>-1</v>
      </c>
      <c r="H84">
        <v>-1</v>
      </c>
      <c r="I84">
        <v>-1</v>
      </c>
      <c r="J84">
        <v>-1</v>
      </c>
      <c r="K84">
        <v>-1</v>
      </c>
      <c r="L84">
        <v>-1</v>
      </c>
    </row>
    <row r="85" spans="1:12">
      <c r="A85" t="s">
        <v>484</v>
      </c>
      <c r="B85" t="s">
        <v>436</v>
      </c>
      <c r="C85" t="s">
        <v>0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>
      <c r="A86" t="s">
        <v>484</v>
      </c>
      <c r="B86" t="s">
        <v>104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484</v>
      </c>
      <c r="B87" t="s">
        <v>105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</row>
    <row r="88" spans="1:12">
      <c r="A88" t="s">
        <v>484</v>
      </c>
      <c r="B88" t="s">
        <v>442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</row>
    <row r="89" spans="1:12">
      <c r="A89" t="s">
        <v>484</v>
      </c>
      <c r="B89" t="s">
        <v>440</v>
      </c>
      <c r="C89" t="s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>
      <c r="A90" t="s">
        <v>484</v>
      </c>
      <c r="B90" t="s">
        <v>444</v>
      </c>
      <c r="C90" t="s">
        <v>0</v>
      </c>
      <c r="D90">
        <v>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>
      <c r="A91" t="s">
        <v>484</v>
      </c>
      <c r="B91" t="s">
        <v>445</v>
      </c>
      <c r="C91" t="s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>
      <c r="A92" t="s">
        <v>484</v>
      </c>
      <c r="B92" t="s">
        <v>437</v>
      </c>
      <c r="C92" t="s">
        <v>0</v>
      </c>
      <c r="D92">
        <v>1</v>
      </c>
      <c r="E92">
        <v>-0.88</v>
      </c>
      <c r="F92">
        <v>-0.88</v>
      </c>
      <c r="G92">
        <v>-0.88</v>
      </c>
      <c r="H92">
        <v>-0.88</v>
      </c>
      <c r="I92">
        <v>-0.88</v>
      </c>
      <c r="J92">
        <v>-0.88</v>
      </c>
      <c r="K92">
        <v>-0.88</v>
      </c>
      <c r="L92">
        <v>-0.88</v>
      </c>
    </row>
    <row r="93" spans="1:12">
      <c r="A93" t="s">
        <v>484</v>
      </c>
      <c r="B93" t="s">
        <v>438</v>
      </c>
      <c r="C93" t="s">
        <v>0</v>
      </c>
      <c r="D93">
        <v>1</v>
      </c>
      <c r="E93">
        <v>0.12</v>
      </c>
      <c r="F93">
        <v>0.12</v>
      </c>
      <c r="G93">
        <v>0.12</v>
      </c>
      <c r="H93">
        <v>0.12</v>
      </c>
      <c r="I93">
        <v>0.12</v>
      </c>
      <c r="J93">
        <v>0.12</v>
      </c>
      <c r="K93">
        <v>0.12</v>
      </c>
      <c r="L93">
        <v>0.12</v>
      </c>
    </row>
    <row r="94" spans="1:12">
      <c r="A94" t="s">
        <v>484</v>
      </c>
      <c r="B94" t="s">
        <v>439</v>
      </c>
      <c r="C94" t="s">
        <v>0</v>
      </c>
      <c r="D94">
        <v>1</v>
      </c>
      <c r="E94">
        <v>0.12</v>
      </c>
      <c r="F94">
        <v>0.12</v>
      </c>
      <c r="G94">
        <v>0.12</v>
      </c>
      <c r="H94">
        <v>0.12</v>
      </c>
      <c r="I94">
        <v>0.12</v>
      </c>
      <c r="J94">
        <v>0.12</v>
      </c>
      <c r="K94">
        <v>0.12</v>
      </c>
      <c r="L94">
        <v>0.12</v>
      </c>
    </row>
    <row r="95" spans="1:12">
      <c r="A95" t="s">
        <v>484</v>
      </c>
      <c r="B95" t="s">
        <v>443</v>
      </c>
      <c r="C95" t="s">
        <v>0</v>
      </c>
      <c r="D95">
        <v>1</v>
      </c>
      <c r="E95">
        <v>0.12</v>
      </c>
      <c r="F95">
        <v>0.12</v>
      </c>
      <c r="G95">
        <v>0.12</v>
      </c>
      <c r="H95">
        <v>0.12</v>
      </c>
      <c r="I95">
        <v>0.12</v>
      </c>
      <c r="J95">
        <v>0.12</v>
      </c>
      <c r="K95">
        <v>0.12</v>
      </c>
      <c r="L95">
        <v>0.12</v>
      </c>
    </row>
    <row r="96" spans="1:12">
      <c r="A96" t="s">
        <v>484</v>
      </c>
      <c r="B96" t="s">
        <v>441</v>
      </c>
      <c r="C96" t="s">
        <v>0</v>
      </c>
      <c r="D96">
        <v>1</v>
      </c>
      <c r="E96">
        <v>-0.88</v>
      </c>
      <c r="F96">
        <v>-0.88</v>
      </c>
      <c r="G96">
        <v>-0.88</v>
      </c>
      <c r="H96">
        <v>-0.88</v>
      </c>
      <c r="I96">
        <v>-0.88</v>
      </c>
      <c r="J96">
        <v>-0.88</v>
      </c>
      <c r="K96">
        <v>-0.88</v>
      </c>
      <c r="L96">
        <v>-0.88</v>
      </c>
    </row>
    <row r="97" spans="1:12">
      <c r="A97" t="s">
        <v>484</v>
      </c>
      <c r="B97" t="s">
        <v>436</v>
      </c>
      <c r="C97" t="s">
        <v>0</v>
      </c>
      <c r="D97">
        <v>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 t="s">
        <v>484</v>
      </c>
      <c r="B98" t="s">
        <v>104</v>
      </c>
      <c r="C98" t="s">
        <v>0</v>
      </c>
      <c r="D98">
        <v>2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</row>
    <row r="99" spans="1:12">
      <c r="A99" t="s">
        <v>484</v>
      </c>
      <c r="B99" t="s">
        <v>105</v>
      </c>
      <c r="C99" t="s">
        <v>0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484</v>
      </c>
      <c r="B100" t="s">
        <v>442</v>
      </c>
      <c r="C100" t="s">
        <v>0</v>
      </c>
      <c r="D100">
        <v>2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</row>
    <row r="101" spans="1:12">
      <c r="A101" t="s">
        <v>484</v>
      </c>
      <c r="B101" t="s">
        <v>440</v>
      </c>
      <c r="C101" t="s">
        <v>0</v>
      </c>
      <c r="D101">
        <v>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 t="s">
        <v>484</v>
      </c>
      <c r="B102" t="s">
        <v>444</v>
      </c>
      <c r="C102" t="s">
        <v>0</v>
      </c>
      <c r="D102">
        <v>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 t="s">
        <v>484</v>
      </c>
      <c r="B103" t="s">
        <v>445</v>
      </c>
      <c r="C103" t="s">
        <v>0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484</v>
      </c>
      <c r="B104" t="s">
        <v>437</v>
      </c>
      <c r="C104" t="s">
        <v>0</v>
      </c>
      <c r="D104">
        <v>2</v>
      </c>
      <c r="E104">
        <v>-0.88</v>
      </c>
      <c r="F104">
        <v>-0.88</v>
      </c>
      <c r="G104">
        <v>-0.88</v>
      </c>
      <c r="H104">
        <v>-0.88</v>
      </c>
      <c r="I104">
        <v>-0.88</v>
      </c>
      <c r="J104">
        <v>-0.88</v>
      </c>
      <c r="K104">
        <v>-0.88</v>
      </c>
      <c r="L104">
        <v>-0.88</v>
      </c>
    </row>
    <row r="105" spans="1:12">
      <c r="A105" t="s">
        <v>484</v>
      </c>
      <c r="B105" t="s">
        <v>438</v>
      </c>
      <c r="C105" t="s">
        <v>0</v>
      </c>
      <c r="D105">
        <v>2</v>
      </c>
      <c r="E105">
        <v>0.12</v>
      </c>
      <c r="F105">
        <v>0.12</v>
      </c>
      <c r="G105">
        <v>0.12</v>
      </c>
      <c r="H105">
        <v>0.12</v>
      </c>
      <c r="I105">
        <v>0.12</v>
      </c>
      <c r="J105">
        <v>0.12</v>
      </c>
      <c r="K105">
        <v>0.12</v>
      </c>
      <c r="L105">
        <v>0.12</v>
      </c>
    </row>
    <row r="106" spans="1:12">
      <c r="A106" t="s">
        <v>484</v>
      </c>
      <c r="B106" t="s">
        <v>439</v>
      </c>
      <c r="C106" t="s">
        <v>0</v>
      </c>
      <c r="D106">
        <v>2</v>
      </c>
      <c r="E106">
        <v>0.12</v>
      </c>
      <c r="F106">
        <v>0.12</v>
      </c>
      <c r="G106">
        <v>0.12</v>
      </c>
      <c r="H106">
        <v>0.12</v>
      </c>
      <c r="I106">
        <v>0.12</v>
      </c>
      <c r="J106">
        <v>0.12</v>
      </c>
      <c r="K106">
        <v>0.12</v>
      </c>
      <c r="L106">
        <v>0.12</v>
      </c>
    </row>
    <row r="107" spans="1:12">
      <c r="A107" t="s">
        <v>484</v>
      </c>
      <c r="B107" t="s">
        <v>443</v>
      </c>
      <c r="C107" t="s">
        <v>0</v>
      </c>
      <c r="D107">
        <v>2</v>
      </c>
      <c r="E107">
        <v>0.12</v>
      </c>
      <c r="F107">
        <v>0.12</v>
      </c>
      <c r="G107">
        <v>0.12</v>
      </c>
      <c r="H107">
        <v>0.12</v>
      </c>
      <c r="I107">
        <v>0.12</v>
      </c>
      <c r="J107">
        <v>0.12</v>
      </c>
      <c r="K107">
        <v>0.12</v>
      </c>
      <c r="L107">
        <v>0.12</v>
      </c>
    </row>
    <row r="108" spans="1:12">
      <c r="A108" t="s">
        <v>484</v>
      </c>
      <c r="B108" t="s">
        <v>441</v>
      </c>
      <c r="C108" t="s">
        <v>0</v>
      </c>
      <c r="D108">
        <v>2</v>
      </c>
      <c r="E108">
        <v>-0.88</v>
      </c>
      <c r="F108">
        <v>-0.88</v>
      </c>
      <c r="G108">
        <v>-0.88</v>
      </c>
      <c r="H108">
        <v>-0.88</v>
      </c>
      <c r="I108">
        <v>-0.88</v>
      </c>
      <c r="J108">
        <v>-0.88</v>
      </c>
      <c r="K108">
        <v>-0.88</v>
      </c>
      <c r="L108">
        <v>-0.88</v>
      </c>
    </row>
    <row r="109" spans="1:12">
      <c r="A109" t="s">
        <v>484</v>
      </c>
      <c r="B109" t="s">
        <v>446</v>
      </c>
      <c r="C109" t="s">
        <v>0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2">
      <c r="A110" t="s">
        <v>484</v>
      </c>
      <c r="B110" t="s">
        <v>446</v>
      </c>
      <c r="C110" t="s">
        <v>0</v>
      </c>
      <c r="D110">
        <v>2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484</v>
      </c>
      <c r="B111" t="s">
        <v>449</v>
      </c>
      <c r="C111" t="s">
        <v>0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484</v>
      </c>
      <c r="B112" t="s">
        <v>451</v>
      </c>
      <c r="C112" t="s">
        <v>0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484</v>
      </c>
      <c r="B113" t="s">
        <v>450</v>
      </c>
      <c r="C113" t="s">
        <v>0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</sheetData>
  <dataValidations count="2">
    <dataValidation type="list" allowBlank="1" showInputMessage="1" showErrorMessage="1" sqref="C85:C113 B12:B20 C6:D34 D59:D68 C35:C78 B79:C79 C80:C82 C83:D84" xr:uid="{00000000-0002-0000-1100-000000000000}">
      <formula1>Technologies</formula1>
    </dataValidation>
    <dataValidation type="list" allowBlank="1" showInputMessage="1" showErrorMessage="1" sqref="A6:A82" xr:uid="{00000000-0002-0000-1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Tabelle36"/>
  <dimension ref="A1:K101"/>
  <sheetViews>
    <sheetView zoomScale="90" zoomScaleNormal="90" zoomScalePageLayoutView="90" workbookViewId="0">
      <selection activeCell="N14" sqref="N14"/>
    </sheetView>
  </sheetViews>
  <sheetFormatPr defaultColWidth="11.42578125" defaultRowHeight="15"/>
  <cols>
    <col min="2" max="2" width="23.42578125" customWidth="1"/>
  </cols>
  <sheetData>
    <row r="1" spans="1:11">
      <c r="A1" t="s">
        <v>381</v>
      </c>
    </row>
    <row r="2" spans="1:11">
      <c r="A2" t="s">
        <v>337</v>
      </c>
    </row>
    <row r="3" spans="1:11">
      <c r="A3" t="s">
        <v>382</v>
      </c>
    </row>
    <row r="5" spans="1:11">
      <c r="A5" t="s">
        <v>20</v>
      </c>
      <c r="B5" t="s">
        <v>26</v>
      </c>
      <c r="C5" t="s">
        <v>25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s="11" t="s">
        <v>484</v>
      </c>
      <c r="B6" t="s">
        <v>104</v>
      </c>
      <c r="C6" t="s">
        <v>0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s="11" t="s">
        <v>484</v>
      </c>
      <c r="B7" t="s">
        <v>105</v>
      </c>
      <c r="C7" t="s">
        <v>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s="11" t="s">
        <v>484</v>
      </c>
      <c r="B8" t="s">
        <v>106</v>
      </c>
      <c r="C8" t="s">
        <v>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1">
      <c r="A9" s="11" t="s">
        <v>484</v>
      </c>
      <c r="B9" s="2" t="s">
        <v>130</v>
      </c>
      <c r="C9" t="s">
        <v>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s="11" t="s">
        <v>484</v>
      </c>
      <c r="B10" s="2" t="s">
        <v>126</v>
      </c>
      <c r="C10" t="s">
        <v>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</row>
    <row r="11" spans="1:11">
      <c r="A11" s="11" t="s">
        <v>484</v>
      </c>
      <c r="B11" s="2" t="s">
        <v>127</v>
      </c>
      <c r="C11" t="s">
        <v>0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</row>
    <row r="12" spans="1:11">
      <c r="A12" s="11" t="s">
        <v>484</v>
      </c>
      <c r="B12" s="2" t="s">
        <v>496</v>
      </c>
      <c r="C12" t="s">
        <v>0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s="11" t="s">
        <v>484</v>
      </c>
      <c r="B13" t="s">
        <v>103</v>
      </c>
      <c r="C13" t="s">
        <v>0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  <row r="14" spans="1:11">
      <c r="A14" s="11" t="s">
        <v>484</v>
      </c>
      <c r="B14" t="s">
        <v>102</v>
      </c>
      <c r="C14" t="s">
        <v>0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</row>
    <row r="15" spans="1:11">
      <c r="A15" s="11" t="s">
        <v>484</v>
      </c>
      <c r="B15" t="s">
        <v>22</v>
      </c>
      <c r="C15" t="s">
        <v>0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</row>
    <row r="16" spans="1:11">
      <c r="A16" s="11" t="s">
        <v>484</v>
      </c>
      <c r="B16" t="s">
        <v>56</v>
      </c>
      <c r="C16" t="s">
        <v>0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</row>
    <row r="17" spans="1:11">
      <c r="A17" s="11" t="s">
        <v>484</v>
      </c>
      <c r="B17" s="2" t="s">
        <v>58</v>
      </c>
      <c r="C17" t="s">
        <v>0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1">
      <c r="A18" s="11" t="s">
        <v>484</v>
      </c>
      <c r="B18" s="2" t="s">
        <v>128</v>
      </c>
      <c r="C18" t="s">
        <v>0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1">
      <c r="A19" s="11" t="s">
        <v>484</v>
      </c>
      <c r="B19" s="2" t="s">
        <v>59</v>
      </c>
      <c r="C19" t="s">
        <v>0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</row>
    <row r="20" spans="1:11">
      <c r="A20" s="11" t="s">
        <v>484</v>
      </c>
      <c r="B20" s="2" t="s">
        <v>124</v>
      </c>
      <c r="C20" t="s">
        <v>0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</row>
    <row r="21" spans="1:11">
      <c r="A21" s="11" t="s">
        <v>484</v>
      </c>
      <c r="B21" t="s">
        <v>193</v>
      </c>
      <c r="C21" t="s">
        <v>0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</row>
    <row r="22" spans="1:11">
      <c r="A22" s="11" t="s">
        <v>484</v>
      </c>
      <c r="B22" t="s">
        <v>194</v>
      </c>
      <c r="C22" t="s">
        <v>0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</row>
    <row r="23" spans="1:11">
      <c r="A23" s="11" t="s">
        <v>484</v>
      </c>
      <c r="B23" t="s">
        <v>219</v>
      </c>
      <c r="C23" t="s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</row>
    <row r="24" spans="1:11">
      <c r="A24" s="11" t="s">
        <v>484</v>
      </c>
      <c r="B24" t="s">
        <v>206</v>
      </c>
      <c r="C24" t="s">
        <v>0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</row>
    <row r="25" spans="1:11">
      <c r="A25" s="11" t="s">
        <v>484</v>
      </c>
      <c r="B25" t="s">
        <v>201</v>
      </c>
      <c r="C25" t="s">
        <v>0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</row>
    <row r="26" spans="1:11">
      <c r="A26" s="11" t="s">
        <v>484</v>
      </c>
      <c r="B26" t="s">
        <v>205</v>
      </c>
      <c r="C26" t="s">
        <v>0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</row>
    <row r="27" spans="1:11">
      <c r="A27" s="11" t="s">
        <v>484</v>
      </c>
      <c r="B27" t="s">
        <v>202</v>
      </c>
      <c r="C27" t="s">
        <v>0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</row>
    <row r="28" spans="1:11">
      <c r="A28" s="11" t="s">
        <v>484</v>
      </c>
      <c r="B28" t="s">
        <v>203</v>
      </c>
      <c r="C28" t="s">
        <v>0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</row>
    <row r="29" spans="1:11">
      <c r="A29" s="11" t="s">
        <v>484</v>
      </c>
      <c r="B29" t="s">
        <v>204</v>
      </c>
      <c r="C29" t="s">
        <v>0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</row>
    <row r="30" spans="1:11">
      <c r="A30" s="11" t="s">
        <v>484</v>
      </c>
      <c r="B30" t="s">
        <v>227</v>
      </c>
      <c r="C30" t="s">
        <v>0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</row>
    <row r="31" spans="1:11">
      <c r="A31" s="11" t="s">
        <v>484</v>
      </c>
      <c r="B31" t="s">
        <v>228</v>
      </c>
      <c r="C31" t="s">
        <v>0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</row>
    <row r="32" spans="1:11">
      <c r="A32" s="11" t="s">
        <v>484</v>
      </c>
      <c r="B32" t="s">
        <v>229</v>
      </c>
      <c r="C32" t="s">
        <v>0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</row>
    <row r="33" spans="1:11">
      <c r="A33" s="11" t="s">
        <v>484</v>
      </c>
      <c r="B33" t="s">
        <v>230</v>
      </c>
      <c r="C33" t="s">
        <v>0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</row>
    <row r="34" spans="1:11">
      <c r="A34" s="11" t="s">
        <v>484</v>
      </c>
      <c r="B34" t="s">
        <v>231</v>
      </c>
      <c r="C34" t="s">
        <v>0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</row>
    <row r="35" spans="1:11">
      <c r="A35" s="11" t="s">
        <v>484</v>
      </c>
      <c r="B35" t="s">
        <v>210</v>
      </c>
      <c r="C35" t="s">
        <v>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</row>
    <row r="36" spans="1:11">
      <c r="A36" s="11" t="s">
        <v>484</v>
      </c>
      <c r="B36" t="s">
        <v>220</v>
      </c>
      <c r="C36" t="s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</row>
    <row r="37" spans="1:11">
      <c r="A37" s="11" t="s">
        <v>484</v>
      </c>
      <c r="B37" t="s">
        <v>221</v>
      </c>
      <c r="C37" t="s">
        <v>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</row>
    <row r="38" spans="1:11">
      <c r="A38" s="11" t="s">
        <v>484</v>
      </c>
      <c r="B38" t="s">
        <v>211</v>
      </c>
      <c r="C38" t="s">
        <v>0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</row>
    <row r="39" spans="1:11">
      <c r="A39" s="11" t="s">
        <v>484</v>
      </c>
      <c r="B39" t="s">
        <v>212</v>
      </c>
      <c r="C39" t="s">
        <v>0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</row>
    <row r="40" spans="1:11">
      <c r="A40" s="11" t="s">
        <v>484</v>
      </c>
      <c r="B40" t="s">
        <v>213</v>
      </c>
      <c r="C40" t="s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</row>
    <row r="41" spans="1:11">
      <c r="A41" s="11" t="s">
        <v>484</v>
      </c>
      <c r="B41" t="s">
        <v>214</v>
      </c>
      <c r="C41" t="s">
        <v>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</row>
    <row r="42" spans="1:11">
      <c r="A42" s="11" t="s">
        <v>484</v>
      </c>
      <c r="B42" t="s">
        <v>215</v>
      </c>
      <c r="C42" t="s">
        <v>0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</row>
    <row r="43" spans="1:11">
      <c r="A43" s="11" t="s">
        <v>484</v>
      </c>
      <c r="B43" t="s">
        <v>216</v>
      </c>
      <c r="C43" t="s">
        <v>0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</row>
    <row r="44" spans="1:11">
      <c r="A44" s="11" t="s">
        <v>484</v>
      </c>
      <c r="B44" t="s">
        <v>244</v>
      </c>
      <c r="C44" t="s">
        <v>0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</row>
    <row r="45" spans="1:11">
      <c r="A45" s="11" t="s">
        <v>484</v>
      </c>
      <c r="B45" t="s">
        <v>232</v>
      </c>
      <c r="C45" t="s">
        <v>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</row>
    <row r="46" spans="1:11">
      <c r="A46" s="11" t="s">
        <v>484</v>
      </c>
      <c r="B46" t="s">
        <v>233</v>
      </c>
      <c r="C46" t="s">
        <v>0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</row>
    <row r="47" spans="1:11">
      <c r="A47" s="11" t="s">
        <v>484</v>
      </c>
      <c r="B47" t="s">
        <v>234</v>
      </c>
      <c r="C47" t="s">
        <v>0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</row>
    <row r="48" spans="1:11">
      <c r="A48" s="11" t="s">
        <v>484</v>
      </c>
      <c r="B48" t="s">
        <v>217</v>
      </c>
      <c r="C48" t="s">
        <v>0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1">
      <c r="A49" s="11" t="s">
        <v>484</v>
      </c>
      <c r="B49" t="s">
        <v>222</v>
      </c>
      <c r="C49" t="s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</row>
    <row r="50" spans="1:11">
      <c r="A50" s="11" t="s">
        <v>484</v>
      </c>
      <c r="B50" t="s">
        <v>218</v>
      </c>
      <c r="C50" t="s">
        <v>0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</row>
    <row r="51" spans="1:11">
      <c r="A51" s="11" t="s">
        <v>484</v>
      </c>
      <c r="B51" t="s">
        <v>225</v>
      </c>
      <c r="C51" t="s">
        <v>0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</row>
    <row r="52" spans="1:11">
      <c r="A52" s="11" t="s">
        <v>484</v>
      </c>
      <c r="B52" t="s">
        <v>223</v>
      </c>
      <c r="C52" t="s">
        <v>0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</row>
    <row r="53" spans="1:11">
      <c r="A53" s="11" t="s">
        <v>484</v>
      </c>
      <c r="B53" t="s">
        <v>224</v>
      </c>
      <c r="C53" t="s">
        <v>0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</row>
    <row r="54" spans="1:11">
      <c r="A54" s="11" t="s">
        <v>484</v>
      </c>
      <c r="B54" t="s">
        <v>235</v>
      </c>
      <c r="C54" t="s">
        <v>0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1">
      <c r="A55" s="11" t="s">
        <v>484</v>
      </c>
      <c r="B55" t="s">
        <v>226</v>
      </c>
      <c r="C55" t="s">
        <v>0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</row>
    <row r="56" spans="1:11">
      <c r="A56" s="11" t="s">
        <v>484</v>
      </c>
      <c r="B56" t="s">
        <v>238</v>
      </c>
      <c r="C56" t="s">
        <v>0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</row>
    <row r="57" spans="1:11">
      <c r="A57" s="11" t="s">
        <v>484</v>
      </c>
      <c r="B57" t="s">
        <v>239</v>
      </c>
      <c r="C57" t="s">
        <v>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</row>
    <row r="58" spans="1:11">
      <c r="A58" s="11" t="s">
        <v>484</v>
      </c>
      <c r="B58" t="s">
        <v>240</v>
      </c>
      <c r="C58" t="s">
        <v>0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</row>
    <row r="59" spans="1:11">
      <c r="A59" s="11" t="s">
        <v>484</v>
      </c>
      <c r="B59" t="s">
        <v>241</v>
      </c>
      <c r="C59" t="s">
        <v>0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</row>
    <row r="60" spans="1:11">
      <c r="A60" s="11" t="s">
        <v>484</v>
      </c>
      <c r="B60" t="s">
        <v>242</v>
      </c>
      <c r="C60" t="s">
        <v>0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</row>
    <row r="61" spans="1:11">
      <c r="A61" s="11" t="s">
        <v>484</v>
      </c>
      <c r="B61" t="s">
        <v>243</v>
      </c>
      <c r="C61" t="s">
        <v>0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</row>
    <row r="62" spans="1:11">
      <c r="A62" s="11" t="s">
        <v>484</v>
      </c>
      <c r="B62" t="s">
        <v>249</v>
      </c>
      <c r="C62" t="s">
        <v>0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</row>
    <row r="63" spans="1:11">
      <c r="A63" s="11" t="s">
        <v>484</v>
      </c>
      <c r="B63" t="s">
        <v>249</v>
      </c>
      <c r="C63" t="s">
        <v>0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</row>
    <row r="64" spans="1:11">
      <c r="A64" s="11" t="s">
        <v>484</v>
      </c>
      <c r="B64" t="s">
        <v>249</v>
      </c>
      <c r="C64" t="s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</row>
    <row r="65" spans="1:11">
      <c r="A65" s="11" t="s">
        <v>484</v>
      </c>
      <c r="B65" t="s">
        <v>249</v>
      </c>
      <c r="C65" t="s">
        <v>0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</row>
    <row r="66" spans="1:11">
      <c r="A66" s="11" t="s">
        <v>484</v>
      </c>
      <c r="B66" t="s">
        <v>250</v>
      </c>
      <c r="C66" t="s">
        <v>0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</row>
    <row r="67" spans="1:11">
      <c r="A67" s="11" t="s">
        <v>484</v>
      </c>
      <c r="B67" t="s">
        <v>262</v>
      </c>
      <c r="C67" t="s">
        <v>0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</row>
    <row r="68" spans="1:11">
      <c r="A68" s="11" t="s">
        <v>484</v>
      </c>
      <c r="B68" t="s">
        <v>256</v>
      </c>
      <c r="C68" t="s">
        <v>0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</row>
    <row r="69" spans="1:11">
      <c r="A69" s="11" t="s">
        <v>484</v>
      </c>
      <c r="B69" t="s">
        <v>257</v>
      </c>
      <c r="C69" t="s">
        <v>0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</row>
    <row r="70" spans="1:11">
      <c r="A70" s="11" t="s">
        <v>484</v>
      </c>
      <c r="B70" t="s">
        <v>263</v>
      </c>
      <c r="C70" t="s">
        <v>0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</row>
    <row r="71" spans="1:11">
      <c r="A71" s="11" t="s">
        <v>484</v>
      </c>
      <c r="B71" t="s">
        <v>254</v>
      </c>
      <c r="C71" t="s">
        <v>0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</row>
    <row r="72" spans="1:11">
      <c r="A72" s="11" t="s">
        <v>484</v>
      </c>
      <c r="B72" t="s">
        <v>255</v>
      </c>
      <c r="C72" t="s">
        <v>0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>
      <c r="A73" s="11" t="s">
        <v>484</v>
      </c>
      <c r="B73" t="s">
        <v>258</v>
      </c>
      <c r="C73" t="s">
        <v>0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</row>
    <row r="74" spans="1:11">
      <c r="A74" s="11" t="s">
        <v>484</v>
      </c>
      <c r="B74" t="s">
        <v>259</v>
      </c>
      <c r="C74" t="s">
        <v>0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>
      <c r="A75" s="11" t="s">
        <v>484</v>
      </c>
      <c r="B75" t="s">
        <v>251</v>
      </c>
      <c r="C75" t="s">
        <v>0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>
      <c r="A76" s="11" t="s">
        <v>484</v>
      </c>
      <c r="B76" t="s">
        <v>252</v>
      </c>
      <c r="C76" t="s">
        <v>0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</row>
    <row r="77" spans="1:11">
      <c r="A77" s="11" t="s">
        <v>484</v>
      </c>
      <c r="B77" t="s">
        <v>253</v>
      </c>
      <c r="C77" t="s">
        <v>0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</row>
    <row r="78" spans="1:11">
      <c r="A78" s="11" t="s">
        <v>484</v>
      </c>
      <c r="B78" t="s">
        <v>260</v>
      </c>
      <c r="C78" t="s">
        <v>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</row>
    <row r="79" spans="1:11">
      <c r="A79" s="11" t="s">
        <v>484</v>
      </c>
      <c r="B79" t="s">
        <v>261</v>
      </c>
      <c r="C79" t="s">
        <v>0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</row>
    <row r="80" spans="1:11">
      <c r="A80" s="11" t="s">
        <v>484</v>
      </c>
      <c r="B80" t="s">
        <v>264</v>
      </c>
      <c r="C80" t="s">
        <v>0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</row>
    <row r="81" spans="1:11">
      <c r="A81" s="11" t="s">
        <v>484</v>
      </c>
      <c r="B81" s="2" t="s">
        <v>316</v>
      </c>
      <c r="C81" t="s">
        <v>0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</row>
    <row r="82" spans="1:11">
      <c r="A82" s="11" t="s">
        <v>484</v>
      </c>
      <c r="B82" s="2" t="s">
        <v>497</v>
      </c>
      <c r="C82" t="s">
        <v>0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</row>
    <row r="83" spans="1:11">
      <c r="A83" s="11" t="s">
        <v>484</v>
      </c>
      <c r="B83" s="2" t="s">
        <v>317</v>
      </c>
      <c r="C83" t="s">
        <v>0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</row>
    <row r="84" spans="1:11">
      <c r="A84" s="11" t="s">
        <v>484</v>
      </c>
      <c r="B84" t="s">
        <v>329</v>
      </c>
      <c r="C84" t="s">
        <v>0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</row>
    <row r="85" spans="1:11">
      <c r="A85" s="11" t="s">
        <v>484</v>
      </c>
      <c r="B85" t="s">
        <v>330</v>
      </c>
      <c r="C85" t="s">
        <v>0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</row>
    <row r="86" spans="1:11">
      <c r="A86" s="11" t="s">
        <v>484</v>
      </c>
      <c r="B86" t="s">
        <v>436</v>
      </c>
      <c r="C86" t="s">
        <v>0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</row>
    <row r="87" spans="1:11">
      <c r="A87" s="11" t="s">
        <v>484</v>
      </c>
      <c r="B87" t="s">
        <v>104</v>
      </c>
      <c r="C87" t="s">
        <v>0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</row>
    <row r="88" spans="1:11">
      <c r="A88" s="11" t="s">
        <v>484</v>
      </c>
      <c r="B88" t="s">
        <v>105</v>
      </c>
      <c r="C88" t="s">
        <v>0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</row>
    <row r="89" spans="1:11">
      <c r="A89" s="11" t="s">
        <v>484</v>
      </c>
      <c r="B89" t="s">
        <v>442</v>
      </c>
      <c r="C89" t="s">
        <v>0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</row>
    <row r="90" spans="1:11">
      <c r="A90" s="11" t="s">
        <v>484</v>
      </c>
      <c r="B90" t="s">
        <v>440</v>
      </c>
      <c r="C90" t="s">
        <v>0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</row>
    <row r="91" spans="1:11">
      <c r="A91" s="11" t="s">
        <v>484</v>
      </c>
      <c r="B91" t="s">
        <v>444</v>
      </c>
      <c r="C91" t="s">
        <v>0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</row>
    <row r="92" spans="1:11">
      <c r="A92" s="11" t="s">
        <v>484</v>
      </c>
      <c r="B92" t="s">
        <v>445</v>
      </c>
      <c r="C92" t="s">
        <v>0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</row>
    <row r="93" spans="1:11">
      <c r="A93" s="11" t="s">
        <v>484</v>
      </c>
      <c r="B93" t="s">
        <v>437</v>
      </c>
      <c r="C93" t="s">
        <v>0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</row>
    <row r="94" spans="1:11">
      <c r="A94" s="11" t="s">
        <v>484</v>
      </c>
      <c r="B94" t="s">
        <v>438</v>
      </c>
      <c r="C94" t="s">
        <v>0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</row>
    <row r="95" spans="1:11">
      <c r="A95" s="11" t="s">
        <v>484</v>
      </c>
      <c r="B95" t="s">
        <v>439</v>
      </c>
      <c r="C95" t="s">
        <v>0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</row>
    <row r="96" spans="1:11">
      <c r="A96" s="11" t="s">
        <v>484</v>
      </c>
      <c r="B96" t="s">
        <v>443</v>
      </c>
      <c r="C96" t="s">
        <v>0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</row>
    <row r="97" spans="1:11">
      <c r="A97" s="11" t="s">
        <v>484</v>
      </c>
      <c r="B97" t="s">
        <v>441</v>
      </c>
      <c r="C97" t="s">
        <v>0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</row>
    <row r="98" spans="1:11">
      <c r="A98" s="11" t="s">
        <v>484</v>
      </c>
      <c r="B98" t="s">
        <v>446</v>
      </c>
      <c r="C98" t="s">
        <v>0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</row>
    <row r="99" spans="1:11">
      <c r="A99" s="11" t="s">
        <v>484</v>
      </c>
      <c r="B99" t="s">
        <v>449</v>
      </c>
      <c r="C99" t="s">
        <v>0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</row>
    <row r="100" spans="1:11">
      <c r="A100" s="11" t="s">
        <v>484</v>
      </c>
      <c r="B100" t="s">
        <v>451</v>
      </c>
      <c r="C100" t="s">
        <v>0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</row>
    <row r="101" spans="1:11">
      <c r="A101" s="11" t="s">
        <v>484</v>
      </c>
      <c r="B101" t="s">
        <v>450</v>
      </c>
      <c r="C101" t="s">
        <v>0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</row>
  </sheetData>
  <dataValidations count="2">
    <dataValidation type="list" allowBlank="1" showInputMessage="1" showErrorMessage="1" sqref="B12 B82:C82 C6:C81 C83:C102" xr:uid="{00000000-0002-0000-1200-000000000000}">
      <formula1>Technologies</formula1>
    </dataValidation>
    <dataValidation type="list" allowBlank="1" showInputMessage="1" showErrorMessage="1" sqref="A6:A101" xr:uid="{00000000-0002-0000-12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Tabelle37"/>
  <dimension ref="A1:C13"/>
  <sheetViews>
    <sheetView workbookViewId="0">
      <selection activeCell="F25" sqref="F25"/>
    </sheetView>
  </sheetViews>
  <sheetFormatPr defaultColWidth="11.42578125" defaultRowHeight="15"/>
  <cols>
    <col min="1" max="1" width="17.5703125" customWidth="1"/>
  </cols>
  <sheetData>
    <row r="1" spans="1:3">
      <c r="A1" t="s">
        <v>386</v>
      </c>
    </row>
    <row r="2" spans="1:3">
      <c r="A2" t="s">
        <v>338</v>
      </c>
    </row>
    <row r="3" spans="1:3">
      <c r="A3" t="s">
        <v>387</v>
      </c>
    </row>
    <row r="5" spans="1:3">
      <c r="A5" t="s">
        <v>151</v>
      </c>
      <c r="B5" t="s">
        <v>0</v>
      </c>
      <c r="C5">
        <f>0.0946</f>
        <v>9.4600000000000004E-2</v>
      </c>
    </row>
    <row r="6" spans="1:3">
      <c r="A6" t="s">
        <v>152</v>
      </c>
      <c r="B6" t="s">
        <v>0</v>
      </c>
      <c r="C6">
        <f>101000/1000000</f>
        <v>0.10100000000000001</v>
      </c>
    </row>
    <row r="7" spans="1:3">
      <c r="A7" t="s">
        <v>197</v>
      </c>
      <c r="B7" t="s">
        <v>0</v>
      </c>
      <c r="C7">
        <f>0.0561</f>
        <v>5.6099999999999997E-2</v>
      </c>
    </row>
    <row r="8" spans="1:3">
      <c r="A8" t="s">
        <v>138</v>
      </c>
      <c r="B8" t="s">
        <v>0</v>
      </c>
      <c r="C8">
        <f>73300/1000000</f>
        <v>7.3300000000000004E-2</v>
      </c>
    </row>
    <row r="9" spans="1:3">
      <c r="A9" t="s">
        <v>141</v>
      </c>
      <c r="B9" t="s">
        <v>0</v>
      </c>
      <c r="C9">
        <v>0.11</v>
      </c>
    </row>
    <row r="10" spans="1:3">
      <c r="A10" t="s">
        <v>266</v>
      </c>
      <c r="B10" t="s">
        <v>0</v>
      </c>
      <c r="C10">
        <v>1</v>
      </c>
    </row>
    <row r="11" spans="1:3">
      <c r="A11" t="s">
        <v>312</v>
      </c>
      <c r="B11" t="s">
        <v>0</v>
      </c>
      <c r="C11">
        <f>C7</f>
        <v>5.6099999999999997E-2</v>
      </c>
    </row>
    <row r="12" spans="1:3">
      <c r="A12" t="s">
        <v>334</v>
      </c>
      <c r="B12" t="s">
        <v>0</v>
      </c>
      <c r="C12">
        <v>1</v>
      </c>
    </row>
    <row r="13" spans="1:3">
      <c r="A13" t="s">
        <v>335</v>
      </c>
      <c r="B13" t="s">
        <v>0</v>
      </c>
      <c r="C13">
        <v>1</v>
      </c>
    </row>
  </sheetData>
  <dataValidations count="1">
    <dataValidation type="list" allowBlank="1" showInputMessage="1" showErrorMessage="1" sqref="A12:A16 A22:A24 B12:B14 A18:A20 B18:B25 B5:B8 A10:B10 A5:A7" xr:uid="{00000000-0002-0000-1300-000000000000}">
      <formula1>Technologies</formula1>
    </dataValidation>
  </dataValidations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Tabelle38">
    <tabColor theme="5" tint="0.79998168889431442"/>
  </sheetPr>
  <dimension ref="A1:J41"/>
  <sheetViews>
    <sheetView workbookViewId="0">
      <selection activeCell="J37" sqref="J37"/>
    </sheetView>
  </sheetViews>
  <sheetFormatPr defaultColWidth="11.42578125" defaultRowHeight="15"/>
  <cols>
    <col min="1" max="1" width="42.42578125" customWidth="1"/>
    <col min="2" max="2" width="21.42578125" customWidth="1"/>
    <col min="3" max="3" width="17.42578125" customWidth="1"/>
    <col min="4" max="4" width="20.42578125" customWidth="1"/>
    <col min="5" max="5" width="17.42578125" customWidth="1"/>
    <col min="6" max="6" width="20.42578125" customWidth="1"/>
    <col min="7" max="7" width="17.42578125" customWidth="1"/>
    <col min="8" max="8" width="20.42578125" customWidth="1"/>
    <col min="9" max="9" width="17.42578125" customWidth="1"/>
    <col min="10" max="10" width="20.42578125" customWidth="1"/>
    <col min="11" max="11" width="5" customWidth="1"/>
    <col min="12" max="12" width="23.42578125" customWidth="1"/>
    <col min="13" max="14" width="16.42578125" customWidth="1"/>
    <col min="15" max="15" width="13.42578125" customWidth="1"/>
  </cols>
  <sheetData>
    <row r="1" spans="1:10">
      <c r="A1" t="s">
        <v>389</v>
      </c>
    </row>
    <row r="2" spans="1:10">
      <c r="A2" t="s">
        <v>8</v>
      </c>
      <c r="B2" s="24"/>
    </row>
    <row r="3" spans="1:10">
      <c r="A3" t="s">
        <v>388</v>
      </c>
    </row>
    <row r="5" spans="1:10"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49" t="s">
        <v>479</v>
      </c>
      <c r="B6" t="s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 s="49" t="s">
        <v>480</v>
      </c>
      <c r="B7" t="s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s="49" t="s">
        <v>481</v>
      </c>
      <c r="B8" t="s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s="49" t="s">
        <v>487</v>
      </c>
      <c r="B9" t="s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s="49" t="s">
        <v>486</v>
      </c>
      <c r="B10" t="s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s="49" t="s">
        <v>483</v>
      </c>
      <c r="B11" t="s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 s="49" t="s">
        <v>484</v>
      </c>
      <c r="B12" t="s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 s="49" t="s">
        <v>485</v>
      </c>
      <c r="B13" t="s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phoneticPr fontId="28" type="noConversion"/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Tabelle6">
    <tabColor theme="5" tint="0.59999389629810485"/>
  </sheetPr>
  <dimension ref="A1:J61"/>
  <sheetViews>
    <sheetView tabSelected="1" zoomScale="90" zoomScaleNormal="90" zoomScalePageLayoutView="9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32" sqref="C32"/>
    </sheetView>
  </sheetViews>
  <sheetFormatPr defaultColWidth="11.42578125" defaultRowHeight="15"/>
  <cols>
    <col min="1" max="1" width="17.42578125" customWidth="1"/>
    <col min="2" max="2" width="25.42578125" customWidth="1"/>
    <col min="3" max="3" width="21.42578125" customWidth="1"/>
    <col min="4" max="4" width="18.42578125" customWidth="1"/>
    <col min="6" max="13" width="13.42578125" customWidth="1"/>
  </cols>
  <sheetData>
    <row r="1" spans="1:10">
      <c r="A1" t="s">
        <v>392</v>
      </c>
    </row>
    <row r="2" spans="1:10">
      <c r="A2" t="s">
        <v>339</v>
      </c>
    </row>
    <row r="3" spans="1:10">
      <c r="A3" t="s">
        <v>391</v>
      </c>
    </row>
    <row r="5" spans="1:10">
      <c r="A5" t="s">
        <v>20</v>
      </c>
      <c r="B5" t="s">
        <v>21</v>
      </c>
      <c r="C5" s="47">
        <v>2018</v>
      </c>
      <c r="D5" s="47">
        <v>2021</v>
      </c>
      <c r="E5" s="47">
        <v>2025</v>
      </c>
      <c r="F5" s="47">
        <v>2030</v>
      </c>
      <c r="G5" s="47">
        <v>2035</v>
      </c>
      <c r="H5" s="47">
        <v>2040</v>
      </c>
      <c r="I5" s="47">
        <v>2045</v>
      </c>
      <c r="J5" s="47">
        <v>2050</v>
      </c>
    </row>
    <row r="6" spans="1:10">
      <c r="A6" s="49" t="s">
        <v>479</v>
      </c>
      <c r="B6" s="49" t="s">
        <v>209</v>
      </c>
      <c r="C6" s="47">
        <v>0</v>
      </c>
      <c r="D6" s="47">
        <v>0</v>
      </c>
      <c r="E6" s="47">
        <v>0</v>
      </c>
      <c r="F6" s="47">
        <v>0</v>
      </c>
      <c r="G6" s="47">
        <v>0</v>
      </c>
      <c r="H6" s="47">
        <v>0</v>
      </c>
      <c r="I6" s="47">
        <v>0</v>
      </c>
      <c r="J6" s="47">
        <v>0</v>
      </c>
    </row>
    <row r="7" spans="1:10">
      <c r="A7" s="49" t="s">
        <v>479</v>
      </c>
      <c r="B7" s="49" t="s">
        <v>207</v>
      </c>
      <c r="C7" s="58">
        <v>0.376776</v>
      </c>
      <c r="D7" s="58">
        <v>0.36</v>
      </c>
      <c r="E7" s="58">
        <v>0.34375628328077751</v>
      </c>
      <c r="F7" s="58">
        <v>0.34375628328077751</v>
      </c>
      <c r="G7" s="58">
        <v>0.34375628328077751</v>
      </c>
      <c r="H7" s="58">
        <v>0.34375628328077751</v>
      </c>
      <c r="I7" s="58">
        <v>0.34375628328077751</v>
      </c>
      <c r="J7" s="58">
        <v>0.34375628328077751</v>
      </c>
    </row>
    <row r="8" spans="1:10">
      <c r="A8" s="49" t="s">
        <v>479</v>
      </c>
      <c r="B8" s="49" t="s">
        <v>271</v>
      </c>
      <c r="C8" s="47">
        <v>8.114346449827026E-3</v>
      </c>
      <c r="D8" s="47">
        <v>1.256734145278088E-2</v>
      </c>
      <c r="E8" s="60">
        <v>1.5040024363583935E-2</v>
      </c>
      <c r="F8" s="60">
        <v>1.5040024363583935E-2</v>
      </c>
      <c r="G8" s="60">
        <v>1.5040024363583935E-2</v>
      </c>
      <c r="H8" s="60">
        <v>1.5040024363583935E-2</v>
      </c>
      <c r="I8" s="60">
        <v>1.5040024363583935E-2</v>
      </c>
      <c r="J8" s="60">
        <v>1.5040024363583935E-2</v>
      </c>
    </row>
    <row r="9" spans="1:10">
      <c r="A9" s="49" t="s">
        <v>479</v>
      </c>
      <c r="B9" s="49" t="s">
        <v>208</v>
      </c>
      <c r="C9" s="47">
        <v>0</v>
      </c>
      <c r="D9" s="47">
        <v>0</v>
      </c>
      <c r="E9" s="47">
        <v>0</v>
      </c>
      <c r="F9" s="47">
        <v>0</v>
      </c>
      <c r="G9" s="47">
        <v>0</v>
      </c>
      <c r="H9" s="47">
        <v>0</v>
      </c>
      <c r="I9" s="47">
        <v>0</v>
      </c>
      <c r="J9" s="47">
        <v>0</v>
      </c>
    </row>
    <row r="10" spans="1:10">
      <c r="A10" s="49" t="s">
        <v>479</v>
      </c>
      <c r="B10" s="49" t="s">
        <v>145</v>
      </c>
      <c r="C10" s="47"/>
      <c r="D10" s="47"/>
      <c r="E10" s="47"/>
      <c r="F10" s="47"/>
      <c r="G10" s="47"/>
      <c r="H10" s="47"/>
      <c r="I10" s="47"/>
      <c r="J10" s="47"/>
    </row>
    <row r="11" spans="1:10">
      <c r="A11" s="49" t="s">
        <v>479</v>
      </c>
      <c r="B11" s="49" t="s">
        <v>24</v>
      </c>
      <c r="C11" s="47">
        <v>0.1165766738660907</v>
      </c>
      <c r="D11" s="52">
        <v>0.11510079193664507</v>
      </c>
      <c r="E11" s="59">
        <v>0.13647275703714637</v>
      </c>
      <c r="F11" s="59">
        <v>0.14070964313144907</v>
      </c>
      <c r="G11" s="59">
        <v>0.1447210325967957</v>
      </c>
      <c r="H11" s="59">
        <v>0.14850774836624264</v>
      </c>
      <c r="I11" s="59">
        <v>0.15207060802400235</v>
      </c>
      <c r="J11" s="59">
        <v>0.15541042385429868</v>
      </c>
    </row>
    <row r="12" spans="1:10">
      <c r="A12" s="49" t="s">
        <v>480</v>
      </c>
      <c r="B12" s="49" t="s">
        <v>209</v>
      </c>
      <c r="C12" s="47">
        <v>0</v>
      </c>
      <c r="D12" s="47">
        <v>0</v>
      </c>
      <c r="E12" s="47">
        <v>0</v>
      </c>
      <c r="F12" s="47">
        <v>0</v>
      </c>
      <c r="G12" s="47">
        <v>0</v>
      </c>
      <c r="H12" s="47">
        <v>0</v>
      </c>
      <c r="I12" s="47">
        <v>0</v>
      </c>
      <c r="J12" s="47">
        <v>0</v>
      </c>
    </row>
    <row r="13" spans="1:10">
      <c r="A13" s="49" t="s">
        <v>480</v>
      </c>
      <c r="B13" s="49" t="s">
        <v>207</v>
      </c>
      <c r="C13" s="47">
        <v>0</v>
      </c>
      <c r="D13" s="47">
        <v>0</v>
      </c>
      <c r="E13" s="47">
        <v>0</v>
      </c>
      <c r="F13" s="47">
        <v>0</v>
      </c>
      <c r="G13" s="47">
        <v>0</v>
      </c>
      <c r="H13" s="47">
        <v>0</v>
      </c>
      <c r="I13" s="47">
        <v>0</v>
      </c>
      <c r="J13" s="47">
        <v>0</v>
      </c>
    </row>
    <row r="14" spans="1:10">
      <c r="A14" s="49" t="s">
        <v>480</v>
      </c>
      <c r="B14" s="49" t="s">
        <v>271</v>
      </c>
      <c r="C14" s="47">
        <v>1.0905437931630502E-3</v>
      </c>
      <c r="D14" s="47">
        <v>1.6890129479476511E-3</v>
      </c>
      <c r="E14" s="60">
        <v>2.0213341049884746E-3</v>
      </c>
      <c r="F14" s="60">
        <v>2.0213341049884746E-3</v>
      </c>
      <c r="G14" s="60">
        <v>2.0213341049884746E-3</v>
      </c>
      <c r="H14" s="60">
        <v>2.0213341049884746E-3</v>
      </c>
      <c r="I14" s="60">
        <v>2.0213341049884746E-3</v>
      </c>
      <c r="J14" s="60">
        <v>2.0213341049884746E-3</v>
      </c>
    </row>
    <row r="15" spans="1:10">
      <c r="A15" s="49" t="s">
        <v>480</v>
      </c>
      <c r="B15" s="49" t="s">
        <v>208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</row>
    <row r="16" spans="1:10">
      <c r="A16" s="49" t="s">
        <v>480</v>
      </c>
      <c r="B16" s="49" t="s">
        <v>145</v>
      </c>
      <c r="C16" s="47"/>
      <c r="D16" s="47"/>
      <c r="E16" s="47"/>
      <c r="F16" s="47"/>
      <c r="G16" s="47"/>
      <c r="H16" s="47"/>
      <c r="I16" s="47"/>
      <c r="J16" s="47"/>
    </row>
    <row r="17" spans="1:10">
      <c r="A17" s="49" t="s">
        <v>480</v>
      </c>
      <c r="B17" s="49" t="s">
        <v>24</v>
      </c>
      <c r="C17" s="47">
        <v>1.5561555075593952E-2</v>
      </c>
      <c r="D17" s="52">
        <v>1.3898488120950325E-2</v>
      </c>
      <c r="E17" s="59">
        <v>1.6479165439262616E-2</v>
      </c>
      <c r="F17" s="59">
        <v>1.6990771919641122E-2</v>
      </c>
      <c r="G17" s="59">
        <v>1.7475149549842944E-2</v>
      </c>
      <c r="H17" s="59">
        <v>1.7932397699517211E-2</v>
      </c>
      <c r="I17" s="59">
        <v>1.8362615092436998E-2</v>
      </c>
      <c r="J17" s="59">
        <v>1.8765899812398665E-2</v>
      </c>
    </row>
    <row r="18" spans="1:10">
      <c r="A18" s="49" t="s">
        <v>481</v>
      </c>
      <c r="B18" s="49" t="s">
        <v>209</v>
      </c>
      <c r="C18" s="47">
        <v>0</v>
      </c>
      <c r="D18" s="47">
        <v>0</v>
      </c>
      <c r="E18" s="47">
        <v>0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</row>
    <row r="19" spans="1:10">
      <c r="A19" s="49" t="s">
        <v>481</v>
      </c>
      <c r="B19" s="49" t="s">
        <v>207</v>
      </c>
      <c r="C19" s="47">
        <v>0</v>
      </c>
      <c r="D19" s="47">
        <v>0</v>
      </c>
      <c r="E19" s="47">
        <v>0</v>
      </c>
      <c r="F19" s="47">
        <v>0</v>
      </c>
      <c r="G19" s="47">
        <v>0</v>
      </c>
      <c r="H19" s="47">
        <v>0</v>
      </c>
      <c r="I19" s="47">
        <v>0</v>
      </c>
      <c r="J19" s="47">
        <v>0</v>
      </c>
    </row>
    <row r="20" spans="1:10">
      <c r="A20" s="49" t="s">
        <v>481</v>
      </c>
      <c r="B20" s="49" t="s">
        <v>271</v>
      </c>
      <c r="C20" s="47">
        <v>1.9320597788091191E-3</v>
      </c>
      <c r="D20" s="47">
        <v>2.9923364866921722E-3</v>
      </c>
      <c r="E20" s="60">
        <v>3.5810926147735751E-3</v>
      </c>
      <c r="F20" s="60">
        <v>3.5810926147735751E-3</v>
      </c>
      <c r="G20" s="60">
        <v>3.5810926147735751E-3</v>
      </c>
      <c r="H20" s="60">
        <v>3.5810926147735751E-3</v>
      </c>
      <c r="I20" s="60">
        <v>3.5810926147735751E-3</v>
      </c>
      <c r="J20" s="60">
        <v>3.5810926147735751E-3</v>
      </c>
    </row>
    <row r="21" spans="1:10">
      <c r="A21" s="49" t="s">
        <v>481</v>
      </c>
      <c r="B21" s="49" t="s">
        <v>208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</row>
    <row r="22" spans="1:10">
      <c r="A22" s="49" t="s">
        <v>481</v>
      </c>
      <c r="B22" s="49" t="s">
        <v>145</v>
      </c>
      <c r="C22" s="47"/>
      <c r="D22" s="47"/>
      <c r="E22" s="47"/>
      <c r="F22" s="47"/>
      <c r="G22" s="47"/>
      <c r="H22" s="47"/>
      <c r="I22" s="47"/>
      <c r="J22" s="47"/>
    </row>
    <row r="23" spans="1:10">
      <c r="A23" s="49" t="s">
        <v>481</v>
      </c>
      <c r="B23" s="49" t="s">
        <v>24</v>
      </c>
      <c r="C23" s="47">
        <v>3.1504679625629951E-2</v>
      </c>
      <c r="D23" s="52">
        <v>3.0939524838012961E-2</v>
      </c>
      <c r="E23" s="59">
        <v>3.668438926455897E-2</v>
      </c>
      <c r="F23" s="59">
        <v>3.7823280147452842E-2</v>
      </c>
      <c r="G23" s="59">
        <v>3.8901556690209817E-2</v>
      </c>
      <c r="H23" s="59">
        <v>3.9919440100323854E-2</v>
      </c>
      <c r="I23" s="59">
        <v>4.0877150147499611E-2</v>
      </c>
      <c r="J23" s="59">
        <v>4.17749051767849E-2</v>
      </c>
    </row>
    <row r="24" spans="1:10">
      <c r="A24" s="49" t="s">
        <v>487</v>
      </c>
      <c r="B24" s="49" t="s">
        <v>209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</row>
    <row r="25" spans="1:10">
      <c r="A25" s="49" t="s">
        <v>487</v>
      </c>
      <c r="B25" s="49" t="s">
        <v>207</v>
      </c>
      <c r="C25" s="47">
        <v>4.1183999999999998E-2</v>
      </c>
      <c r="D25" s="47">
        <v>3.9600000000000003E-2</v>
      </c>
      <c r="E25" s="58">
        <v>3.7813191161267135E-2</v>
      </c>
      <c r="F25" s="58">
        <v>3.7813191161267135E-2</v>
      </c>
      <c r="G25" s="58">
        <v>3.7813191161267135E-2</v>
      </c>
      <c r="H25" s="58">
        <v>3.7813191161267135E-2</v>
      </c>
      <c r="I25" s="58">
        <v>3.7813191161267135E-2</v>
      </c>
      <c r="J25" s="58">
        <v>3.7813191161267135E-2</v>
      </c>
    </row>
    <row r="26" spans="1:10">
      <c r="A26" s="49" t="s">
        <v>487</v>
      </c>
      <c r="B26" s="49" t="s">
        <v>271</v>
      </c>
      <c r="C26" s="47">
        <v>5.894267353577777E-2</v>
      </c>
      <c r="D26" s="47">
        <v>9.1289262671265595E-2</v>
      </c>
      <c r="E26" s="60">
        <v>0.10925084990076672</v>
      </c>
      <c r="F26" s="60">
        <v>0.10925084990076672</v>
      </c>
      <c r="G26" s="60">
        <v>0.10925084990076672</v>
      </c>
      <c r="H26" s="60">
        <v>0.10925084990076672</v>
      </c>
      <c r="I26" s="60">
        <v>0.10925084990076672</v>
      </c>
      <c r="J26" s="60">
        <v>0.10925084990076672</v>
      </c>
    </row>
    <row r="27" spans="1:10">
      <c r="A27" s="49" t="s">
        <v>487</v>
      </c>
      <c r="B27" s="49" t="s">
        <v>208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0</v>
      </c>
      <c r="J27" s="47">
        <v>0</v>
      </c>
    </row>
    <row r="28" spans="1:10">
      <c r="A28" s="49" t="s">
        <v>487</v>
      </c>
      <c r="B28" s="49" t="s">
        <v>145</v>
      </c>
      <c r="C28" s="47"/>
      <c r="D28" s="47"/>
      <c r="E28" s="47"/>
      <c r="F28" s="47"/>
      <c r="G28" s="47"/>
      <c r="H28" s="47"/>
      <c r="I28" s="47"/>
      <c r="J28" s="47"/>
    </row>
    <row r="29" spans="1:10">
      <c r="A29" s="49" t="s">
        <v>487</v>
      </c>
      <c r="B29" s="49" t="s">
        <v>24</v>
      </c>
      <c r="C29" s="47">
        <v>0.78448164146868249</v>
      </c>
      <c r="D29" s="52">
        <v>0.78189344852411802</v>
      </c>
      <c r="E29" s="59">
        <v>0.92707576406688252</v>
      </c>
      <c r="F29" s="59">
        <v>0.95585743814173751</v>
      </c>
      <c r="G29" s="59">
        <v>0.98310728664112568</v>
      </c>
      <c r="H29" s="59">
        <v>1.0088308998477424</v>
      </c>
      <c r="I29" s="59">
        <v>1.033033831708946</v>
      </c>
      <c r="J29" s="59">
        <v>1.0557216001686385</v>
      </c>
    </row>
    <row r="30" spans="1:10">
      <c r="A30" s="49" t="s">
        <v>486</v>
      </c>
      <c r="B30" s="49" t="s">
        <v>209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</row>
    <row r="31" spans="1:10">
      <c r="A31" s="49" t="s">
        <v>486</v>
      </c>
      <c r="B31" s="49" t="s">
        <v>207</v>
      </c>
      <c r="C31" s="47">
        <v>8.7840000000000001E-3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</row>
    <row r="32" spans="1:10">
      <c r="A32" s="49" t="s">
        <v>486</v>
      </c>
      <c r="B32" s="49" t="s">
        <v>271</v>
      </c>
      <c r="C32" s="47">
        <v>5.783385247233825E-2</v>
      </c>
      <c r="D32" s="47">
        <v>8.9571942243743374E-2</v>
      </c>
      <c r="E32" s="60">
        <v>0.10719563868787342</v>
      </c>
      <c r="F32" s="60">
        <v>0.10719563868787342</v>
      </c>
      <c r="G32" s="60">
        <v>0.10719563868787342</v>
      </c>
      <c r="H32" s="60">
        <v>0.10719563868787342</v>
      </c>
      <c r="I32" s="60">
        <v>0.10719563868787342</v>
      </c>
      <c r="J32" s="60">
        <v>0.10719563868787342</v>
      </c>
    </row>
    <row r="33" spans="1:10">
      <c r="A33" s="49" t="s">
        <v>486</v>
      </c>
      <c r="B33" s="49" t="s">
        <v>208</v>
      </c>
      <c r="C33" s="47">
        <v>0</v>
      </c>
      <c r="D33" s="47">
        <v>0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</row>
    <row r="34" spans="1:10">
      <c r="A34" s="49" t="s">
        <v>486</v>
      </c>
      <c r="B34" s="49" t="s">
        <v>145</v>
      </c>
      <c r="C34" s="47"/>
      <c r="D34" s="47"/>
      <c r="E34" s="47"/>
      <c r="F34" s="47"/>
      <c r="G34" s="47"/>
      <c r="H34" s="47"/>
      <c r="I34" s="47"/>
      <c r="J34" s="47"/>
    </row>
    <row r="35" spans="1:10">
      <c r="A35" s="49" t="s">
        <v>486</v>
      </c>
      <c r="B35" s="49" t="s">
        <v>24</v>
      </c>
      <c r="C35" s="47">
        <v>0.77597192224622025</v>
      </c>
      <c r="D35" s="52">
        <v>0.77955363570914327</v>
      </c>
      <c r="E35" s="59">
        <v>0.85076199093711924</v>
      </c>
      <c r="F35" s="59">
        <v>0.87717445396064875</v>
      </c>
      <c r="G35" s="59">
        <v>0.90218118616166632</v>
      </c>
      <c r="H35" s="59">
        <v>0.92578731764951205</v>
      </c>
      <c r="I35" s="59">
        <v>0.94799794518919112</v>
      </c>
      <c r="J35" s="59">
        <v>0.96881813250593762</v>
      </c>
    </row>
    <row r="36" spans="1:10">
      <c r="A36" s="49" t="s">
        <v>483</v>
      </c>
      <c r="B36" s="49" t="s">
        <v>209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</row>
    <row r="37" spans="1:10">
      <c r="A37" s="49" t="s">
        <v>483</v>
      </c>
      <c r="B37" s="49" t="s">
        <v>207</v>
      </c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</row>
    <row r="38" spans="1:10">
      <c r="A38" s="49" t="s">
        <v>483</v>
      </c>
      <c r="B38" s="49" t="s">
        <v>271</v>
      </c>
      <c r="C38" s="47">
        <v>7.5915403646270016E-2</v>
      </c>
      <c r="D38" s="47">
        <v>0.11757629589117428</v>
      </c>
      <c r="E38" s="60">
        <v>0.14070997922889389</v>
      </c>
      <c r="F38" s="60">
        <v>0.14070997922889389</v>
      </c>
      <c r="G38" s="60">
        <v>0.14070997922889389</v>
      </c>
      <c r="H38" s="60">
        <v>0.14070997922889389</v>
      </c>
      <c r="I38" s="60">
        <v>0.14070997922889389</v>
      </c>
      <c r="J38" s="60">
        <v>0.14070997922889389</v>
      </c>
    </row>
    <row r="39" spans="1:10">
      <c r="A39" s="49" t="s">
        <v>483</v>
      </c>
      <c r="B39" s="49" t="s">
        <v>208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</row>
    <row r="40" spans="1:10">
      <c r="A40" s="49" t="s">
        <v>483</v>
      </c>
      <c r="B40" s="49" t="s">
        <v>145</v>
      </c>
      <c r="C40" s="47"/>
      <c r="D40" s="47"/>
      <c r="E40" s="47"/>
      <c r="F40" s="47"/>
      <c r="G40" s="47"/>
      <c r="H40" s="47"/>
      <c r="I40" s="47"/>
      <c r="J40" s="47"/>
    </row>
    <row r="41" spans="1:10">
      <c r="A41" s="49" t="s">
        <v>483</v>
      </c>
      <c r="B41" s="49" t="s">
        <v>24</v>
      </c>
      <c r="C41" s="47">
        <v>2.0844240460763137</v>
      </c>
      <c r="D41" s="52">
        <v>2.0304895608351332</v>
      </c>
      <c r="E41" s="59">
        <v>2.4075117454868851</v>
      </c>
      <c r="F41" s="59">
        <v>2.482254523882923</v>
      </c>
      <c r="G41" s="59">
        <v>2.5530193231235194</v>
      </c>
      <c r="H41" s="59">
        <v>2.6198206605456287</v>
      </c>
      <c r="I41" s="59">
        <v>2.6826729591274114</v>
      </c>
      <c r="J41" s="59">
        <v>2.7415905483500937</v>
      </c>
    </row>
    <row r="42" spans="1:10">
      <c r="A42" s="49" t="s">
        <v>484</v>
      </c>
      <c r="B42" s="49" t="s">
        <v>209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</row>
    <row r="43" spans="1:10">
      <c r="A43" s="49" t="s">
        <v>484</v>
      </c>
      <c r="B43" s="49" t="s">
        <v>207</v>
      </c>
      <c r="C43" s="47">
        <v>4.3920000000000001E-3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</row>
    <row r="44" spans="1:10">
      <c r="A44" s="49" t="s">
        <v>484</v>
      </c>
      <c r="B44" s="49" t="s">
        <v>271</v>
      </c>
      <c r="C44" s="47">
        <v>4.354026556320606E-2</v>
      </c>
      <c r="D44" s="47">
        <v>6.7434313738136201E-2</v>
      </c>
      <c r="E44" s="60">
        <v>8.0702328760129921E-2</v>
      </c>
      <c r="F44" s="60">
        <v>8.0702328760129921E-2</v>
      </c>
      <c r="G44" s="60">
        <v>8.0702328760129921E-2</v>
      </c>
      <c r="H44" s="60">
        <v>8.0702328760129921E-2</v>
      </c>
      <c r="I44" s="60">
        <v>8.0702328760129921E-2</v>
      </c>
      <c r="J44" s="60">
        <v>8.0702328760129921E-2</v>
      </c>
    </row>
    <row r="45" spans="1:10">
      <c r="A45" s="49" t="s">
        <v>484</v>
      </c>
      <c r="B45" s="49" t="s">
        <v>208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</row>
    <row r="46" spans="1:10">
      <c r="A46" s="49" t="s">
        <v>484</v>
      </c>
      <c r="B46" s="49" t="s">
        <v>145</v>
      </c>
      <c r="C46" s="47"/>
      <c r="D46" s="47"/>
      <c r="E46" s="47"/>
      <c r="F46" s="47"/>
      <c r="G46" s="47"/>
      <c r="H46" s="47"/>
      <c r="I46" s="47"/>
      <c r="J46" s="47"/>
    </row>
    <row r="47" spans="1:10">
      <c r="A47" s="49" t="s">
        <v>484</v>
      </c>
      <c r="B47" s="49" t="s">
        <v>24</v>
      </c>
      <c r="C47" s="47">
        <v>0.5955903527717783</v>
      </c>
      <c r="D47" s="52">
        <v>0.59399928005759539</v>
      </c>
      <c r="E47" s="59">
        <v>0.70429332469024664</v>
      </c>
      <c r="F47" s="59">
        <v>0.72615857207348877</v>
      </c>
      <c r="G47" s="59">
        <v>0.74686010170117423</v>
      </c>
      <c r="H47" s="59">
        <v>0.76640216047408272</v>
      </c>
      <c r="I47" s="59">
        <v>0.78478896768927908</v>
      </c>
      <c r="J47" s="59">
        <v>0.8020247152922404</v>
      </c>
    </row>
    <row r="48" spans="1:10">
      <c r="A48" s="49" t="s">
        <v>485</v>
      </c>
      <c r="B48" s="49" t="s">
        <v>209</v>
      </c>
      <c r="C48" s="47">
        <v>0</v>
      </c>
      <c r="D48" s="47">
        <v>0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</row>
    <row r="49" spans="1:10">
      <c r="A49" s="49" t="s">
        <v>485</v>
      </c>
      <c r="B49" s="49" t="s">
        <v>207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</row>
    <row r="50" spans="1:10">
      <c r="A50" s="49" t="s">
        <v>485</v>
      </c>
      <c r="B50" s="49" t="s">
        <v>271</v>
      </c>
      <c r="C50" s="47">
        <v>4.7830854760608728E-2</v>
      </c>
      <c r="D50" s="47">
        <v>7.4079494568259852E-2</v>
      </c>
      <c r="E50" s="60">
        <v>8.8654979840789877E-2</v>
      </c>
      <c r="F50" s="60">
        <v>8.8654979840789877E-2</v>
      </c>
      <c r="G50" s="60">
        <v>8.8654979840789877E-2</v>
      </c>
      <c r="H50" s="60">
        <v>8.8654979840789877E-2</v>
      </c>
      <c r="I50" s="60">
        <v>8.8654979840789877E-2</v>
      </c>
      <c r="J50" s="60">
        <v>8.8654979840789877E-2</v>
      </c>
    </row>
    <row r="51" spans="1:10">
      <c r="A51" s="49" t="s">
        <v>485</v>
      </c>
      <c r="B51" s="49" t="s">
        <v>208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</row>
    <row r="52" spans="1:10">
      <c r="A52" s="49" t="s">
        <v>485</v>
      </c>
      <c r="B52" s="49" t="s">
        <v>145</v>
      </c>
      <c r="D52" s="47"/>
      <c r="E52" s="47"/>
      <c r="F52" s="47"/>
      <c r="G52" s="47"/>
      <c r="H52" s="47"/>
      <c r="I52" s="47"/>
      <c r="J52" s="47"/>
    </row>
    <row r="53" spans="1:10">
      <c r="A53" s="49" t="s">
        <v>485</v>
      </c>
      <c r="B53" s="49" t="s">
        <v>24</v>
      </c>
      <c r="C53" s="47">
        <v>0.86984161267098625</v>
      </c>
      <c r="D53" s="52">
        <v>0.83686105111591069</v>
      </c>
      <c r="E53" s="59">
        <v>0.99224977501159628</v>
      </c>
      <c r="F53" s="59">
        <v>1.0230548189272644</v>
      </c>
      <c r="G53" s="59">
        <v>1.0522203489633482</v>
      </c>
      <c r="H53" s="59">
        <v>1.0797523484029423</v>
      </c>
      <c r="I53" s="59">
        <v>1.1056567616394077</v>
      </c>
      <c r="J53" s="59">
        <v>1.1299394945315826</v>
      </c>
    </row>
    <row r="54" spans="1:10">
      <c r="A54" t="s">
        <v>483</v>
      </c>
      <c r="B54" t="s">
        <v>146</v>
      </c>
      <c r="C54">
        <v>6.4918076281656729</v>
      </c>
      <c r="D54">
        <v>5.6721738636433523</v>
      </c>
      <c r="E54">
        <v>5.6721738636433523</v>
      </c>
      <c r="F54">
        <v>5.6721738636433523</v>
      </c>
      <c r="G54">
        <v>5.6721738636433523</v>
      </c>
      <c r="H54">
        <v>5.6721738636433523</v>
      </c>
      <c r="I54">
        <v>5.6721738636433523</v>
      </c>
      <c r="J54">
        <v>5.6721738636433523</v>
      </c>
    </row>
    <row r="55" spans="1:10">
      <c r="A55" t="s">
        <v>485</v>
      </c>
      <c r="B55" t="s">
        <v>146</v>
      </c>
      <c r="C55">
        <v>1.3063877543100479</v>
      </c>
      <c r="D55">
        <v>1.7301026268517314</v>
      </c>
      <c r="E55">
        <v>1.7301026268517314</v>
      </c>
      <c r="F55">
        <v>1.7301026268517314</v>
      </c>
      <c r="G55">
        <v>1.7301026268517314</v>
      </c>
      <c r="H55">
        <v>1.7301026268517314</v>
      </c>
      <c r="I55">
        <v>1.7301026268517314</v>
      </c>
      <c r="J55">
        <v>1.7301026268517314</v>
      </c>
    </row>
    <row r="56" spans="1:10">
      <c r="A56" t="s">
        <v>480</v>
      </c>
      <c r="B56" t="s">
        <v>146</v>
      </c>
      <c r="C56">
        <v>2.9785649118282811E-2</v>
      </c>
      <c r="D56">
        <v>3.9446350910753242E-2</v>
      </c>
      <c r="E56">
        <v>3.9446350910753242E-2</v>
      </c>
      <c r="F56">
        <v>3.9446350910753242E-2</v>
      </c>
      <c r="G56">
        <v>3.9446350910753242E-2</v>
      </c>
      <c r="H56">
        <v>3.9446350910753242E-2</v>
      </c>
      <c r="I56">
        <v>3.9446350910753242E-2</v>
      </c>
      <c r="J56">
        <v>3.9446350910753242E-2</v>
      </c>
    </row>
    <row r="57" spans="1:10">
      <c r="A57" t="s">
        <v>484</v>
      </c>
      <c r="B57" t="s">
        <v>146</v>
      </c>
      <c r="C57">
        <v>1.1892003610611614</v>
      </c>
      <c r="D57">
        <v>1.5749065786455971</v>
      </c>
      <c r="E57">
        <v>1.5749065786455971</v>
      </c>
      <c r="F57">
        <v>1.5749065786455971</v>
      </c>
      <c r="G57">
        <v>1.5749065786455971</v>
      </c>
      <c r="H57">
        <v>1.5749065786455971</v>
      </c>
      <c r="I57">
        <v>1.5749065786455971</v>
      </c>
      <c r="J57">
        <v>1.5749065786455971</v>
      </c>
    </row>
    <row r="58" spans="1:10">
      <c r="A58" t="s">
        <v>479</v>
      </c>
      <c r="B58" t="s">
        <v>146</v>
      </c>
      <c r="C58">
        <v>0.2216243654715806</v>
      </c>
      <c r="D58">
        <v>0.29350619340368422</v>
      </c>
      <c r="E58">
        <v>0.29350619340368422</v>
      </c>
      <c r="F58">
        <v>0.29350619340368422</v>
      </c>
      <c r="G58">
        <v>0.29350619340368422</v>
      </c>
      <c r="H58">
        <v>0.29350619340368422</v>
      </c>
      <c r="I58">
        <v>0.29350619340368422</v>
      </c>
      <c r="J58">
        <v>0.29350619340368422</v>
      </c>
    </row>
    <row r="59" spans="1:10">
      <c r="A59" t="s">
        <v>487</v>
      </c>
      <c r="B59" t="s">
        <v>146</v>
      </c>
      <c r="C59">
        <v>1.6098810547883051</v>
      </c>
      <c r="D59">
        <v>2.1320311925911168</v>
      </c>
      <c r="E59">
        <v>2.1320311925911168</v>
      </c>
      <c r="F59">
        <v>2.1320311925911168</v>
      </c>
      <c r="G59">
        <v>2.1320311925911168</v>
      </c>
      <c r="H59">
        <v>2.1320311925911168</v>
      </c>
      <c r="I59">
        <v>2.1320311925911168</v>
      </c>
      <c r="J59">
        <v>2.1320311925911168</v>
      </c>
    </row>
    <row r="60" spans="1:10">
      <c r="A60" t="s">
        <v>486</v>
      </c>
      <c r="B60" t="s">
        <v>146</v>
      </c>
      <c r="C60">
        <v>1.5795962048468111</v>
      </c>
      <c r="D60">
        <v>2.0919237296539266</v>
      </c>
      <c r="E60">
        <v>2.0919237296539266</v>
      </c>
      <c r="F60">
        <v>2.0919237296539266</v>
      </c>
      <c r="G60">
        <v>2.0919237296539266</v>
      </c>
      <c r="H60">
        <v>2.0919237296539266</v>
      </c>
      <c r="I60">
        <v>2.0919237296539266</v>
      </c>
      <c r="J60">
        <v>2.0919237296539266</v>
      </c>
    </row>
    <row r="61" spans="1:10">
      <c r="A61" t="s">
        <v>481</v>
      </c>
      <c r="B61" t="s">
        <v>146</v>
      </c>
      <c r="C61">
        <v>5.2769687020309708E-2</v>
      </c>
      <c r="D61">
        <v>6.9885050461299558E-2</v>
      </c>
      <c r="E61">
        <v>6.9885050461299558E-2</v>
      </c>
      <c r="F61">
        <v>6.9885050461299558E-2</v>
      </c>
      <c r="G61">
        <v>6.9885050461299558E-2</v>
      </c>
      <c r="H61">
        <v>6.9885050461299558E-2</v>
      </c>
      <c r="I61">
        <v>6.9885050461299558E-2</v>
      </c>
      <c r="J61">
        <v>6.9885050461299558E-2</v>
      </c>
    </row>
  </sheetData>
  <autoFilter ref="A5:BH61" xr:uid="{00000000-0009-0000-0000-000015000000}">
    <sortState xmlns:xlrd2="http://schemas.microsoft.com/office/spreadsheetml/2017/richdata2" ref="A6:BH11">
      <sortCondition ref="B5"/>
    </sortState>
  </autoFilter>
  <conditionalFormatting sqref="A6:A53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Tabelle39">
    <tabColor theme="5" tint="0.79998168889431442"/>
  </sheetPr>
  <dimension ref="A1:I41"/>
  <sheetViews>
    <sheetView workbookViewId="0">
      <selection activeCell="A15" sqref="A15"/>
    </sheetView>
  </sheetViews>
  <sheetFormatPr defaultColWidth="11.42578125" defaultRowHeight="15"/>
  <cols>
    <col min="1" max="1" width="17.42578125" customWidth="1"/>
  </cols>
  <sheetData>
    <row r="1" spans="1:9">
      <c r="A1" t="s">
        <v>394</v>
      </c>
    </row>
    <row r="2" spans="1:9">
      <c r="A2" t="s">
        <v>340</v>
      </c>
    </row>
    <row r="3" spans="1:9">
      <c r="A3" t="s">
        <v>393</v>
      </c>
    </row>
    <row r="5" spans="1:9">
      <c r="A5" t="s">
        <v>20</v>
      </c>
      <c r="B5">
        <v>2018</v>
      </c>
      <c r="C5">
        <v>2021</v>
      </c>
      <c r="D5">
        <v>2025</v>
      </c>
      <c r="E5">
        <v>2030</v>
      </c>
      <c r="F5">
        <v>2035</v>
      </c>
      <c r="G5">
        <v>2040</v>
      </c>
      <c r="H5">
        <v>2045</v>
      </c>
      <c r="I5">
        <v>2050</v>
      </c>
    </row>
    <row r="6" spans="1:9">
      <c r="A6" s="49" t="s">
        <v>479</v>
      </c>
      <c r="B6">
        <v>0.1</v>
      </c>
      <c r="C6">
        <v>0.105</v>
      </c>
      <c r="D6">
        <v>0.11</v>
      </c>
      <c r="E6">
        <v>0.115</v>
      </c>
      <c r="F6">
        <v>0.11</v>
      </c>
      <c r="G6">
        <v>0.1</v>
      </c>
      <c r="H6">
        <v>8.5000000000000006E-2</v>
      </c>
      <c r="I6">
        <v>7.0000000000000007E-2</v>
      </c>
    </row>
    <row r="7" spans="1:9">
      <c r="A7" s="49" t="s">
        <v>480</v>
      </c>
      <c r="B7">
        <v>0.1</v>
      </c>
      <c r="C7">
        <v>0.105</v>
      </c>
      <c r="D7">
        <v>0.11</v>
      </c>
      <c r="E7">
        <v>0.115</v>
      </c>
      <c r="F7">
        <v>0.11</v>
      </c>
      <c r="G7">
        <v>0.1</v>
      </c>
      <c r="H7">
        <v>8.5000000000000006E-2</v>
      </c>
      <c r="I7">
        <v>7.0000000000000007E-2</v>
      </c>
    </row>
    <row r="8" spans="1:9">
      <c r="A8" s="49" t="s">
        <v>481</v>
      </c>
      <c r="B8">
        <v>0.1</v>
      </c>
      <c r="C8">
        <v>0.105</v>
      </c>
      <c r="D8">
        <v>0.11</v>
      </c>
      <c r="E8">
        <v>0.115</v>
      </c>
      <c r="F8">
        <v>0.11</v>
      </c>
      <c r="G8">
        <v>0.1</v>
      </c>
      <c r="H8">
        <v>8.5000000000000006E-2</v>
      </c>
      <c r="I8">
        <v>7.0000000000000007E-2</v>
      </c>
    </row>
    <row r="9" spans="1:9">
      <c r="A9" s="49" t="s">
        <v>487</v>
      </c>
      <c r="B9">
        <v>0.1</v>
      </c>
      <c r="C9">
        <v>0.105</v>
      </c>
      <c r="D9">
        <v>0.11</v>
      </c>
      <c r="E9">
        <v>0.115</v>
      </c>
      <c r="F9">
        <v>0.11</v>
      </c>
      <c r="G9">
        <v>0.1</v>
      </c>
      <c r="H9">
        <v>8.5000000000000006E-2</v>
      </c>
      <c r="I9">
        <v>7.0000000000000007E-2</v>
      </c>
    </row>
    <row r="10" spans="1:9">
      <c r="A10" s="49" t="s">
        <v>486</v>
      </c>
      <c r="B10">
        <v>0.1</v>
      </c>
      <c r="C10">
        <v>0.105</v>
      </c>
      <c r="D10">
        <v>0.11</v>
      </c>
      <c r="E10">
        <v>0.115</v>
      </c>
      <c r="F10">
        <v>0.11</v>
      </c>
      <c r="G10">
        <v>0.1</v>
      </c>
      <c r="H10">
        <v>8.5000000000000006E-2</v>
      </c>
      <c r="I10">
        <v>7.0000000000000007E-2</v>
      </c>
    </row>
    <row r="11" spans="1:9">
      <c r="A11" s="49" t="s">
        <v>483</v>
      </c>
      <c r="B11">
        <v>0.1</v>
      </c>
      <c r="C11">
        <v>0.105</v>
      </c>
      <c r="D11">
        <v>0.11</v>
      </c>
      <c r="E11">
        <v>0.115</v>
      </c>
      <c r="F11">
        <v>0.11</v>
      </c>
      <c r="G11">
        <v>0.1</v>
      </c>
      <c r="H11">
        <v>8.5000000000000006E-2</v>
      </c>
      <c r="I11">
        <v>7.0000000000000007E-2</v>
      </c>
    </row>
    <row r="12" spans="1:9">
      <c r="A12" s="49" t="s">
        <v>484</v>
      </c>
      <c r="B12">
        <v>0.1</v>
      </c>
      <c r="C12">
        <v>0.105</v>
      </c>
      <c r="D12">
        <v>0.11</v>
      </c>
      <c r="E12">
        <v>0.115</v>
      </c>
      <c r="F12">
        <v>0.11</v>
      </c>
      <c r="G12">
        <v>0.1</v>
      </c>
      <c r="H12">
        <v>8.5000000000000006E-2</v>
      </c>
      <c r="I12">
        <v>7.0000000000000007E-2</v>
      </c>
    </row>
    <row r="13" spans="1:9">
      <c r="A13" s="49" t="s">
        <v>485</v>
      </c>
      <c r="B13">
        <v>0.1</v>
      </c>
      <c r="C13">
        <v>0.105</v>
      </c>
      <c r="D13">
        <v>0.11</v>
      </c>
      <c r="E13">
        <v>0.115</v>
      </c>
      <c r="F13">
        <v>0.11</v>
      </c>
      <c r="G13">
        <v>0.1</v>
      </c>
      <c r="H13">
        <v>8.5000000000000006E-2</v>
      </c>
      <c r="I13">
        <v>7.0000000000000007E-2</v>
      </c>
    </row>
    <row r="14" spans="1:9">
      <c r="A14" s="12"/>
    </row>
    <row r="15" spans="1:9">
      <c r="A15" s="12"/>
    </row>
    <row r="16" spans="1:9">
      <c r="A16" s="12"/>
    </row>
    <row r="17" spans="1:1">
      <c r="A17" s="12"/>
    </row>
    <row r="18" spans="1:1">
      <c r="A18" s="12"/>
    </row>
    <row r="19" spans="1:1">
      <c r="A19" s="12"/>
    </row>
    <row r="20" spans="1:1">
      <c r="A20" s="12"/>
    </row>
    <row r="21" spans="1:1">
      <c r="A21" s="12"/>
    </row>
    <row r="22" spans="1:1">
      <c r="A22" s="12"/>
    </row>
    <row r="23" spans="1:1">
      <c r="A23" s="12"/>
    </row>
    <row r="24" spans="1:1">
      <c r="A24" s="12"/>
    </row>
    <row r="25" spans="1:1">
      <c r="A25" s="12"/>
    </row>
    <row r="26" spans="1:1">
      <c r="A26" s="12"/>
    </row>
    <row r="27" spans="1:1">
      <c r="A27" s="12"/>
    </row>
    <row r="28" spans="1:1">
      <c r="A28" s="12"/>
    </row>
    <row r="29" spans="1:1">
      <c r="A29" s="12"/>
    </row>
    <row r="30" spans="1:1">
      <c r="A30" s="12"/>
    </row>
    <row r="31" spans="1:1">
      <c r="A31" s="12"/>
    </row>
    <row r="32" spans="1:1">
      <c r="A32" s="12"/>
    </row>
    <row r="33" spans="1:1">
      <c r="A33" s="1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1" spans="1:1">
      <c r="A41" s="12"/>
    </row>
  </sheetData>
  <conditionalFormatting sqref="A6:A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4:A30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Tabelle8"/>
  <dimension ref="A1:J15"/>
  <sheetViews>
    <sheetView workbookViewId="0">
      <selection activeCell="E17" sqref="E17"/>
    </sheetView>
  </sheetViews>
  <sheetFormatPr defaultColWidth="11.42578125" defaultRowHeight="15"/>
  <cols>
    <col min="1" max="1" width="15.140625" customWidth="1"/>
  </cols>
  <sheetData>
    <row r="1" spans="1:10">
      <c r="A1" t="s">
        <v>395</v>
      </c>
    </row>
    <row r="2" spans="1:10">
      <c r="A2" t="s">
        <v>9</v>
      </c>
    </row>
    <row r="3" spans="1:10">
      <c r="A3" t="s">
        <v>382</v>
      </c>
    </row>
    <row r="5" spans="1:10">
      <c r="A5" t="s">
        <v>20</v>
      </c>
      <c r="B5" t="s">
        <v>21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s="11" t="s">
        <v>484</v>
      </c>
      <c r="B6" t="s">
        <v>36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s="11"/>
    </row>
    <row r="8" spans="1:10">
      <c r="A8" s="11"/>
    </row>
    <row r="9" spans="1:10">
      <c r="A9" s="11"/>
    </row>
    <row r="10" spans="1:10">
      <c r="A10" s="11"/>
    </row>
    <row r="11" spans="1:10">
      <c r="A11" s="11"/>
    </row>
    <row r="12" spans="1:10">
      <c r="A12" s="11"/>
    </row>
    <row r="13" spans="1:10">
      <c r="A13" s="11"/>
    </row>
    <row r="14" spans="1:10">
      <c r="A14" s="11"/>
    </row>
    <row r="15" spans="1:10">
      <c r="A15" s="11"/>
    </row>
  </sheetData>
  <dataValidations count="1">
    <dataValidation type="list" allowBlank="1" showInputMessage="1" showErrorMessage="1" sqref="B6:B38" xr:uid="{00000000-0002-0000-1700-000000000000}">
      <formula1>Fuels</formula1>
    </dataValidation>
  </dataValidations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Tabelle22"/>
  <dimension ref="A1:J24"/>
  <sheetViews>
    <sheetView workbookViewId="0">
      <selection activeCell="D25" sqref="D25"/>
    </sheetView>
  </sheetViews>
  <sheetFormatPr defaultColWidth="11.42578125" defaultRowHeight="15"/>
  <cols>
    <col min="1" max="1" width="17.7109375" customWidth="1"/>
    <col min="2" max="2" width="28.140625" customWidth="1"/>
  </cols>
  <sheetData>
    <row r="1" spans="1:10">
      <c r="A1" t="s">
        <v>396</v>
      </c>
    </row>
    <row r="2" spans="1:10">
      <c r="A2" t="s">
        <v>10</v>
      </c>
    </row>
    <row r="3" spans="1:10" ht="15.75" customHeight="1">
      <c r="A3" t="s">
        <v>383</v>
      </c>
    </row>
    <row r="4" spans="1:10" ht="15.75" customHeight="1"/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0">
      <c r="A6" t="s">
        <v>484</v>
      </c>
      <c r="B6" t="s">
        <v>135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t="s">
        <v>484</v>
      </c>
      <c r="B7" t="s">
        <v>136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>
      <c r="A8" t="s">
        <v>484</v>
      </c>
      <c r="B8" t="s">
        <v>134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t="s">
        <v>484</v>
      </c>
      <c r="B9" t="s">
        <v>191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>
      <c r="A10" t="s">
        <v>484</v>
      </c>
      <c r="B10" t="s">
        <v>56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>
      <c r="A11" t="s">
        <v>484</v>
      </c>
      <c r="B11" t="s">
        <v>122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>
      <c r="A12" s="11" t="s">
        <v>484</v>
      </c>
      <c r="B12" t="s">
        <v>253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>
      <c r="A13" s="11" t="s">
        <v>484</v>
      </c>
      <c r="B13" t="s">
        <v>98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>
      <c r="A14" s="11" t="s">
        <v>484</v>
      </c>
      <c r="B14" t="s">
        <v>327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>
      <c r="A15" s="11" t="s">
        <v>484</v>
      </c>
      <c r="B15" t="s">
        <v>449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>
      <c r="A16" s="11" t="s">
        <v>484</v>
      </c>
      <c r="B16" t="s">
        <v>450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>
      <c r="A17" s="11" t="s">
        <v>484</v>
      </c>
      <c r="B17" t="s">
        <v>451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  <row r="18" spans="1:10">
      <c r="A18" s="11" t="s">
        <v>484</v>
      </c>
      <c r="B18" t="s">
        <v>440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</row>
    <row r="19" spans="1:10">
      <c r="A19" s="11" t="s">
        <v>484</v>
      </c>
      <c r="B19" t="s">
        <v>441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</row>
    <row r="20" spans="1:10">
      <c r="A20" s="11" t="s">
        <v>484</v>
      </c>
      <c r="B20" t="s">
        <v>442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</row>
    <row r="21" spans="1:10">
      <c r="A21" s="11" t="s">
        <v>484</v>
      </c>
      <c r="B21" t="s">
        <v>443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</row>
    <row r="22" spans="1:10">
      <c r="A22" s="11" t="s">
        <v>484</v>
      </c>
      <c r="B22" t="s">
        <v>444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>
      <c r="A23" s="11" t="s">
        <v>484</v>
      </c>
      <c r="B23" t="s">
        <v>445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</row>
    <row r="24" spans="1:10">
      <c r="A24" s="11" t="s">
        <v>484</v>
      </c>
      <c r="B24" t="s">
        <v>446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</row>
  </sheetData>
  <dataValidations count="2">
    <dataValidation type="list" allowBlank="1" showInputMessage="1" showErrorMessage="1" sqref="B11" xr:uid="{00000000-0002-0000-1800-000000000000}">
      <formula1>Technologies</formula1>
    </dataValidation>
    <dataValidation type="list" allowBlank="1" showInputMessage="1" showErrorMessage="1" sqref="A12:A24" xr:uid="{00000000-0002-0000-18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Tabelle10"/>
  <dimension ref="A1:R230"/>
  <sheetViews>
    <sheetView topLeftCell="A41" workbookViewId="0">
      <selection activeCell="E61" sqref="E61"/>
    </sheetView>
  </sheetViews>
  <sheetFormatPr defaultColWidth="11.42578125" defaultRowHeight="15"/>
  <cols>
    <col min="1" max="1" width="22.42578125" style="6" customWidth="1"/>
    <col min="2" max="2" width="27.85546875" style="6" bestFit="1" customWidth="1"/>
    <col min="3" max="3" width="24.42578125" style="6" customWidth="1"/>
    <col min="4" max="4" width="19.5703125" style="6" bestFit="1" customWidth="1"/>
    <col min="5" max="5" width="12.42578125" style="6" bestFit="1" customWidth="1"/>
    <col min="6" max="12" width="11.42578125" style="6"/>
    <col min="13" max="13" width="3.42578125" style="6" customWidth="1"/>
    <col min="14" max="16384" width="11.42578125" style="6"/>
  </cols>
  <sheetData>
    <row r="1" spans="1:18">
      <c r="A1" t="s">
        <v>397</v>
      </c>
    </row>
    <row r="2" spans="1:18">
      <c r="A2" t="s">
        <v>342</v>
      </c>
    </row>
    <row r="3" spans="1:18">
      <c r="A3" t="s">
        <v>383</v>
      </c>
    </row>
    <row r="5" spans="1:18">
      <c r="A5" t="s">
        <v>20</v>
      </c>
      <c r="B5" t="s">
        <v>26</v>
      </c>
      <c r="C5" t="s">
        <v>21</v>
      </c>
      <c r="D5" t="s">
        <v>341</v>
      </c>
      <c r="E5" s="25">
        <v>2018</v>
      </c>
      <c r="F5" s="25">
        <v>2021</v>
      </c>
      <c r="G5" s="25">
        <v>2025</v>
      </c>
      <c r="H5" s="25">
        <v>2030</v>
      </c>
      <c r="I5" s="25">
        <v>2035</v>
      </c>
      <c r="J5" s="25">
        <v>2040</v>
      </c>
      <c r="K5" s="25">
        <v>2045</v>
      </c>
      <c r="L5" s="25">
        <v>2050</v>
      </c>
    </row>
    <row r="6" spans="1:18">
      <c r="A6" t="s">
        <v>484</v>
      </c>
      <c r="B6" t="s">
        <v>193</v>
      </c>
      <c r="C6" t="s">
        <v>141</v>
      </c>
      <c r="D6">
        <v>1</v>
      </c>
      <c r="E6" s="6">
        <v>3.3333333333333335</v>
      </c>
      <c r="F6" s="6">
        <v>3.113961038961039</v>
      </c>
      <c r="G6" s="6">
        <v>3.0391608391608389</v>
      </c>
      <c r="H6" s="6">
        <v>2.9670208579299491</v>
      </c>
      <c r="I6" s="6">
        <v>2.8974219810040704</v>
      </c>
      <c r="J6" s="6">
        <v>2.8302521008403358</v>
      </c>
      <c r="K6" s="6">
        <v>2.7654056088838699</v>
      </c>
      <c r="L6" s="6">
        <v>2.7027829313543599</v>
      </c>
    </row>
    <row r="7" spans="1:18">
      <c r="A7" t="s">
        <v>484</v>
      </c>
      <c r="B7" s="6" t="s">
        <v>436</v>
      </c>
      <c r="C7" s="6" t="s">
        <v>141</v>
      </c>
      <c r="D7" s="6">
        <v>1</v>
      </c>
      <c r="E7" s="6">
        <v>2.8901734104046244</v>
      </c>
      <c r="F7" s="6">
        <v>2.8901734104046244</v>
      </c>
      <c r="G7" s="6">
        <v>2.8901734104046244</v>
      </c>
      <c r="H7" s="6">
        <v>2.8901734104046244</v>
      </c>
      <c r="I7" s="6">
        <v>2.8901734104046244</v>
      </c>
      <c r="J7" s="6">
        <v>2.8901734104046244</v>
      </c>
      <c r="K7" s="6">
        <v>2.8901734104046244</v>
      </c>
      <c r="L7" s="6">
        <v>2.8901734104046244</v>
      </c>
      <c r="P7" s="6" t="s">
        <v>452</v>
      </c>
      <c r="Q7" s="6" t="s">
        <v>453</v>
      </c>
    </row>
    <row r="8" spans="1:18">
      <c r="A8" t="s">
        <v>484</v>
      </c>
      <c r="B8" s="6" t="s">
        <v>436</v>
      </c>
      <c r="C8" s="6" t="s">
        <v>141</v>
      </c>
      <c r="D8" s="6">
        <v>2</v>
      </c>
      <c r="E8" s="6">
        <v>3.5714285714285712</v>
      </c>
      <c r="F8" s="6">
        <v>3.5714285714285712</v>
      </c>
      <c r="G8" s="6">
        <v>3.5714285714285712</v>
      </c>
      <c r="H8" s="6">
        <v>3.5714285714285712</v>
      </c>
      <c r="I8" s="6">
        <v>3.5714285714285712</v>
      </c>
      <c r="J8" s="6">
        <v>3.5714285714285712</v>
      </c>
      <c r="K8" s="6">
        <v>3.5714285714285712</v>
      </c>
      <c r="L8" s="6">
        <v>3.5714285714285712</v>
      </c>
      <c r="P8" s="6" t="s">
        <v>452</v>
      </c>
      <c r="Q8" s="6" t="s">
        <v>455</v>
      </c>
    </row>
    <row r="9" spans="1:18">
      <c r="A9" t="s">
        <v>484</v>
      </c>
      <c r="B9" s="6" t="s">
        <v>437</v>
      </c>
      <c r="C9" s="6" t="s">
        <v>141</v>
      </c>
      <c r="D9" s="6">
        <v>1</v>
      </c>
      <c r="E9" s="6">
        <v>3.0346820809248558</v>
      </c>
      <c r="F9" s="6">
        <v>3.0346820809248558</v>
      </c>
      <c r="G9" s="6">
        <v>3.0346820809248558</v>
      </c>
      <c r="H9" s="6">
        <v>3.0346820809248558</v>
      </c>
      <c r="I9" s="6">
        <v>3.0346820809248558</v>
      </c>
      <c r="J9" s="6">
        <v>3.0346820809248558</v>
      </c>
      <c r="K9" s="6">
        <v>3.0346820809248558</v>
      </c>
      <c r="L9" s="6">
        <v>3.0346820809248558</v>
      </c>
      <c r="P9" s="6" t="s">
        <v>452</v>
      </c>
      <c r="Q9" s="6" t="s">
        <v>453</v>
      </c>
      <c r="R9" s="6" t="s">
        <v>454</v>
      </c>
    </row>
    <row r="10" spans="1:18">
      <c r="A10" t="s">
        <v>484</v>
      </c>
      <c r="B10" s="6" t="s">
        <v>437</v>
      </c>
      <c r="C10" s="6" t="s">
        <v>141</v>
      </c>
      <c r="D10" s="6">
        <v>2</v>
      </c>
      <c r="E10" s="6">
        <v>3.75</v>
      </c>
      <c r="F10" s="6">
        <v>3.75</v>
      </c>
      <c r="G10" s="6">
        <v>3.75</v>
      </c>
      <c r="H10" s="6">
        <v>3.75</v>
      </c>
      <c r="I10" s="6">
        <v>3.75</v>
      </c>
      <c r="J10" s="6">
        <v>3.75</v>
      </c>
      <c r="K10" s="6">
        <v>3.75</v>
      </c>
      <c r="L10" s="6">
        <v>3.75</v>
      </c>
      <c r="P10" s="6" t="s">
        <v>452</v>
      </c>
      <c r="Q10" s="6" t="s">
        <v>455</v>
      </c>
      <c r="R10" s="6" t="s">
        <v>454</v>
      </c>
    </row>
    <row r="11" spans="1:18">
      <c r="A11" t="s">
        <v>484</v>
      </c>
      <c r="B11" s="6" t="s">
        <v>104</v>
      </c>
      <c r="C11" s="6" t="s">
        <v>151</v>
      </c>
      <c r="D11" s="6">
        <v>1</v>
      </c>
      <c r="E11" s="6">
        <v>2.6525198938992043</v>
      </c>
      <c r="F11" s="6">
        <v>2.6525198938992043</v>
      </c>
      <c r="G11" s="6">
        <v>2.6525198938992043</v>
      </c>
      <c r="H11" s="6">
        <v>2.6525198938992043</v>
      </c>
      <c r="I11" s="6">
        <v>2.6525198938992043</v>
      </c>
      <c r="J11" s="6">
        <v>2.6525198938992043</v>
      </c>
      <c r="K11" s="6">
        <v>2.6525198938992043</v>
      </c>
      <c r="L11" s="6">
        <v>2.6525198938992043</v>
      </c>
      <c r="P11" s="6" t="s">
        <v>452</v>
      </c>
      <c r="Q11" s="6" t="s">
        <v>453</v>
      </c>
    </row>
    <row r="12" spans="1:18">
      <c r="A12" t="s">
        <v>484</v>
      </c>
      <c r="B12" s="6" t="s">
        <v>104</v>
      </c>
      <c r="C12" s="6" t="s">
        <v>151</v>
      </c>
      <c r="D12" s="6">
        <v>2</v>
      </c>
      <c r="E12" s="6">
        <v>3.5335689045936398</v>
      </c>
      <c r="F12" s="6">
        <v>3.5335689045936398</v>
      </c>
      <c r="G12" s="6">
        <v>3.5335689045936398</v>
      </c>
      <c r="H12" s="6">
        <v>3.5335689045936398</v>
      </c>
      <c r="I12" s="6">
        <v>3.5335689045936398</v>
      </c>
      <c r="J12" s="6">
        <v>3.5335689045936398</v>
      </c>
      <c r="K12" s="6">
        <v>3.5335689045936398</v>
      </c>
      <c r="L12" s="6">
        <v>3.5335689045936398</v>
      </c>
      <c r="P12" s="6" t="s">
        <v>452</v>
      </c>
      <c r="Q12" s="6" t="s">
        <v>455</v>
      </c>
    </row>
    <row r="13" spans="1:18">
      <c r="A13" t="s">
        <v>484</v>
      </c>
      <c r="B13" s="6" t="s">
        <v>438</v>
      </c>
      <c r="C13" s="6" t="s">
        <v>151</v>
      </c>
      <c r="D13" s="6">
        <v>1</v>
      </c>
      <c r="E13" s="6">
        <v>2.7851458885941645</v>
      </c>
      <c r="F13" s="6">
        <v>2.7851458885941645</v>
      </c>
      <c r="G13" s="6">
        <v>2.7851458885941645</v>
      </c>
      <c r="H13" s="6">
        <v>2.7851458885941645</v>
      </c>
      <c r="I13" s="6">
        <v>2.7851458885941645</v>
      </c>
      <c r="J13" s="6">
        <v>2.7851458885941645</v>
      </c>
      <c r="K13" s="6">
        <v>2.7851458885941645</v>
      </c>
      <c r="L13" s="6">
        <v>2.7851458885941645</v>
      </c>
      <c r="P13" s="6" t="s">
        <v>452</v>
      </c>
      <c r="Q13" s="6" t="s">
        <v>453</v>
      </c>
      <c r="R13" s="6" t="s">
        <v>454</v>
      </c>
    </row>
    <row r="14" spans="1:18">
      <c r="A14" t="s">
        <v>484</v>
      </c>
      <c r="B14" s="6" t="s">
        <v>438</v>
      </c>
      <c r="C14" s="6" t="s">
        <v>151</v>
      </c>
      <c r="D14" s="6">
        <v>2</v>
      </c>
      <c r="E14" s="6">
        <v>3.7102473498233222</v>
      </c>
      <c r="F14" s="6">
        <v>3.7102473498233222</v>
      </c>
      <c r="G14" s="6">
        <v>3.7102473498233222</v>
      </c>
      <c r="H14" s="6">
        <v>3.7102473498233222</v>
      </c>
      <c r="I14" s="6">
        <v>3.7102473498233222</v>
      </c>
      <c r="J14" s="6">
        <v>3.7102473498233222</v>
      </c>
      <c r="K14" s="6">
        <v>3.7102473498233222</v>
      </c>
      <c r="L14" s="6">
        <v>3.7102473498233222</v>
      </c>
      <c r="P14" s="6" t="s">
        <v>452</v>
      </c>
      <c r="Q14" s="6" t="s">
        <v>455</v>
      </c>
      <c r="R14" s="6" t="s">
        <v>454</v>
      </c>
    </row>
    <row r="15" spans="1:18">
      <c r="A15" t="s">
        <v>484</v>
      </c>
      <c r="B15" s="6" t="s">
        <v>105</v>
      </c>
      <c r="C15" s="6" t="s">
        <v>152</v>
      </c>
      <c r="D15" s="6">
        <v>1</v>
      </c>
      <c r="E15" s="6">
        <v>2.8248587570621471</v>
      </c>
      <c r="F15" s="6">
        <v>2.8248587570621471</v>
      </c>
      <c r="G15" s="6">
        <v>2.8248587570621471</v>
      </c>
      <c r="H15" s="6">
        <v>2.8248587570621471</v>
      </c>
      <c r="I15" s="6">
        <v>2.8248587570621471</v>
      </c>
      <c r="J15" s="6">
        <v>2.8248587570621471</v>
      </c>
      <c r="K15" s="6">
        <v>2.8248587570621471</v>
      </c>
      <c r="L15" s="6">
        <v>2.8248587570621471</v>
      </c>
      <c r="P15" s="6" t="s">
        <v>452</v>
      </c>
      <c r="Q15" s="6" t="s">
        <v>453</v>
      </c>
    </row>
    <row r="16" spans="1:18">
      <c r="A16" t="s">
        <v>484</v>
      </c>
      <c r="B16" s="6" t="s">
        <v>105</v>
      </c>
      <c r="C16" s="6" t="s">
        <v>152</v>
      </c>
      <c r="D16" s="6">
        <v>2</v>
      </c>
      <c r="E16" s="6">
        <v>3.7593984962406015</v>
      </c>
      <c r="F16" s="6">
        <v>3.7593984962406015</v>
      </c>
      <c r="G16" s="6">
        <v>3.7593984962406015</v>
      </c>
      <c r="H16" s="6">
        <v>3.7593984962406015</v>
      </c>
      <c r="I16" s="6">
        <v>3.7593984962406015</v>
      </c>
      <c r="J16" s="6">
        <v>3.7593984962406015</v>
      </c>
      <c r="K16" s="6">
        <v>3.7593984962406015</v>
      </c>
      <c r="L16" s="6">
        <v>3.7593984962406015</v>
      </c>
      <c r="P16" s="6" t="s">
        <v>452</v>
      </c>
      <c r="Q16" s="6" t="s">
        <v>455</v>
      </c>
    </row>
    <row r="17" spans="1:18">
      <c r="A17" t="s">
        <v>484</v>
      </c>
      <c r="B17" s="6" t="s">
        <v>439</v>
      </c>
      <c r="C17" s="6" t="s">
        <v>152</v>
      </c>
      <c r="D17" s="6">
        <v>1</v>
      </c>
      <c r="E17" s="6">
        <v>2.9661016949152543</v>
      </c>
      <c r="F17" s="6">
        <v>2.9661016949152543</v>
      </c>
      <c r="G17" s="6">
        <v>2.9661016949152543</v>
      </c>
      <c r="H17" s="6">
        <v>2.9661016949152543</v>
      </c>
      <c r="I17" s="6">
        <v>2.9661016949152543</v>
      </c>
      <c r="J17" s="6">
        <v>2.9661016949152543</v>
      </c>
      <c r="K17" s="6">
        <v>2.9661016949152543</v>
      </c>
      <c r="L17" s="6">
        <v>2.9661016949152543</v>
      </c>
      <c r="P17" s="6" t="s">
        <v>452</v>
      </c>
      <c r="Q17" s="6" t="s">
        <v>453</v>
      </c>
      <c r="R17" s="6" t="s">
        <v>454</v>
      </c>
    </row>
    <row r="18" spans="1:18">
      <c r="A18" t="s">
        <v>484</v>
      </c>
      <c r="B18" s="6" t="s">
        <v>439</v>
      </c>
      <c r="C18" s="6" t="s">
        <v>152</v>
      </c>
      <c r="D18" s="6">
        <v>2</v>
      </c>
      <c r="E18" s="6">
        <v>3.9473684210526319</v>
      </c>
      <c r="F18" s="6">
        <v>3.9473684210526319</v>
      </c>
      <c r="G18" s="6">
        <v>3.9473684210526319</v>
      </c>
      <c r="H18" s="6">
        <v>3.9473684210526319</v>
      </c>
      <c r="I18" s="6">
        <v>3.9473684210526319</v>
      </c>
      <c r="J18" s="6">
        <v>3.9473684210526319</v>
      </c>
      <c r="K18" s="6">
        <v>3.9473684210526319</v>
      </c>
      <c r="L18" s="6">
        <v>3.9473684210526319</v>
      </c>
      <c r="P18" s="6" t="s">
        <v>452</v>
      </c>
      <c r="Q18" s="6" t="s">
        <v>455</v>
      </c>
      <c r="R18" s="6" t="s">
        <v>454</v>
      </c>
    </row>
    <row r="19" spans="1:18">
      <c r="A19" t="s">
        <v>484</v>
      </c>
      <c r="B19" t="s">
        <v>106</v>
      </c>
      <c r="C19" t="s">
        <v>198</v>
      </c>
      <c r="D19">
        <v>2</v>
      </c>
      <c r="E19" s="6">
        <v>1.7543859649122808</v>
      </c>
      <c r="F19" s="6">
        <v>1.6930243283754183</v>
      </c>
      <c r="G19" s="6">
        <v>1.6603174603174604</v>
      </c>
      <c r="H19" s="6">
        <v>1.6289059886249584</v>
      </c>
      <c r="I19" s="6">
        <v>1.6115369725125821</v>
      </c>
      <c r="J19" s="6">
        <v>1.5945578231292519</v>
      </c>
      <c r="K19" s="6">
        <v>1.5779591836734694</v>
      </c>
      <c r="L19" s="6">
        <v>1.5617319943850556</v>
      </c>
    </row>
    <row r="20" spans="1:18">
      <c r="A20" t="s">
        <v>484</v>
      </c>
      <c r="B20" t="s">
        <v>106</v>
      </c>
      <c r="C20" s="6" t="s">
        <v>199</v>
      </c>
      <c r="D20">
        <v>3</v>
      </c>
      <c r="E20" s="6">
        <v>1.7543859649122808</v>
      </c>
      <c r="F20" s="6">
        <v>1.6930243283754183</v>
      </c>
      <c r="G20" s="6">
        <v>1.6603174603174604</v>
      </c>
      <c r="H20" s="6">
        <v>1.6289059886249584</v>
      </c>
      <c r="I20" s="6">
        <v>1.6115369725125821</v>
      </c>
      <c r="J20" s="6">
        <v>1.5945578231292519</v>
      </c>
      <c r="K20" s="6">
        <v>1.5779591836734694</v>
      </c>
      <c r="L20" s="6">
        <v>1.5617319943850556</v>
      </c>
    </row>
    <row r="21" spans="1:18">
      <c r="A21" t="s">
        <v>484</v>
      </c>
      <c r="B21" s="6" t="s">
        <v>440</v>
      </c>
      <c r="C21" s="6" t="s">
        <v>198</v>
      </c>
      <c r="D21" s="6">
        <v>1</v>
      </c>
      <c r="E21" s="6">
        <v>1.8484288354898335</v>
      </c>
      <c r="F21" s="6">
        <v>1.8484288354898335</v>
      </c>
      <c r="G21" s="6">
        <v>1.8484288354898335</v>
      </c>
      <c r="H21" s="6">
        <v>1.8484288354898335</v>
      </c>
      <c r="I21" s="6">
        <v>1.8484288354898335</v>
      </c>
      <c r="J21" s="6">
        <v>1.8484288354898335</v>
      </c>
      <c r="K21" s="6">
        <v>1.8484288354898335</v>
      </c>
      <c r="L21" s="6">
        <v>1.8484288354898335</v>
      </c>
      <c r="P21" s="6" t="s">
        <v>452</v>
      </c>
      <c r="Q21" s="6" t="s">
        <v>453</v>
      </c>
    </row>
    <row r="22" spans="1:18">
      <c r="A22" t="s">
        <v>484</v>
      </c>
      <c r="B22" s="6" t="s">
        <v>440</v>
      </c>
      <c r="C22" s="6" t="s">
        <v>198</v>
      </c>
      <c r="D22" s="6">
        <v>2</v>
      </c>
      <c r="E22" s="6">
        <v>2.0080321285140563</v>
      </c>
      <c r="F22" s="6">
        <v>2.0080321285140563</v>
      </c>
      <c r="G22" s="6">
        <v>2.0080321285140563</v>
      </c>
      <c r="H22" s="6">
        <v>2.0080321285140563</v>
      </c>
      <c r="I22" s="6">
        <v>2.0080321285140563</v>
      </c>
      <c r="J22" s="6">
        <v>2.0080321285140563</v>
      </c>
      <c r="K22" s="6">
        <v>2.0080321285140563</v>
      </c>
      <c r="L22" s="6">
        <v>2.0080321285140563</v>
      </c>
      <c r="P22" s="6" t="s">
        <v>452</v>
      </c>
      <c r="Q22" s="6" t="s">
        <v>455</v>
      </c>
    </row>
    <row r="23" spans="1:18">
      <c r="A23" t="s">
        <v>484</v>
      </c>
      <c r="B23" s="6" t="s">
        <v>441</v>
      </c>
      <c r="C23" s="6" t="s">
        <v>198</v>
      </c>
      <c r="D23" s="6">
        <v>1</v>
      </c>
      <c r="E23" s="6">
        <v>1.9408502772643252</v>
      </c>
      <c r="F23" s="6">
        <v>1.9408502772643252</v>
      </c>
      <c r="G23" s="6">
        <v>1.9408502772643252</v>
      </c>
      <c r="H23" s="6">
        <v>1.9408502772643252</v>
      </c>
      <c r="I23" s="6">
        <v>1.9408502772643252</v>
      </c>
      <c r="J23" s="6">
        <v>1.9408502772643252</v>
      </c>
      <c r="K23" s="6">
        <v>1.9408502772643252</v>
      </c>
      <c r="L23" s="6">
        <v>1.9408502772643252</v>
      </c>
      <c r="P23" s="6" t="s">
        <v>452</v>
      </c>
      <c r="Q23" s="6" t="s">
        <v>453</v>
      </c>
      <c r="R23" s="6" t="s">
        <v>454</v>
      </c>
    </row>
    <row r="24" spans="1:18">
      <c r="A24" t="s">
        <v>484</v>
      </c>
      <c r="B24" s="6" t="s">
        <v>441</v>
      </c>
      <c r="C24" s="6" t="s">
        <v>198</v>
      </c>
      <c r="D24" s="6">
        <v>2</v>
      </c>
      <c r="E24" s="6">
        <v>2.1084337349397591</v>
      </c>
      <c r="F24" s="6">
        <v>2.1084337349397591</v>
      </c>
      <c r="G24" s="6">
        <v>2.1084337349397591</v>
      </c>
      <c r="H24" s="6">
        <v>2.1084337349397591</v>
      </c>
      <c r="I24" s="6">
        <v>2.1084337349397591</v>
      </c>
      <c r="J24" s="6">
        <v>2.1084337349397591</v>
      </c>
      <c r="K24" s="6">
        <v>2.1084337349397591</v>
      </c>
      <c r="L24" s="6">
        <v>2.1084337349397591</v>
      </c>
      <c r="P24" s="6" t="s">
        <v>452</v>
      </c>
      <c r="Q24" s="6" t="s">
        <v>455</v>
      </c>
      <c r="R24" s="6" t="s">
        <v>454</v>
      </c>
    </row>
    <row r="25" spans="1:18">
      <c r="A25" t="s">
        <v>484</v>
      </c>
      <c r="B25" s="6" t="s">
        <v>442</v>
      </c>
      <c r="C25" s="6" t="s">
        <v>197</v>
      </c>
      <c r="D25" s="6">
        <v>1</v>
      </c>
      <c r="E25" s="6">
        <v>1.8484288354898335</v>
      </c>
      <c r="F25" s="6">
        <v>1.8484288354898335</v>
      </c>
      <c r="G25" s="6">
        <v>1.8484288354898335</v>
      </c>
      <c r="H25" s="6">
        <v>1.8484288354898335</v>
      </c>
      <c r="I25" s="6">
        <v>1.8484288354898335</v>
      </c>
      <c r="J25" s="6">
        <v>1.8484288354898335</v>
      </c>
      <c r="K25" s="6">
        <v>1.8484288354898335</v>
      </c>
      <c r="L25" s="6">
        <v>1.8484288354898335</v>
      </c>
      <c r="P25" s="6" t="s">
        <v>452</v>
      </c>
      <c r="Q25" s="6" t="s">
        <v>453</v>
      </c>
    </row>
    <row r="26" spans="1:18">
      <c r="A26" t="s">
        <v>484</v>
      </c>
      <c r="B26" s="6" t="s">
        <v>442</v>
      </c>
      <c r="C26" s="6" t="s">
        <v>197</v>
      </c>
      <c r="D26" s="6">
        <v>2</v>
      </c>
      <c r="E26" s="6">
        <v>2.0080321285140563</v>
      </c>
      <c r="F26" s="6">
        <v>2.0080321285140563</v>
      </c>
      <c r="G26" s="6">
        <v>2.0080321285140563</v>
      </c>
      <c r="H26" s="6">
        <v>2.0080321285140563</v>
      </c>
      <c r="I26" s="6">
        <v>2.0080321285140563</v>
      </c>
      <c r="J26" s="6">
        <v>2.0080321285140563</v>
      </c>
      <c r="K26" s="6">
        <v>2.0080321285140563</v>
      </c>
      <c r="L26" s="6">
        <v>2.0080321285140563</v>
      </c>
      <c r="P26" s="6" t="s">
        <v>452</v>
      </c>
      <c r="Q26" s="6" t="s">
        <v>455</v>
      </c>
    </row>
    <row r="27" spans="1:18">
      <c r="A27" t="s">
        <v>484</v>
      </c>
      <c r="B27" s="6" t="s">
        <v>443</v>
      </c>
      <c r="C27" s="6" t="s">
        <v>197</v>
      </c>
      <c r="D27" s="6">
        <v>1</v>
      </c>
      <c r="E27" s="6">
        <v>1.9408502772643252</v>
      </c>
      <c r="F27" s="6">
        <v>1.9408502772643252</v>
      </c>
      <c r="G27" s="6">
        <v>1.9408502772643252</v>
      </c>
      <c r="H27" s="6">
        <v>1.9408502772643252</v>
      </c>
      <c r="I27" s="6">
        <v>1.9408502772643252</v>
      </c>
      <c r="J27" s="6">
        <v>1.9408502772643252</v>
      </c>
      <c r="K27" s="6">
        <v>1.9408502772643252</v>
      </c>
      <c r="L27" s="6">
        <v>1.9408502772643252</v>
      </c>
      <c r="P27" s="6" t="s">
        <v>452</v>
      </c>
      <c r="Q27" s="6" t="s">
        <v>453</v>
      </c>
      <c r="R27" s="6" t="s">
        <v>454</v>
      </c>
    </row>
    <row r="28" spans="1:18">
      <c r="A28" t="s">
        <v>484</v>
      </c>
      <c r="B28" s="6" t="s">
        <v>443</v>
      </c>
      <c r="C28" s="6" t="s">
        <v>197</v>
      </c>
      <c r="D28" s="6">
        <v>2</v>
      </c>
      <c r="E28" s="6">
        <v>2.1084337349397591</v>
      </c>
      <c r="F28" s="6">
        <v>2.1084337349397591</v>
      </c>
      <c r="G28" s="6">
        <v>2.1084337349397591</v>
      </c>
      <c r="H28" s="6">
        <v>2.1084337349397591</v>
      </c>
      <c r="I28" s="6">
        <v>2.1084337349397591</v>
      </c>
      <c r="J28" s="6">
        <v>2.1084337349397591</v>
      </c>
      <c r="K28" s="6">
        <v>2.1084337349397591</v>
      </c>
      <c r="L28" s="6">
        <v>2.1084337349397591</v>
      </c>
      <c r="P28" s="6" t="s">
        <v>452</v>
      </c>
      <c r="Q28" s="6" t="s">
        <v>455</v>
      </c>
      <c r="R28" s="6" t="s">
        <v>454</v>
      </c>
    </row>
    <row r="29" spans="1:18">
      <c r="A29" t="s">
        <v>484</v>
      </c>
      <c r="B29" s="6" t="s">
        <v>444</v>
      </c>
      <c r="C29" s="6" t="s">
        <v>199</v>
      </c>
      <c r="D29" s="6">
        <v>1</v>
      </c>
      <c r="E29" s="6">
        <v>1.8484288354898335</v>
      </c>
      <c r="F29" s="6">
        <v>1.8484288354898335</v>
      </c>
      <c r="G29" s="6">
        <v>1.8484288354898335</v>
      </c>
      <c r="H29" s="6">
        <v>1.8484288354898335</v>
      </c>
      <c r="I29" s="6">
        <v>1.8484288354898335</v>
      </c>
      <c r="J29" s="6">
        <v>1.8484288354898335</v>
      </c>
      <c r="K29" s="6">
        <v>1.8484288354898335</v>
      </c>
      <c r="L29" s="6">
        <v>1.8484288354898335</v>
      </c>
      <c r="P29" s="6" t="s">
        <v>452</v>
      </c>
      <c r="Q29" s="6" t="s">
        <v>453</v>
      </c>
    </row>
    <row r="30" spans="1:18">
      <c r="A30" t="s">
        <v>484</v>
      </c>
      <c r="B30" s="6" t="s">
        <v>444</v>
      </c>
      <c r="C30" s="6" t="s">
        <v>199</v>
      </c>
      <c r="D30" s="6">
        <v>2</v>
      </c>
      <c r="E30" s="6">
        <v>2.0080321285140563</v>
      </c>
      <c r="F30" s="6">
        <v>2.0080321285140563</v>
      </c>
      <c r="G30" s="6">
        <v>2.0080321285140563</v>
      </c>
      <c r="H30" s="6">
        <v>2.0080321285140563</v>
      </c>
      <c r="I30" s="6">
        <v>2.0080321285140563</v>
      </c>
      <c r="J30" s="6">
        <v>2.0080321285140563</v>
      </c>
      <c r="K30" s="6">
        <v>2.0080321285140563</v>
      </c>
      <c r="L30" s="6">
        <v>2.0080321285140563</v>
      </c>
      <c r="P30" s="6" t="s">
        <v>452</v>
      </c>
      <c r="Q30" s="6" t="s">
        <v>455</v>
      </c>
    </row>
    <row r="31" spans="1:18">
      <c r="A31" t="s">
        <v>484</v>
      </c>
      <c r="B31" s="6" t="s">
        <v>445</v>
      </c>
      <c r="C31" s="6" t="s">
        <v>140</v>
      </c>
      <c r="D31" s="6">
        <v>2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P31" s="6" t="s">
        <v>456</v>
      </c>
      <c r="Q31" s="6" t="s">
        <v>455</v>
      </c>
    </row>
    <row r="32" spans="1:18">
      <c r="A32" t="s">
        <v>484</v>
      </c>
      <c r="B32" s="6" t="s">
        <v>446</v>
      </c>
      <c r="C32" s="6" t="s">
        <v>138</v>
      </c>
      <c r="D32" s="6">
        <v>1</v>
      </c>
      <c r="E32" s="6">
        <v>2.8248587570621471</v>
      </c>
      <c r="F32" s="6">
        <v>2.8248587570621471</v>
      </c>
      <c r="G32" s="6">
        <v>2.8248587570621471</v>
      </c>
      <c r="H32" s="6">
        <v>2.8248587570621471</v>
      </c>
      <c r="I32" s="6">
        <v>2.8248587570621471</v>
      </c>
      <c r="J32" s="6">
        <v>2.8248587570621471</v>
      </c>
      <c r="K32" s="6">
        <v>2.8248587570621471</v>
      </c>
      <c r="L32" s="6">
        <v>2.8248587570621471</v>
      </c>
      <c r="P32" s="6" t="s">
        <v>457</v>
      </c>
    </row>
    <row r="33" spans="1:16">
      <c r="A33" t="s">
        <v>484</v>
      </c>
      <c r="B33" s="6" t="s">
        <v>446</v>
      </c>
      <c r="C33" s="6" t="s">
        <v>138</v>
      </c>
      <c r="D33" s="6">
        <v>2</v>
      </c>
      <c r="E33" s="6">
        <v>3.7593984962406015</v>
      </c>
      <c r="F33" s="6">
        <v>3.7593984962406015</v>
      </c>
      <c r="G33" s="6">
        <v>3.7593984962406015</v>
      </c>
      <c r="H33" s="6">
        <v>3.7593984962406015</v>
      </c>
      <c r="I33" s="6">
        <v>3.7593984962406015</v>
      </c>
      <c r="J33" s="6">
        <v>3.7593984962406015</v>
      </c>
      <c r="K33" s="6">
        <v>3.7593984962406015</v>
      </c>
      <c r="L33" s="6">
        <v>3.7593984962406015</v>
      </c>
      <c r="P33" s="6" t="s">
        <v>457</v>
      </c>
    </row>
    <row r="34" spans="1:16">
      <c r="A34" t="s">
        <v>484</v>
      </c>
      <c r="B34" s="6" t="s">
        <v>135</v>
      </c>
      <c r="C34" s="6" t="s">
        <v>24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</row>
    <row r="35" spans="1:16">
      <c r="A35" t="s">
        <v>484</v>
      </c>
      <c r="B35" s="6" t="s">
        <v>136</v>
      </c>
      <c r="C35" s="6" t="s">
        <v>24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</row>
    <row r="36" spans="1:16">
      <c r="A36" t="s">
        <v>484</v>
      </c>
      <c r="B36" s="6" t="s">
        <v>191</v>
      </c>
      <c r="C36" s="6" t="s">
        <v>24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</row>
    <row r="37" spans="1:16">
      <c r="A37" t="s">
        <v>484</v>
      </c>
      <c r="B37" s="6" t="s">
        <v>147</v>
      </c>
      <c r="C37" s="6" t="s">
        <v>140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</row>
    <row r="38" spans="1:16">
      <c r="A38" t="s">
        <v>484</v>
      </c>
      <c r="B38" s="6" t="s">
        <v>148</v>
      </c>
      <c r="C38" t="s">
        <v>197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</row>
    <row r="39" spans="1:16">
      <c r="A39" t="s">
        <v>484</v>
      </c>
      <c r="B39" t="s">
        <v>245</v>
      </c>
      <c r="C39" t="s">
        <v>207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</row>
    <row r="40" spans="1:16">
      <c r="A40" t="s">
        <v>484</v>
      </c>
      <c r="B40" t="s">
        <v>247</v>
      </c>
      <c r="C40" t="s">
        <v>271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</row>
    <row r="41" spans="1:16">
      <c r="A41" t="s">
        <v>484</v>
      </c>
      <c r="B41" t="s">
        <v>134</v>
      </c>
      <c r="C41" s="6" t="s">
        <v>24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</row>
    <row r="42" spans="1:16">
      <c r="A42" t="s">
        <v>484</v>
      </c>
      <c r="B42" s="6" t="s">
        <v>137</v>
      </c>
      <c r="C42" s="6" t="s">
        <v>24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</row>
    <row r="43" spans="1:16">
      <c r="A43" t="s">
        <v>484</v>
      </c>
      <c r="B43" s="13" t="s">
        <v>130</v>
      </c>
      <c r="C43" s="6" t="s">
        <v>138</v>
      </c>
      <c r="D43" s="6">
        <v>1</v>
      </c>
      <c r="E43" s="6">
        <v>0.31</v>
      </c>
      <c r="F43" s="6">
        <v>0.3085</v>
      </c>
      <c r="G43" s="6">
        <v>0.30690000000000001</v>
      </c>
      <c r="H43" s="6">
        <v>0.3054</v>
      </c>
      <c r="I43" s="6">
        <v>0.3039</v>
      </c>
      <c r="J43" s="6">
        <v>0.30230000000000001</v>
      </c>
      <c r="K43" s="6">
        <v>0.30080000000000001</v>
      </c>
      <c r="L43" s="6">
        <v>0.29930000000000001</v>
      </c>
    </row>
    <row r="44" spans="1:16">
      <c r="A44" t="s">
        <v>484</v>
      </c>
      <c r="B44" s="13" t="s">
        <v>130</v>
      </c>
      <c r="C44" s="6" t="s">
        <v>270</v>
      </c>
      <c r="D44" s="6">
        <v>2</v>
      </c>
      <c r="E44" s="6">
        <v>0.31</v>
      </c>
      <c r="F44" s="6">
        <v>0.3085</v>
      </c>
      <c r="G44" s="6">
        <v>0.30690000000000001</v>
      </c>
      <c r="H44" s="6">
        <v>0.3054</v>
      </c>
      <c r="I44" s="6">
        <v>0.3039</v>
      </c>
      <c r="J44" s="6">
        <v>0.30230000000000001</v>
      </c>
      <c r="K44" s="6">
        <v>0.30080000000000001</v>
      </c>
      <c r="L44" s="6">
        <v>0.29930000000000001</v>
      </c>
    </row>
    <row r="45" spans="1:16">
      <c r="A45" t="s">
        <v>484</v>
      </c>
      <c r="B45" s="13" t="s">
        <v>130</v>
      </c>
      <c r="C45" s="6" t="s">
        <v>299</v>
      </c>
      <c r="D45" s="6">
        <v>3</v>
      </c>
      <c r="E45" s="6">
        <v>0.31</v>
      </c>
      <c r="F45" s="6">
        <v>0.3085</v>
      </c>
      <c r="G45" s="6">
        <v>0.30690000000000001</v>
      </c>
      <c r="H45" s="6">
        <v>0.3054</v>
      </c>
      <c r="I45" s="6">
        <v>0.3039</v>
      </c>
      <c r="J45" s="6">
        <v>0.30230000000000001</v>
      </c>
      <c r="K45" s="6">
        <v>0.30080000000000001</v>
      </c>
      <c r="L45" s="6">
        <v>0.29930000000000001</v>
      </c>
    </row>
    <row r="46" spans="1:16">
      <c r="A46" t="s">
        <v>484</v>
      </c>
      <c r="B46" s="13" t="s">
        <v>131</v>
      </c>
      <c r="C46" s="6" t="s">
        <v>24</v>
      </c>
      <c r="D46" s="6">
        <v>1</v>
      </c>
      <c r="E46" s="6">
        <v>0.18</v>
      </c>
      <c r="F46" s="6">
        <v>0.17910000000000001</v>
      </c>
      <c r="G46" s="6">
        <v>0.1782</v>
      </c>
      <c r="H46" s="6">
        <v>0.17730000000000001</v>
      </c>
      <c r="I46" s="6">
        <v>0.1764</v>
      </c>
      <c r="J46" s="6">
        <v>0.17560000000000001</v>
      </c>
      <c r="K46" s="6">
        <v>0.17469999999999999</v>
      </c>
      <c r="L46" s="6">
        <v>0.17380000000000001</v>
      </c>
    </row>
    <row r="47" spans="1:16">
      <c r="A47" t="s">
        <v>484</v>
      </c>
      <c r="B47" s="13" t="s">
        <v>125</v>
      </c>
      <c r="C47" s="6" t="s">
        <v>24</v>
      </c>
      <c r="D47" s="6">
        <v>1</v>
      </c>
      <c r="E47" s="5">
        <v>1.6</v>
      </c>
      <c r="F47" s="5">
        <v>1.5880000000000001</v>
      </c>
      <c r="G47" s="5">
        <v>1.5762</v>
      </c>
      <c r="H47" s="5">
        <v>1.5644</v>
      </c>
      <c r="I47" s="5">
        <v>1.5527</v>
      </c>
      <c r="J47" s="5">
        <v>1.5410999999999999</v>
      </c>
      <c r="K47" s="5">
        <v>1.5295000000000001</v>
      </c>
      <c r="L47" s="5">
        <v>1.5181</v>
      </c>
    </row>
    <row r="48" spans="1:16">
      <c r="A48" t="s">
        <v>484</v>
      </c>
      <c r="B48" s="13" t="s">
        <v>57</v>
      </c>
      <c r="C48" t="s">
        <v>140</v>
      </c>
      <c r="D48" s="6">
        <v>1</v>
      </c>
      <c r="E48" s="6">
        <v>2</v>
      </c>
      <c r="F48" s="6">
        <v>1.9702</v>
      </c>
      <c r="G48" s="6">
        <v>1.9408000000000001</v>
      </c>
      <c r="H48" s="6">
        <v>1.9118999999999999</v>
      </c>
      <c r="I48" s="6">
        <v>1.8834</v>
      </c>
      <c r="J48" s="6">
        <v>1.8552999999999999</v>
      </c>
      <c r="K48" s="6">
        <v>1.8275999999999999</v>
      </c>
      <c r="L48" s="6">
        <v>1.8004</v>
      </c>
    </row>
    <row r="49" spans="1:12">
      <c r="A49" t="s">
        <v>484</v>
      </c>
      <c r="B49" s="13" t="s">
        <v>126</v>
      </c>
      <c r="C49" s="6" t="s">
        <v>138</v>
      </c>
      <c r="D49" s="6">
        <v>1</v>
      </c>
      <c r="E49" s="6">
        <v>3.5</v>
      </c>
      <c r="F49" s="6">
        <v>3.4738000000000002</v>
      </c>
      <c r="G49" s="6">
        <v>3.4479000000000002</v>
      </c>
      <c r="H49" s="6">
        <v>3.4220999999999999</v>
      </c>
      <c r="I49" s="6">
        <v>3.3965000000000001</v>
      </c>
      <c r="J49" s="6">
        <v>3.3711000000000002</v>
      </c>
      <c r="K49" s="6">
        <v>3.3458999999999999</v>
      </c>
      <c r="L49" s="6">
        <v>3.3209</v>
      </c>
    </row>
    <row r="50" spans="1:12">
      <c r="A50" t="s">
        <v>484</v>
      </c>
      <c r="B50" s="13" t="s">
        <v>126</v>
      </c>
      <c r="C50" s="6" t="s">
        <v>270</v>
      </c>
      <c r="D50" s="6">
        <v>2</v>
      </c>
      <c r="E50" s="6">
        <v>3.5</v>
      </c>
      <c r="F50" s="6">
        <v>3.4738000000000002</v>
      </c>
      <c r="G50" s="6">
        <v>3.4479000000000002</v>
      </c>
      <c r="H50" s="6">
        <v>3.4220999999999999</v>
      </c>
      <c r="I50" s="6">
        <v>3.3965000000000001</v>
      </c>
      <c r="J50" s="6">
        <v>3.3711000000000002</v>
      </c>
      <c r="K50" s="6">
        <v>3.3458999999999999</v>
      </c>
      <c r="L50" s="6">
        <v>3.3209</v>
      </c>
    </row>
    <row r="51" spans="1:12">
      <c r="A51" t="s">
        <v>484</v>
      </c>
      <c r="B51" s="13" t="s">
        <v>126</v>
      </c>
      <c r="C51" s="6" t="s">
        <v>299</v>
      </c>
      <c r="D51" s="6">
        <v>3</v>
      </c>
      <c r="E51" s="6">
        <v>3.5</v>
      </c>
      <c r="F51" s="6">
        <v>3.4738000000000002</v>
      </c>
      <c r="G51" s="6">
        <v>3.4479000000000002</v>
      </c>
      <c r="H51" s="6">
        <v>3.4220999999999999</v>
      </c>
      <c r="I51" s="6">
        <v>3.3965000000000001</v>
      </c>
      <c r="J51" s="6">
        <v>3.3711000000000002</v>
      </c>
      <c r="K51" s="6">
        <v>3.3458999999999999</v>
      </c>
      <c r="L51" s="6">
        <v>3.3209</v>
      </c>
    </row>
    <row r="52" spans="1:12">
      <c r="A52" s="6" t="s">
        <v>484</v>
      </c>
      <c r="B52" s="2" t="s">
        <v>316</v>
      </c>
      <c r="C52" t="s">
        <v>312</v>
      </c>
      <c r="D52">
        <v>1</v>
      </c>
      <c r="E52" s="6">
        <v>3.6</v>
      </c>
      <c r="F52" s="6">
        <v>3.5819999999999999</v>
      </c>
      <c r="G52" s="6">
        <v>3.5642</v>
      </c>
      <c r="H52" s="6">
        <v>3.5464000000000002</v>
      </c>
      <c r="I52" s="6">
        <v>3.5287000000000002</v>
      </c>
      <c r="J52" s="6">
        <v>3.5110999999999999</v>
      </c>
      <c r="K52" s="6">
        <v>3.4935999999999998</v>
      </c>
      <c r="L52" s="6">
        <v>3.4761000000000002</v>
      </c>
    </row>
    <row r="53" spans="1:12">
      <c r="A53" t="s">
        <v>484</v>
      </c>
      <c r="B53" s="13" t="s">
        <v>176</v>
      </c>
      <c r="C53" s="6" t="s">
        <v>24</v>
      </c>
      <c r="D53" s="6">
        <v>1</v>
      </c>
      <c r="E53" s="6">
        <v>0.9</v>
      </c>
      <c r="F53" s="6">
        <v>0.89329999999999998</v>
      </c>
      <c r="G53" s="6">
        <v>0.88660000000000005</v>
      </c>
      <c r="H53" s="6">
        <v>0.88</v>
      </c>
      <c r="I53" s="6">
        <v>0.87339999999999995</v>
      </c>
      <c r="J53" s="6">
        <v>0.8669</v>
      </c>
      <c r="K53" s="6">
        <v>0.86040000000000005</v>
      </c>
      <c r="L53" s="6">
        <v>0.85389999999999999</v>
      </c>
    </row>
    <row r="54" spans="1:12">
      <c r="A54" t="s">
        <v>484</v>
      </c>
      <c r="B54" s="13" t="s">
        <v>127</v>
      </c>
      <c r="C54" t="s">
        <v>24</v>
      </c>
      <c r="D54" s="6">
        <v>1</v>
      </c>
      <c r="E54" s="6">
        <v>0.32000000000000006</v>
      </c>
      <c r="F54" s="6">
        <v>0.31760000000000005</v>
      </c>
      <c r="G54" s="6">
        <v>0.31524000000000002</v>
      </c>
      <c r="H54" s="6">
        <v>0.31288000000000005</v>
      </c>
      <c r="I54" s="6">
        <v>0.31054000000000004</v>
      </c>
      <c r="J54" s="6">
        <v>0.30821999999999999</v>
      </c>
      <c r="K54" s="6">
        <v>0.30590000000000006</v>
      </c>
      <c r="L54" s="6">
        <v>0.30362</v>
      </c>
    </row>
    <row r="55" spans="1:12">
      <c r="A55" t="s">
        <v>484</v>
      </c>
      <c r="B55" s="13" t="s">
        <v>127</v>
      </c>
      <c r="C55" t="s">
        <v>138</v>
      </c>
      <c r="D55" s="6">
        <v>1</v>
      </c>
      <c r="E55" s="6">
        <v>2.4499999999999997</v>
      </c>
      <c r="F55" s="6">
        <v>2.4316599999999999</v>
      </c>
      <c r="G55" s="6">
        <v>2.4135300000000002</v>
      </c>
      <c r="H55" s="6">
        <v>2.39547</v>
      </c>
      <c r="I55" s="6">
        <v>2.3775499999999998</v>
      </c>
      <c r="J55" s="6">
        <v>2.3597700000000001</v>
      </c>
      <c r="K55" s="6">
        <v>2.3421299999999996</v>
      </c>
      <c r="L55" s="6">
        <v>2.32463</v>
      </c>
    </row>
    <row r="56" spans="1:12">
      <c r="A56" t="s">
        <v>484</v>
      </c>
      <c r="B56" s="13" t="s">
        <v>127</v>
      </c>
      <c r="C56" s="6" t="s">
        <v>24</v>
      </c>
      <c r="D56" s="6">
        <v>2</v>
      </c>
      <c r="E56" s="6">
        <v>0.32000000000000006</v>
      </c>
      <c r="F56" s="6">
        <v>0.31760000000000005</v>
      </c>
      <c r="G56" s="6">
        <v>0.31524000000000002</v>
      </c>
      <c r="H56" s="6">
        <v>0.31288000000000005</v>
      </c>
      <c r="I56" s="6">
        <v>0.31054000000000004</v>
      </c>
      <c r="J56" s="6">
        <v>0.30821999999999999</v>
      </c>
      <c r="K56" s="6">
        <v>0.30590000000000006</v>
      </c>
      <c r="L56" s="6">
        <v>0.30362</v>
      </c>
    </row>
    <row r="57" spans="1:12">
      <c r="A57" t="s">
        <v>484</v>
      </c>
      <c r="B57" s="6" t="s">
        <v>127</v>
      </c>
      <c r="C57" s="6" t="s">
        <v>270</v>
      </c>
      <c r="D57" s="6">
        <v>2</v>
      </c>
      <c r="E57" s="6">
        <v>2.4499999999999997</v>
      </c>
      <c r="F57" s="6">
        <v>2.4316599999999999</v>
      </c>
      <c r="G57" s="6">
        <v>2.4135300000000002</v>
      </c>
      <c r="H57" s="6">
        <v>2.39547</v>
      </c>
      <c r="I57" s="6">
        <v>2.3775499999999998</v>
      </c>
      <c r="J57" s="6">
        <v>2.3597700000000001</v>
      </c>
      <c r="K57" s="6">
        <v>2.3421299999999996</v>
      </c>
      <c r="L57" s="6">
        <v>2.32463</v>
      </c>
    </row>
    <row r="58" spans="1:12">
      <c r="A58" t="s">
        <v>484</v>
      </c>
      <c r="B58" s="6" t="s">
        <v>127</v>
      </c>
      <c r="C58" s="6" t="s">
        <v>24</v>
      </c>
      <c r="D58" s="6">
        <v>3</v>
      </c>
      <c r="E58" s="6">
        <v>0.32000000000000006</v>
      </c>
      <c r="F58" s="6">
        <v>0.31760000000000005</v>
      </c>
      <c r="G58" s="6">
        <v>0.31524000000000002</v>
      </c>
      <c r="H58" s="6">
        <v>0.31288000000000005</v>
      </c>
      <c r="I58" s="6">
        <v>0.31054000000000004</v>
      </c>
      <c r="J58" s="6">
        <v>0.30821999999999999</v>
      </c>
      <c r="K58" s="6">
        <v>0.30590000000000006</v>
      </c>
      <c r="L58" s="6">
        <v>0.30362</v>
      </c>
    </row>
    <row r="59" spans="1:12">
      <c r="A59" t="s">
        <v>484</v>
      </c>
      <c r="B59" s="6" t="s">
        <v>127</v>
      </c>
      <c r="C59" s="6" t="s">
        <v>299</v>
      </c>
      <c r="D59" s="6">
        <v>3</v>
      </c>
      <c r="E59" s="6">
        <v>2.4499999999999997</v>
      </c>
      <c r="F59" s="6">
        <v>2.4316599999999999</v>
      </c>
      <c r="G59" s="6">
        <v>2.4135300000000002</v>
      </c>
      <c r="H59" s="6">
        <v>2.39547</v>
      </c>
      <c r="I59" s="6">
        <v>2.3775499999999998</v>
      </c>
      <c r="J59" s="6">
        <v>2.3597700000000001</v>
      </c>
      <c r="K59" s="6">
        <v>2.3421299999999996</v>
      </c>
      <c r="L59" s="6">
        <v>2.32463</v>
      </c>
    </row>
    <row r="60" spans="1:12">
      <c r="A60" t="s">
        <v>484</v>
      </c>
      <c r="B60" s="6" t="s">
        <v>495</v>
      </c>
      <c r="C60" s="6" t="s">
        <v>270</v>
      </c>
      <c r="D60" s="6">
        <v>1</v>
      </c>
      <c r="E60" s="6">
        <v>0.51</v>
      </c>
      <c r="F60" s="6">
        <v>0.50749999999999995</v>
      </c>
      <c r="G60" s="6">
        <v>0.50490000000000002</v>
      </c>
      <c r="H60" s="6">
        <v>0.50239999999999996</v>
      </c>
      <c r="I60" s="6">
        <v>0.49990000000000001</v>
      </c>
      <c r="J60" s="6">
        <v>0.49740000000000001</v>
      </c>
      <c r="K60" s="6">
        <v>0.49490000000000001</v>
      </c>
      <c r="L60" s="6">
        <v>0.49249999999999999</v>
      </c>
    </row>
    <row r="61" spans="1:12">
      <c r="A61" t="s">
        <v>484</v>
      </c>
      <c r="B61" s="6" t="s">
        <v>496</v>
      </c>
      <c r="C61" t="s">
        <v>138</v>
      </c>
      <c r="D61" s="6">
        <v>1</v>
      </c>
      <c r="E61" s="6">
        <v>0.51</v>
      </c>
      <c r="F61" s="6">
        <v>0.50749999999999995</v>
      </c>
      <c r="G61" s="6">
        <v>0.50490000000000002</v>
      </c>
      <c r="H61" s="6">
        <v>0.50239999999999996</v>
      </c>
      <c r="I61" s="6">
        <v>0.49990000000000001</v>
      </c>
      <c r="J61" s="6">
        <v>0.49740000000000001</v>
      </c>
      <c r="K61" s="6">
        <v>0.49490000000000001</v>
      </c>
      <c r="L61" s="6">
        <v>0.49249999999999999</v>
      </c>
    </row>
    <row r="62" spans="1:12">
      <c r="A62" t="s">
        <v>484</v>
      </c>
      <c r="B62" s="6" t="s">
        <v>496</v>
      </c>
      <c r="C62" s="6" t="s">
        <v>299</v>
      </c>
      <c r="D62" s="6">
        <v>2</v>
      </c>
      <c r="E62" s="6">
        <v>0.51</v>
      </c>
      <c r="F62" s="6">
        <v>0.50749999999999995</v>
      </c>
      <c r="G62" s="6">
        <v>0.50490000000000002</v>
      </c>
      <c r="H62" s="6">
        <v>0.50239999999999996</v>
      </c>
      <c r="I62" s="6">
        <v>0.49990000000000001</v>
      </c>
      <c r="J62" s="6">
        <v>0.49740000000000001</v>
      </c>
      <c r="K62" s="6">
        <v>0.49490000000000001</v>
      </c>
      <c r="L62" s="6">
        <v>0.49249999999999999</v>
      </c>
    </row>
    <row r="63" spans="1:12">
      <c r="A63" s="6" t="s">
        <v>484</v>
      </c>
      <c r="B63" s="2" t="s">
        <v>497</v>
      </c>
      <c r="C63" t="s">
        <v>312</v>
      </c>
      <c r="D63">
        <v>1</v>
      </c>
      <c r="E63" s="6">
        <v>0.62</v>
      </c>
      <c r="F63" s="6">
        <v>0.6169</v>
      </c>
      <c r="G63" s="6">
        <v>0.61380000000000001</v>
      </c>
      <c r="H63" s="6">
        <v>0.61080000000000001</v>
      </c>
      <c r="I63" s="6">
        <v>0.60770000000000002</v>
      </c>
      <c r="J63" s="6">
        <v>0.60470000000000002</v>
      </c>
      <c r="K63" s="6">
        <v>0.60170000000000001</v>
      </c>
      <c r="L63" s="6">
        <v>0.59870000000000001</v>
      </c>
    </row>
    <row r="64" spans="1:12">
      <c r="A64" t="s">
        <v>484</v>
      </c>
      <c r="B64" t="s">
        <v>238</v>
      </c>
      <c r="C64" t="s">
        <v>151</v>
      </c>
      <c r="D64">
        <v>1</v>
      </c>
      <c r="E64" s="6">
        <v>2.2624434389140271</v>
      </c>
      <c r="F64" s="6">
        <v>2.2297057884092695</v>
      </c>
      <c r="G64" s="6">
        <v>2.1922150678453196</v>
      </c>
      <c r="H64" s="6">
        <v>2.1551241075850918</v>
      </c>
      <c r="I64" s="6">
        <v>2.1184329076285859</v>
      </c>
      <c r="J64" s="6">
        <v>2.0821414679758017</v>
      </c>
      <c r="K64" s="6">
        <v>2.0462497886267395</v>
      </c>
      <c r="L64" s="6">
        <v>2.0107578695813988</v>
      </c>
    </row>
    <row r="65" spans="1:12">
      <c r="A65" t="s">
        <v>484</v>
      </c>
      <c r="B65" t="s">
        <v>238</v>
      </c>
      <c r="C65" t="s">
        <v>151</v>
      </c>
      <c r="D65">
        <v>2</v>
      </c>
      <c r="E65" s="6">
        <v>1.6017298682577186</v>
      </c>
      <c r="F65" s="6">
        <v>1.5793474247000794</v>
      </c>
      <c r="G65" s="6">
        <v>1.5547919570080651</v>
      </c>
      <c r="H65" s="6">
        <v>1.5305195054602785</v>
      </c>
      <c r="I65" s="6">
        <v>1.5065300700567197</v>
      </c>
      <c r="J65" s="6">
        <v>1.4828236507973891</v>
      </c>
      <c r="K65" s="6">
        <v>1.4594002476822865</v>
      </c>
      <c r="L65" s="6">
        <v>1.4362598607114114</v>
      </c>
    </row>
    <row r="66" spans="1:12">
      <c r="A66" t="s">
        <v>484</v>
      </c>
      <c r="B66" t="s">
        <v>238</v>
      </c>
      <c r="C66" t="s">
        <v>197</v>
      </c>
      <c r="D66">
        <v>2</v>
      </c>
      <c r="E66" s="6">
        <v>0.40043246706442964</v>
      </c>
      <c r="F66" s="6">
        <v>0.39415658406617626</v>
      </c>
      <c r="G66" s="6">
        <v>0.38631703687106389</v>
      </c>
      <c r="H66" s="6">
        <v>0.3785482437120084</v>
      </c>
      <c r="I66" s="6">
        <v>0.37085020458900991</v>
      </c>
      <c r="J66" s="6">
        <v>0.36322291950206836</v>
      </c>
      <c r="K66" s="6">
        <v>0.35566638845118387</v>
      </c>
      <c r="L66" s="6">
        <v>0.34818061143635626</v>
      </c>
    </row>
    <row r="67" spans="1:12">
      <c r="A67" t="s">
        <v>484</v>
      </c>
      <c r="B67" t="s">
        <v>238</v>
      </c>
      <c r="C67" s="6" t="s">
        <v>151</v>
      </c>
      <c r="D67">
        <v>3</v>
      </c>
      <c r="E67" s="6">
        <v>1.6017298682577186</v>
      </c>
      <c r="F67" s="6">
        <v>1.5793474247000794</v>
      </c>
      <c r="G67" s="6">
        <v>1.5547919570080651</v>
      </c>
      <c r="H67" s="6">
        <v>1.5305195054602785</v>
      </c>
      <c r="I67" s="6">
        <v>1.5065300700567197</v>
      </c>
      <c r="J67" s="6">
        <v>1.4828236507973891</v>
      </c>
      <c r="K67" s="6">
        <v>1.4594002476822865</v>
      </c>
      <c r="L67" s="6">
        <v>1.4362598607114114</v>
      </c>
    </row>
    <row r="68" spans="1:12">
      <c r="A68" t="s">
        <v>484</v>
      </c>
      <c r="B68" t="s">
        <v>238</v>
      </c>
      <c r="C68" t="s">
        <v>199</v>
      </c>
      <c r="D68">
        <v>3</v>
      </c>
      <c r="E68" s="6">
        <v>0.40043246706442964</v>
      </c>
      <c r="F68" s="6">
        <v>0.39415658406617626</v>
      </c>
      <c r="G68" s="6">
        <v>0.38631703687106389</v>
      </c>
      <c r="H68" s="6">
        <v>0.3785482437120084</v>
      </c>
      <c r="I68" s="6">
        <v>0.37085020458900991</v>
      </c>
      <c r="J68" s="6">
        <v>0.36322291950206836</v>
      </c>
      <c r="K68" s="6">
        <v>0.35566638845118387</v>
      </c>
      <c r="L68" s="6">
        <v>0.34818061143635626</v>
      </c>
    </row>
    <row r="69" spans="1:12">
      <c r="A69" t="s">
        <v>484</v>
      </c>
      <c r="B69" t="s">
        <v>238</v>
      </c>
      <c r="C69" s="6" t="s">
        <v>151</v>
      </c>
      <c r="D69">
        <v>4</v>
      </c>
      <c r="E69" s="6">
        <v>1.6017298682577186</v>
      </c>
      <c r="F69" s="6">
        <v>1.5793474247000794</v>
      </c>
      <c r="G69" s="6">
        <v>1.5547919570080651</v>
      </c>
      <c r="H69" s="6">
        <v>1.5305195054602785</v>
      </c>
      <c r="I69" s="6">
        <v>1.5065300700567197</v>
      </c>
      <c r="J69" s="6">
        <v>1.4828236507973891</v>
      </c>
      <c r="K69" s="6">
        <v>1.4594002476822865</v>
      </c>
      <c r="L69" s="6">
        <v>1.4362598607114114</v>
      </c>
    </row>
    <row r="70" spans="1:12">
      <c r="A70" t="s">
        <v>484</v>
      </c>
      <c r="B70" t="s">
        <v>238</v>
      </c>
      <c r="C70" t="s">
        <v>198</v>
      </c>
      <c r="D70">
        <v>4</v>
      </c>
      <c r="E70" s="6">
        <v>0.40043246706442964</v>
      </c>
      <c r="F70" s="6">
        <v>0.39415658406617626</v>
      </c>
      <c r="G70" s="6">
        <v>0.38631703687106389</v>
      </c>
      <c r="H70" s="6">
        <v>0.3785482437120084</v>
      </c>
      <c r="I70" s="6">
        <v>0.37085020458900991</v>
      </c>
      <c r="J70" s="6">
        <v>0.36322291950206836</v>
      </c>
      <c r="K70" s="6">
        <v>0.35566638845118387</v>
      </c>
      <c r="L70" s="6">
        <v>0.34818061143635626</v>
      </c>
    </row>
    <row r="71" spans="1:12">
      <c r="A71" s="11" t="s">
        <v>484</v>
      </c>
      <c r="B71" t="s">
        <v>249</v>
      </c>
      <c r="C71" t="s">
        <v>151</v>
      </c>
      <c r="D71">
        <v>1</v>
      </c>
      <c r="E71" s="6">
        <v>2.2624434389140271</v>
      </c>
      <c r="F71" s="6">
        <v>2.2297057884092695</v>
      </c>
      <c r="G71" s="6">
        <v>2.1922150678453196</v>
      </c>
      <c r="H71" s="6">
        <v>2.1551241075850918</v>
      </c>
      <c r="I71" s="6">
        <v>2.1184329076285859</v>
      </c>
      <c r="J71" s="6">
        <v>2.0821414679758017</v>
      </c>
      <c r="K71" s="6">
        <v>2.0462497886267395</v>
      </c>
      <c r="L71" s="6">
        <v>2.0107578695813988</v>
      </c>
    </row>
    <row r="72" spans="1:12">
      <c r="A72" s="11" t="s">
        <v>484</v>
      </c>
      <c r="B72" t="s">
        <v>249</v>
      </c>
      <c r="C72" s="6" t="s">
        <v>151</v>
      </c>
      <c r="D72">
        <v>2</v>
      </c>
      <c r="E72" s="6">
        <v>1.6017298682577186</v>
      </c>
      <c r="F72" s="6">
        <v>1.5793474247000794</v>
      </c>
      <c r="G72" s="6">
        <v>1.5547919570080651</v>
      </c>
      <c r="H72" s="6">
        <v>1.5305195054602785</v>
      </c>
      <c r="I72" s="6">
        <v>1.5065300700567197</v>
      </c>
      <c r="J72" s="6">
        <v>1.4828236507973891</v>
      </c>
      <c r="K72" s="6">
        <v>1.4594002476822865</v>
      </c>
      <c r="L72" s="6">
        <v>1.4362598607114114</v>
      </c>
    </row>
    <row r="73" spans="1:12">
      <c r="A73" s="11" t="s">
        <v>484</v>
      </c>
      <c r="B73" t="s">
        <v>249</v>
      </c>
      <c r="C73" t="s">
        <v>197</v>
      </c>
      <c r="D73">
        <v>2</v>
      </c>
      <c r="E73" s="6">
        <v>0.40043246706442964</v>
      </c>
      <c r="F73" s="6">
        <v>0.39415658406617626</v>
      </c>
      <c r="G73" s="6">
        <v>0.38631703687106389</v>
      </c>
      <c r="H73" s="6">
        <v>0.3785482437120084</v>
      </c>
      <c r="I73" s="6">
        <v>0.37085020458900991</v>
      </c>
      <c r="J73" s="6">
        <v>0.36322291950206836</v>
      </c>
      <c r="K73" s="6">
        <v>0.35566638845118387</v>
      </c>
      <c r="L73" s="6">
        <v>0.34818061143635626</v>
      </c>
    </row>
    <row r="74" spans="1:12">
      <c r="A74" s="11" t="s">
        <v>484</v>
      </c>
      <c r="B74" t="s">
        <v>249</v>
      </c>
      <c r="C74" t="s">
        <v>151</v>
      </c>
      <c r="D74">
        <v>3</v>
      </c>
      <c r="E74" s="6">
        <v>1.6017298682577186</v>
      </c>
      <c r="F74" s="6">
        <v>1.5793474247000794</v>
      </c>
      <c r="G74" s="6">
        <v>1.5547919570080651</v>
      </c>
      <c r="H74" s="6">
        <v>1.5305195054602785</v>
      </c>
      <c r="I74" s="6">
        <v>1.5065300700567197</v>
      </c>
      <c r="J74" s="6">
        <v>1.4828236507973891</v>
      </c>
      <c r="K74" s="6">
        <v>1.4594002476822865</v>
      </c>
      <c r="L74" s="6">
        <v>1.4362598607114114</v>
      </c>
    </row>
    <row r="75" spans="1:12">
      <c r="A75" s="11" t="s">
        <v>484</v>
      </c>
      <c r="B75" t="s">
        <v>249</v>
      </c>
      <c r="C75" s="6" t="s">
        <v>199</v>
      </c>
      <c r="D75">
        <v>3</v>
      </c>
      <c r="E75" s="6">
        <v>0.40043246706442964</v>
      </c>
      <c r="F75" s="6">
        <v>0.39415658406617626</v>
      </c>
      <c r="G75" s="6">
        <v>0.38631703687106389</v>
      </c>
      <c r="H75" s="6">
        <v>0.3785482437120084</v>
      </c>
      <c r="I75" s="6">
        <v>0.37085020458900991</v>
      </c>
      <c r="J75" s="6">
        <v>0.36322291950206836</v>
      </c>
      <c r="K75" s="6">
        <v>0.35566638845118387</v>
      </c>
      <c r="L75" s="6">
        <v>0.34818061143635626</v>
      </c>
    </row>
    <row r="76" spans="1:12">
      <c r="A76" s="11" t="s">
        <v>484</v>
      </c>
      <c r="B76" t="s">
        <v>249</v>
      </c>
      <c r="C76" s="6" t="s">
        <v>151</v>
      </c>
      <c r="D76">
        <v>4</v>
      </c>
      <c r="E76" s="6">
        <v>1.6017298682577186</v>
      </c>
      <c r="F76" s="6">
        <v>1.5793474247000794</v>
      </c>
      <c r="G76" s="6">
        <v>1.5547919570080651</v>
      </c>
      <c r="H76" s="6">
        <v>1.5305195054602785</v>
      </c>
      <c r="I76" s="6">
        <v>1.5065300700567197</v>
      </c>
      <c r="J76" s="6">
        <v>1.4828236507973891</v>
      </c>
      <c r="K76" s="6">
        <v>1.4594002476822865</v>
      </c>
      <c r="L76" s="6">
        <v>1.4362598607114114</v>
      </c>
    </row>
    <row r="77" spans="1:12">
      <c r="A77" s="11" t="s">
        <v>484</v>
      </c>
      <c r="B77" t="s">
        <v>249</v>
      </c>
      <c r="C77" t="s">
        <v>198</v>
      </c>
      <c r="D77">
        <v>4</v>
      </c>
      <c r="E77" s="6">
        <v>0.40043246706442964</v>
      </c>
      <c r="F77" s="6">
        <v>0.39415658406617626</v>
      </c>
      <c r="G77" s="6">
        <v>0.38631703687106389</v>
      </c>
      <c r="H77" s="6">
        <v>0.3785482437120084</v>
      </c>
      <c r="I77" s="6">
        <v>0.37085020458900991</v>
      </c>
      <c r="J77" s="6">
        <v>0.36322291950206836</v>
      </c>
      <c r="K77" s="6">
        <v>0.35566638845118387</v>
      </c>
      <c r="L77" s="6">
        <v>0.34818061143635626</v>
      </c>
    </row>
    <row r="78" spans="1:12">
      <c r="A78" s="11" t="s">
        <v>484</v>
      </c>
      <c r="B78" t="s">
        <v>243</v>
      </c>
      <c r="C78" t="s">
        <v>141</v>
      </c>
      <c r="D78">
        <v>1</v>
      </c>
      <c r="E78" s="6">
        <v>2.0452511824108401</v>
      </c>
      <c r="F78" s="6">
        <v>2.0133975853470982</v>
      </c>
      <c r="G78" s="6">
        <v>1.9740890882559392</v>
      </c>
      <c r="H78" s="6">
        <v>1.9354705055457582</v>
      </c>
      <c r="I78" s="6">
        <v>1.897541837216556</v>
      </c>
      <c r="J78" s="6">
        <v>1.8603030832683325</v>
      </c>
      <c r="K78" s="6">
        <v>1.823754243701087</v>
      </c>
      <c r="L78" s="6">
        <v>1.7878953185148205</v>
      </c>
    </row>
    <row r="79" spans="1:12">
      <c r="A79" s="11" t="s">
        <v>484</v>
      </c>
      <c r="B79" t="s">
        <v>243</v>
      </c>
      <c r="C79" t="s">
        <v>197</v>
      </c>
      <c r="D79">
        <v>1</v>
      </c>
      <c r="E79" s="6">
        <v>0.51131279560271004</v>
      </c>
      <c r="F79" s="6">
        <v>0.50329911153698681</v>
      </c>
      <c r="G79" s="6">
        <v>0.49328878239964602</v>
      </c>
      <c r="H79" s="6">
        <v>0.48336879919314762</v>
      </c>
      <c r="I79" s="6">
        <v>0.47353916191749168</v>
      </c>
      <c r="J79" s="6">
        <v>0.46379987057267819</v>
      </c>
      <c r="K79" s="6">
        <v>0.45415092515870703</v>
      </c>
      <c r="L79" s="6">
        <v>0.44459232567557838</v>
      </c>
    </row>
    <row r="80" spans="1:12">
      <c r="A80" s="11" t="s">
        <v>484</v>
      </c>
      <c r="B80" t="s">
        <v>243</v>
      </c>
      <c r="C80" s="6" t="s">
        <v>141</v>
      </c>
      <c r="D80">
        <v>2</v>
      </c>
      <c r="E80" s="6">
        <v>2.0452511824108401</v>
      </c>
      <c r="F80" s="6">
        <v>2.0133975853470982</v>
      </c>
      <c r="G80" s="6">
        <v>1.9740890882559392</v>
      </c>
      <c r="H80" s="6">
        <v>1.9354705055457582</v>
      </c>
      <c r="I80" s="6">
        <v>1.897541837216556</v>
      </c>
      <c r="J80" s="6">
        <v>1.8603030832683325</v>
      </c>
      <c r="K80" s="6">
        <v>1.823754243701087</v>
      </c>
      <c r="L80" s="6">
        <v>1.7878953185148205</v>
      </c>
    </row>
    <row r="81" spans="1:12">
      <c r="A81" s="11" t="s">
        <v>484</v>
      </c>
      <c r="B81" t="s">
        <v>243</v>
      </c>
      <c r="C81" t="s">
        <v>199</v>
      </c>
      <c r="D81">
        <v>2</v>
      </c>
      <c r="E81" s="6">
        <v>0.51131279560271004</v>
      </c>
      <c r="F81" s="6">
        <v>0.50329911153698681</v>
      </c>
      <c r="G81" s="6">
        <v>0.49328878239964602</v>
      </c>
      <c r="H81" s="6">
        <v>0.48336879919314762</v>
      </c>
      <c r="I81" s="6">
        <v>0.47353916191749168</v>
      </c>
      <c r="J81" s="6">
        <v>0.46379987057267819</v>
      </c>
      <c r="K81" s="6">
        <v>0.45415092515870703</v>
      </c>
      <c r="L81" s="6">
        <v>0.44459232567557838</v>
      </c>
    </row>
    <row r="82" spans="1:12">
      <c r="A82" s="11" t="s">
        <v>484</v>
      </c>
      <c r="B82" t="s">
        <v>243</v>
      </c>
      <c r="C82" t="s">
        <v>141</v>
      </c>
      <c r="D82">
        <v>3</v>
      </c>
      <c r="E82" s="6">
        <v>2.0452511824108401</v>
      </c>
      <c r="F82" s="6">
        <v>2.0133975853470982</v>
      </c>
      <c r="G82" s="6">
        <v>1.9740890882559392</v>
      </c>
      <c r="H82" s="6">
        <v>1.9354705055457582</v>
      </c>
      <c r="I82" s="6">
        <v>1.897541837216556</v>
      </c>
      <c r="J82" s="6">
        <v>1.8603030832683325</v>
      </c>
      <c r="K82" s="6">
        <v>1.823754243701087</v>
      </c>
      <c r="L82" s="6">
        <v>1.7878953185148205</v>
      </c>
    </row>
    <row r="83" spans="1:12">
      <c r="A83" s="11" t="s">
        <v>484</v>
      </c>
      <c r="B83" t="s">
        <v>243</v>
      </c>
      <c r="C83" t="s">
        <v>198</v>
      </c>
      <c r="D83">
        <v>3</v>
      </c>
      <c r="E83" s="6">
        <v>0.51131279560271004</v>
      </c>
      <c r="F83" s="6">
        <v>0.50329911153698681</v>
      </c>
      <c r="G83" s="6">
        <v>0.49328878239964602</v>
      </c>
      <c r="H83" s="6">
        <v>0.48336879919314762</v>
      </c>
      <c r="I83" s="6">
        <v>0.47353916191749168</v>
      </c>
      <c r="J83" s="6">
        <v>0.46379987057267819</v>
      </c>
      <c r="K83" s="6">
        <v>0.45415092515870703</v>
      </c>
      <c r="L83" s="6">
        <v>0.44459232567557838</v>
      </c>
    </row>
    <row r="84" spans="1:12">
      <c r="A84" t="s">
        <v>484</v>
      </c>
      <c r="B84" t="s">
        <v>239</v>
      </c>
      <c r="C84" s="6" t="s">
        <v>24</v>
      </c>
      <c r="D84">
        <v>1</v>
      </c>
      <c r="E84" s="6">
        <v>0.47031158142269258</v>
      </c>
      <c r="F84" s="6">
        <v>0.4567286804626185</v>
      </c>
      <c r="G84" s="6">
        <v>0.43977186834329701</v>
      </c>
      <c r="H84" s="6">
        <v>0.42310591063425534</v>
      </c>
      <c r="I84" s="6">
        <v>0.40673080733549366</v>
      </c>
      <c r="J84" s="6">
        <v>0.39064655844701202</v>
      </c>
      <c r="K84" s="6">
        <v>0.37485316396881024</v>
      </c>
      <c r="L84" s="6">
        <v>0.35935062390088851</v>
      </c>
    </row>
    <row r="85" spans="1:12">
      <c r="A85" t="s">
        <v>484</v>
      </c>
      <c r="B85" t="s">
        <v>239</v>
      </c>
      <c r="C85" t="s">
        <v>197</v>
      </c>
      <c r="D85">
        <v>1</v>
      </c>
      <c r="E85" s="6">
        <v>2.4691358024691357</v>
      </c>
      <c r="F85" s="6">
        <v>2.4065091762748603</v>
      </c>
      <c r="G85" s="6">
        <v>2.3386859270457157</v>
      </c>
      <c r="H85" s="6">
        <v>2.2716625274448399</v>
      </c>
      <c r="I85" s="6">
        <v>2.2054389774722347</v>
      </c>
      <c r="J85" s="6">
        <v>2.1400152771278997</v>
      </c>
      <c r="K85" s="6">
        <v>2.0753914264118345</v>
      </c>
      <c r="L85" s="6">
        <v>2.011567425324039</v>
      </c>
    </row>
    <row r="86" spans="1:12">
      <c r="A86" t="s">
        <v>484</v>
      </c>
      <c r="B86" t="s">
        <v>239</v>
      </c>
      <c r="C86" s="6" t="s">
        <v>24</v>
      </c>
      <c r="D86">
        <v>2</v>
      </c>
      <c r="E86" s="6">
        <v>0.47031158142269258</v>
      </c>
      <c r="F86" s="6">
        <v>0.4567286804626185</v>
      </c>
      <c r="G86" s="6">
        <v>0.43977186834329701</v>
      </c>
      <c r="H86" s="6">
        <v>0.42310591063425534</v>
      </c>
      <c r="I86" s="6">
        <v>0.40673080733549366</v>
      </c>
      <c r="J86" s="6">
        <v>0.39064655844701202</v>
      </c>
      <c r="K86" s="6">
        <v>0.37485316396881024</v>
      </c>
      <c r="L86" s="6">
        <v>0.35935062390088851</v>
      </c>
    </row>
    <row r="87" spans="1:12">
      <c r="A87" t="s">
        <v>484</v>
      </c>
      <c r="B87" t="s">
        <v>239</v>
      </c>
      <c r="C87" t="s">
        <v>199</v>
      </c>
      <c r="D87">
        <v>2</v>
      </c>
      <c r="E87" s="6">
        <v>2.4691358024691357</v>
      </c>
      <c r="F87" s="6">
        <v>2.4065091762748603</v>
      </c>
      <c r="G87" s="6">
        <v>2.3386859270457157</v>
      </c>
      <c r="H87" s="6">
        <v>2.2716625274448399</v>
      </c>
      <c r="I87" s="6">
        <v>2.2054389774722347</v>
      </c>
      <c r="J87" s="6">
        <v>2.1400152771278997</v>
      </c>
      <c r="K87" s="6">
        <v>2.0753914264118345</v>
      </c>
      <c r="L87" s="6">
        <v>2.011567425324039</v>
      </c>
    </row>
    <row r="88" spans="1:12">
      <c r="A88" s="11" t="s">
        <v>484</v>
      </c>
      <c r="B88" t="s">
        <v>239</v>
      </c>
      <c r="C88" s="6" t="s">
        <v>24</v>
      </c>
      <c r="D88">
        <v>3</v>
      </c>
      <c r="E88" s="6">
        <v>0.47031158142269258</v>
      </c>
      <c r="F88" s="6">
        <v>0.4567286804626185</v>
      </c>
      <c r="G88" s="6">
        <v>0.43977186834329701</v>
      </c>
      <c r="H88" s="6">
        <v>0.42310591063425534</v>
      </c>
      <c r="I88" s="6">
        <v>0.40673080733549366</v>
      </c>
      <c r="J88" s="6">
        <v>0.39064655844701202</v>
      </c>
      <c r="K88" s="6">
        <v>0.37485316396881024</v>
      </c>
      <c r="L88" s="6">
        <v>0.35935062390088851</v>
      </c>
    </row>
    <row r="89" spans="1:12">
      <c r="A89" s="11" t="s">
        <v>484</v>
      </c>
      <c r="B89" t="s">
        <v>239</v>
      </c>
      <c r="C89" t="s">
        <v>198</v>
      </c>
      <c r="D89">
        <v>3</v>
      </c>
      <c r="E89" s="6">
        <v>2.4691358024691357</v>
      </c>
      <c r="F89" s="6">
        <v>2.4065091762748603</v>
      </c>
      <c r="G89" s="6">
        <v>2.3386859270457157</v>
      </c>
      <c r="H89" s="6">
        <v>2.2716625274448399</v>
      </c>
      <c r="I89" s="6">
        <v>2.2054389774722347</v>
      </c>
      <c r="J89" s="6">
        <v>2.1400152771278997</v>
      </c>
      <c r="K89" s="6">
        <v>2.0753914264118345</v>
      </c>
      <c r="L89" s="6">
        <v>2.011567425324039</v>
      </c>
    </row>
    <row r="90" spans="1:12">
      <c r="A90" s="11" t="s">
        <v>484</v>
      </c>
      <c r="B90" t="s">
        <v>250</v>
      </c>
      <c r="C90" t="s">
        <v>24</v>
      </c>
      <c r="D90">
        <v>1</v>
      </c>
      <c r="E90" s="6">
        <v>0.47031158142269258</v>
      </c>
      <c r="F90" s="6">
        <v>0.4567286804626185</v>
      </c>
      <c r="G90" s="6">
        <v>0.43977186834329701</v>
      </c>
      <c r="H90" s="6">
        <v>0.42310591063425534</v>
      </c>
      <c r="I90" s="6">
        <v>0.40673080733549366</v>
      </c>
      <c r="J90" s="6">
        <v>0.39064655844701202</v>
      </c>
      <c r="K90" s="6">
        <v>0.37485316396881024</v>
      </c>
      <c r="L90" s="6">
        <v>0.35935062390088851</v>
      </c>
    </row>
    <row r="91" spans="1:12">
      <c r="A91" s="11" t="s">
        <v>484</v>
      </c>
      <c r="B91" t="s">
        <v>250</v>
      </c>
      <c r="C91" s="6" t="s">
        <v>197</v>
      </c>
      <c r="D91">
        <v>1</v>
      </c>
      <c r="E91" s="6">
        <v>2.4691358024691357</v>
      </c>
      <c r="F91" s="6">
        <v>2.4065091762748603</v>
      </c>
      <c r="G91" s="6">
        <v>2.3386859270457157</v>
      </c>
      <c r="H91" s="6">
        <v>2.2716625274448399</v>
      </c>
      <c r="I91" s="6">
        <v>2.2054389774722347</v>
      </c>
      <c r="J91" s="6">
        <v>2.1400152771278997</v>
      </c>
      <c r="K91" s="6">
        <v>2.0753914264118345</v>
      </c>
      <c r="L91" s="6">
        <v>2.011567425324039</v>
      </c>
    </row>
    <row r="92" spans="1:12">
      <c r="A92" s="11" t="s">
        <v>484</v>
      </c>
      <c r="B92" t="s">
        <v>241</v>
      </c>
      <c r="C92" t="s">
        <v>24</v>
      </c>
      <c r="D92">
        <v>1</v>
      </c>
      <c r="E92" s="6">
        <v>0.97001763668430341</v>
      </c>
      <c r="F92" s="6">
        <v>0.96497858402620307</v>
      </c>
      <c r="G92" s="6">
        <v>0.95238095238095244</v>
      </c>
      <c r="H92" s="6">
        <v>0.93978332073570159</v>
      </c>
      <c r="I92" s="6">
        <v>0.92718568909045096</v>
      </c>
      <c r="J92" s="6">
        <v>0.91458805744520033</v>
      </c>
      <c r="K92" s="6">
        <v>0.90199042579994959</v>
      </c>
      <c r="L92" s="6">
        <v>0.88939279415469896</v>
      </c>
    </row>
    <row r="93" spans="1:12">
      <c r="A93" s="11" t="s">
        <v>484</v>
      </c>
      <c r="B93" t="s">
        <v>241</v>
      </c>
      <c r="C93" t="s">
        <v>140</v>
      </c>
      <c r="D93">
        <v>1</v>
      </c>
      <c r="E93" s="6">
        <v>1.9694297472075253</v>
      </c>
      <c r="F93" s="6">
        <v>1.9601970829484059</v>
      </c>
      <c r="G93" s="6">
        <v>1.9371154223006077</v>
      </c>
      <c r="H93" s="6">
        <v>1.9140337616528094</v>
      </c>
      <c r="I93" s="6">
        <v>1.8909521010050112</v>
      </c>
      <c r="J93" s="6">
        <v>1.8678704403572133</v>
      </c>
      <c r="K93" s="6">
        <v>1.8447887797094147</v>
      </c>
      <c r="L93" s="6">
        <v>1.8217071190616165</v>
      </c>
    </row>
    <row r="94" spans="1:12">
      <c r="A94" s="11" t="s">
        <v>484</v>
      </c>
      <c r="B94" t="s">
        <v>242</v>
      </c>
      <c r="C94" s="6" t="s">
        <v>24</v>
      </c>
      <c r="D94">
        <v>1</v>
      </c>
      <c r="E94" s="6">
        <v>1.25</v>
      </c>
      <c r="F94" s="6">
        <v>1.2487012987012986</v>
      </c>
      <c r="G94" s="6">
        <v>1.2454545454545454</v>
      </c>
      <c r="H94" s="6">
        <v>1.2422077922077923</v>
      </c>
      <c r="I94" s="6">
        <v>1.238961038961039</v>
      </c>
      <c r="J94" s="6">
        <v>1.2357142857142858</v>
      </c>
      <c r="K94" s="6">
        <v>1.2324675324675325</v>
      </c>
      <c r="L94" s="6">
        <v>1.2292207792207792</v>
      </c>
    </row>
    <row r="95" spans="1:12">
      <c r="A95" s="11" t="s">
        <v>484</v>
      </c>
      <c r="B95" t="s">
        <v>240</v>
      </c>
      <c r="C95" s="6" t="s">
        <v>24</v>
      </c>
      <c r="D95">
        <v>1</v>
      </c>
      <c r="E95" s="6">
        <v>1.5873015873015872</v>
      </c>
      <c r="F95" s="6">
        <v>1.5466541017561426</v>
      </c>
      <c r="G95" s="6">
        <v>1.5024118738404453</v>
      </c>
      <c r="H95" s="6">
        <v>1.4591512795594428</v>
      </c>
      <c r="I95" s="6">
        <v>1.4168723189131351</v>
      </c>
      <c r="J95" s="6">
        <v>1.3755749919015225</v>
      </c>
      <c r="K95" s="6">
        <v>1.3352592985246046</v>
      </c>
      <c r="L95" s="6">
        <v>1.2959252387823816</v>
      </c>
    </row>
    <row r="96" spans="1:12">
      <c r="A96" t="s">
        <v>484</v>
      </c>
      <c r="B96" t="s">
        <v>112</v>
      </c>
      <c r="C96" t="s">
        <v>198</v>
      </c>
      <c r="D96">
        <v>2</v>
      </c>
      <c r="E96" s="6">
        <v>1.1111111111111112</v>
      </c>
      <c r="F96" s="6">
        <v>1.1108087679516252</v>
      </c>
      <c r="G96" s="6">
        <v>1.1100529100529102</v>
      </c>
      <c r="H96" s="6">
        <v>1.1092970521541952</v>
      </c>
      <c r="I96" s="6">
        <v>1.1085411942554799</v>
      </c>
      <c r="J96" s="6">
        <v>1.1077853363567649</v>
      </c>
      <c r="K96" s="6">
        <v>1.1070294784580499</v>
      </c>
      <c r="L96" s="6">
        <v>1.1062736205593349</v>
      </c>
    </row>
    <row r="97" spans="1:12">
      <c r="A97" t="s">
        <v>484</v>
      </c>
      <c r="B97" t="s">
        <v>112</v>
      </c>
      <c r="C97" s="6" t="s">
        <v>199</v>
      </c>
      <c r="D97">
        <v>3</v>
      </c>
      <c r="E97" s="6">
        <v>1.1111111111111112</v>
      </c>
      <c r="F97" s="6">
        <v>1.1108087679516252</v>
      </c>
      <c r="G97" s="6">
        <v>1.1100529100529102</v>
      </c>
      <c r="H97" s="6">
        <v>1.1092970521541952</v>
      </c>
      <c r="I97" s="6">
        <v>1.1085411942554799</v>
      </c>
      <c r="J97" s="6">
        <v>1.1077853363567649</v>
      </c>
      <c r="K97" s="6">
        <v>1.1070294784580499</v>
      </c>
      <c r="L97" s="6">
        <v>1.1062736205593349</v>
      </c>
    </row>
    <row r="98" spans="1:12">
      <c r="A98" t="s">
        <v>484</v>
      </c>
      <c r="B98" t="s">
        <v>212</v>
      </c>
      <c r="C98" s="6" t="s">
        <v>141</v>
      </c>
      <c r="D98">
        <v>1</v>
      </c>
      <c r="E98" s="6">
        <v>1.25</v>
      </c>
      <c r="F98" s="6">
        <v>1.2487012987012986</v>
      </c>
      <c r="G98" s="6">
        <v>1.2454545454545454</v>
      </c>
      <c r="H98" s="6">
        <v>1.2422077922077923</v>
      </c>
      <c r="I98" s="6">
        <v>1.238961038961039</v>
      </c>
      <c r="J98" s="6">
        <v>1.2357142857142858</v>
      </c>
      <c r="K98" s="6">
        <v>1.2324675324675325</v>
      </c>
      <c r="L98" s="6">
        <v>1.2292207792207792</v>
      </c>
    </row>
    <row r="99" spans="1:12">
      <c r="A99" t="s">
        <v>484</v>
      </c>
      <c r="B99" t="s">
        <v>213</v>
      </c>
      <c r="C99" t="s">
        <v>141</v>
      </c>
      <c r="D99">
        <v>1</v>
      </c>
      <c r="E99" s="6">
        <v>1.5384615384615383</v>
      </c>
      <c r="F99" s="6">
        <v>1.5356643356643356</v>
      </c>
      <c r="G99" s="6">
        <v>1.5286713286713285</v>
      </c>
      <c r="H99" s="6">
        <v>1.5216783216783214</v>
      </c>
      <c r="I99" s="6">
        <v>1.5146853146853145</v>
      </c>
      <c r="J99" s="6">
        <v>1.5076923076923077</v>
      </c>
      <c r="K99" s="6">
        <v>1.5006993006993006</v>
      </c>
      <c r="L99" s="6">
        <v>1.4937062937062935</v>
      </c>
    </row>
    <row r="100" spans="1:12">
      <c r="A100" s="11" t="s">
        <v>484</v>
      </c>
      <c r="B100" t="s">
        <v>262</v>
      </c>
      <c r="C100" t="s">
        <v>141</v>
      </c>
      <c r="D100">
        <v>1</v>
      </c>
      <c r="E100" s="6">
        <v>1.5384615384615383</v>
      </c>
      <c r="F100" s="6">
        <v>1.5356643356643356</v>
      </c>
      <c r="G100" s="6">
        <v>1.5286713286713285</v>
      </c>
      <c r="H100" s="6">
        <v>1.5216783216783214</v>
      </c>
      <c r="I100" s="6">
        <v>1.5146853146853145</v>
      </c>
      <c r="J100" s="6">
        <v>1.5076923076923077</v>
      </c>
      <c r="K100" s="6">
        <v>1.5006993006993006</v>
      </c>
      <c r="L100" s="6">
        <v>1.4937062937062935</v>
      </c>
    </row>
    <row r="101" spans="1:12">
      <c r="A101" t="s">
        <v>484</v>
      </c>
      <c r="B101" s="6" t="s">
        <v>447</v>
      </c>
      <c r="C101" s="6" t="s">
        <v>434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</row>
    <row r="102" spans="1:12">
      <c r="A102" t="s">
        <v>484</v>
      </c>
      <c r="B102" t="s">
        <v>232</v>
      </c>
      <c r="C102" s="6" t="s">
        <v>24</v>
      </c>
      <c r="D102">
        <v>1</v>
      </c>
      <c r="E102" s="6">
        <v>1.0101010101010102</v>
      </c>
      <c r="F102" s="6">
        <v>1.0100485373212647</v>
      </c>
      <c r="G102" s="6">
        <v>1.009917355371901</v>
      </c>
      <c r="H102" s="6">
        <v>1.0097861734225371</v>
      </c>
      <c r="I102" s="6">
        <v>1.0096549914731734</v>
      </c>
      <c r="J102" s="6">
        <v>1.0095238095238095</v>
      </c>
      <c r="K102" s="6">
        <v>1.0093926275744458</v>
      </c>
      <c r="L102" s="6">
        <v>1.0092614456250821</v>
      </c>
    </row>
    <row r="103" spans="1:12">
      <c r="A103" t="s">
        <v>484</v>
      </c>
      <c r="B103" t="s">
        <v>234</v>
      </c>
      <c r="C103" s="6" t="s">
        <v>140</v>
      </c>
      <c r="D103">
        <v>1</v>
      </c>
      <c r="E103" s="6">
        <v>2.1276595744680851</v>
      </c>
      <c r="F103" s="6">
        <v>2.0730158730158732</v>
      </c>
      <c r="G103" s="6">
        <v>2.0061224489795917</v>
      </c>
      <c r="H103" s="6">
        <v>1.9428571428571428</v>
      </c>
      <c r="I103" s="6">
        <v>1.9008486562942009</v>
      </c>
      <c r="J103" s="6">
        <v>1.8601307189542484</v>
      </c>
      <c r="K103" s="6">
        <v>1.8372549019607842</v>
      </c>
      <c r="L103" s="6">
        <v>1.81437908496732</v>
      </c>
    </row>
    <row r="104" spans="1:12">
      <c r="A104" t="s">
        <v>484</v>
      </c>
      <c r="B104" t="s">
        <v>234</v>
      </c>
      <c r="C104" s="6" t="s">
        <v>140</v>
      </c>
      <c r="D104">
        <v>2</v>
      </c>
      <c r="E104" s="6">
        <v>2.7027027027027026</v>
      </c>
      <c r="F104" s="6">
        <v>2.6160401002506268</v>
      </c>
      <c r="G104" s="6">
        <v>2.5441558441558438</v>
      </c>
      <c r="H104" s="6">
        <v>2.4747252747252744</v>
      </c>
      <c r="I104" s="6">
        <v>2.4076552139843277</v>
      </c>
      <c r="J104" s="6">
        <v>2.342857142857143</v>
      </c>
      <c r="K104" s="6">
        <v>2.3071428571428569</v>
      </c>
      <c r="L104" s="6">
        <v>2.2714285714285714</v>
      </c>
    </row>
    <row r="105" spans="1:12">
      <c r="A105" t="s">
        <v>484</v>
      </c>
      <c r="B105" t="s">
        <v>221</v>
      </c>
      <c r="C105" t="s">
        <v>197</v>
      </c>
      <c r="D105">
        <v>1</v>
      </c>
      <c r="E105" s="6">
        <v>1.1111111111111112</v>
      </c>
      <c r="F105" s="6">
        <v>1.1108087679516252</v>
      </c>
      <c r="G105" s="6">
        <v>1.1100529100529102</v>
      </c>
      <c r="H105" s="6">
        <v>1.1092970521541952</v>
      </c>
      <c r="I105" s="6">
        <v>1.1085411942554799</v>
      </c>
      <c r="J105" s="6">
        <v>1.1077853363567649</v>
      </c>
      <c r="K105" s="6">
        <v>1.1070294784580499</v>
      </c>
      <c r="L105" s="6">
        <v>1.1062736205593349</v>
      </c>
    </row>
    <row r="106" spans="1:12">
      <c r="A106" t="s">
        <v>484</v>
      </c>
      <c r="B106" t="s">
        <v>221</v>
      </c>
      <c r="C106" s="6" t="s">
        <v>198</v>
      </c>
      <c r="D106" s="6">
        <v>2</v>
      </c>
      <c r="E106" s="6">
        <v>1.1111111111111112</v>
      </c>
      <c r="F106" s="6">
        <v>1.1108087679516252</v>
      </c>
      <c r="G106" s="6">
        <v>1.1100529100529102</v>
      </c>
      <c r="H106" s="6">
        <v>1.1092970521541952</v>
      </c>
      <c r="I106" s="6">
        <v>1.1085411942554799</v>
      </c>
      <c r="J106" s="6">
        <v>1.1077853363567649</v>
      </c>
      <c r="K106" s="6">
        <v>1.1070294784580499</v>
      </c>
      <c r="L106" s="6">
        <v>1.1062736205593349</v>
      </c>
    </row>
    <row r="107" spans="1:12">
      <c r="A107" t="s">
        <v>484</v>
      </c>
      <c r="B107" t="s">
        <v>221</v>
      </c>
      <c r="C107" s="6" t="s">
        <v>199</v>
      </c>
      <c r="D107" s="6">
        <v>3</v>
      </c>
      <c r="E107" s="6">
        <v>1.1111111111111112</v>
      </c>
      <c r="F107" s="6">
        <v>1.1108087679516252</v>
      </c>
      <c r="G107" s="6">
        <v>1.1100529100529102</v>
      </c>
      <c r="H107" s="6">
        <v>1.1092970521541952</v>
      </c>
      <c r="I107" s="6">
        <v>1.1085411942554799</v>
      </c>
      <c r="J107" s="6">
        <v>1.1077853363567649</v>
      </c>
      <c r="K107" s="6">
        <v>1.1070294784580499</v>
      </c>
      <c r="L107" s="6">
        <v>1.1062736205593349</v>
      </c>
    </row>
    <row r="108" spans="1:12">
      <c r="A108" t="s">
        <v>484</v>
      </c>
      <c r="B108" t="s">
        <v>211</v>
      </c>
      <c r="C108" s="6" t="s">
        <v>197</v>
      </c>
      <c r="D108" s="6">
        <v>1</v>
      </c>
      <c r="E108" s="6">
        <v>1.2195121951219512</v>
      </c>
      <c r="F108" s="6">
        <v>1.2189148830263812</v>
      </c>
      <c r="G108" s="6">
        <v>1.2174216027874565</v>
      </c>
      <c r="H108" s="6">
        <v>1.2159283225485316</v>
      </c>
      <c r="I108" s="6">
        <v>1.2144350423096069</v>
      </c>
      <c r="J108" s="6">
        <v>1.2129417620706819</v>
      </c>
      <c r="K108" s="6">
        <v>1.211448481831757</v>
      </c>
      <c r="L108" s="6">
        <v>1.2099552015928323</v>
      </c>
    </row>
    <row r="109" spans="1:12">
      <c r="A109" t="s">
        <v>484</v>
      </c>
      <c r="B109" t="s">
        <v>211</v>
      </c>
      <c r="C109" t="s">
        <v>198</v>
      </c>
      <c r="D109">
        <v>2</v>
      </c>
      <c r="E109" s="6">
        <v>1.2195121951219512</v>
      </c>
      <c r="F109" s="6">
        <v>1.2189148830263812</v>
      </c>
      <c r="G109" s="6">
        <v>1.2174216027874565</v>
      </c>
      <c r="H109" s="6">
        <v>1.2159283225485316</v>
      </c>
      <c r="I109" s="6">
        <v>1.2144350423096069</v>
      </c>
      <c r="J109" s="6">
        <v>1.2129417620706819</v>
      </c>
      <c r="K109" s="6">
        <v>1.211448481831757</v>
      </c>
      <c r="L109" s="6">
        <v>1.2099552015928323</v>
      </c>
    </row>
    <row r="110" spans="1:12">
      <c r="A110" t="s">
        <v>484</v>
      </c>
      <c r="B110" t="s">
        <v>211</v>
      </c>
      <c r="C110" s="6" t="s">
        <v>199</v>
      </c>
      <c r="D110">
        <v>3</v>
      </c>
      <c r="E110" s="6">
        <v>1.2195121951219512</v>
      </c>
      <c r="F110" s="6">
        <v>1.2189148830263812</v>
      </c>
      <c r="G110" s="6">
        <v>1.2174216027874565</v>
      </c>
      <c r="H110" s="6">
        <v>1.2159283225485316</v>
      </c>
      <c r="I110" s="6">
        <v>1.2144350423096069</v>
      </c>
      <c r="J110" s="6">
        <v>1.2129417620706819</v>
      </c>
      <c r="K110" s="6">
        <v>1.211448481831757</v>
      </c>
      <c r="L110" s="6">
        <v>1.2099552015928323</v>
      </c>
    </row>
    <row r="111" spans="1:12">
      <c r="A111" t="s">
        <v>484</v>
      </c>
      <c r="B111" t="s">
        <v>217</v>
      </c>
      <c r="C111" s="6" t="s">
        <v>237</v>
      </c>
      <c r="D111">
        <v>1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0</v>
      </c>
      <c r="K111" s="6">
        <v>0</v>
      </c>
      <c r="L111" s="6">
        <v>0</v>
      </c>
    </row>
    <row r="112" spans="1:12">
      <c r="A112" s="6" t="s">
        <v>484</v>
      </c>
      <c r="B112" s="6" t="s">
        <v>268</v>
      </c>
      <c r="C112" s="6" t="s">
        <v>140</v>
      </c>
      <c r="D112" s="6">
        <v>1</v>
      </c>
      <c r="E112" s="6">
        <v>1.1764705882352942</v>
      </c>
      <c r="F112" s="6">
        <v>1.1235694277711081</v>
      </c>
      <c r="G112" s="6">
        <v>1.1039359333476979</v>
      </c>
      <c r="H112" s="6">
        <v>1.0973127712623509</v>
      </c>
      <c r="I112" s="6">
        <v>1.0928750987574516</v>
      </c>
      <c r="J112" s="6">
        <v>1.0895045197566204</v>
      </c>
      <c r="K112" s="6">
        <v>1.0866546618647457</v>
      </c>
      <c r="L112" s="6">
        <v>1.0838304552590265</v>
      </c>
    </row>
    <row r="113" spans="1:12">
      <c r="A113" t="s">
        <v>484</v>
      </c>
      <c r="B113" t="s">
        <v>214</v>
      </c>
      <c r="C113" t="s">
        <v>151</v>
      </c>
      <c r="D113">
        <v>1</v>
      </c>
      <c r="E113" s="6">
        <v>1.3333333333333333</v>
      </c>
      <c r="F113" s="6">
        <v>1.3324263038548751</v>
      </c>
      <c r="G113" s="6">
        <v>1.3301587301587301</v>
      </c>
      <c r="H113" s="6">
        <v>1.327891156462585</v>
      </c>
      <c r="I113" s="6">
        <v>1.3256235827664398</v>
      </c>
      <c r="J113" s="6">
        <v>1.3233560090702947</v>
      </c>
      <c r="K113" s="6">
        <v>1.3210884353741497</v>
      </c>
      <c r="L113" s="6">
        <v>1.3188208616780044</v>
      </c>
    </row>
    <row r="114" spans="1:12">
      <c r="A114" t="s">
        <v>484</v>
      </c>
      <c r="B114" t="s">
        <v>216</v>
      </c>
      <c r="C114" s="6" t="s">
        <v>151</v>
      </c>
      <c r="D114">
        <v>1</v>
      </c>
      <c r="E114" s="6">
        <v>1.6666666666666667</v>
      </c>
      <c r="F114" s="6">
        <v>1.6648526077097507</v>
      </c>
      <c r="G114" s="6">
        <v>1.6603174603174604</v>
      </c>
      <c r="H114" s="6">
        <v>1.6557823129251701</v>
      </c>
      <c r="I114" s="6">
        <v>1.65124716553288</v>
      </c>
      <c r="J114" s="6">
        <v>1.6467120181405897</v>
      </c>
      <c r="K114" s="6">
        <v>1.6421768707482993</v>
      </c>
      <c r="L114" s="6">
        <v>1.6376417233560092</v>
      </c>
    </row>
    <row r="115" spans="1:12">
      <c r="A115" s="11" t="s">
        <v>484</v>
      </c>
      <c r="B115" t="s">
        <v>256</v>
      </c>
      <c r="C115" s="6" t="s">
        <v>151</v>
      </c>
      <c r="D115">
        <v>1</v>
      </c>
      <c r="E115" s="6">
        <v>1.6666666666666667</v>
      </c>
      <c r="F115" s="6">
        <v>1.6648526077097507</v>
      </c>
      <c r="G115" s="6">
        <v>1.6603174603174604</v>
      </c>
      <c r="H115" s="6">
        <v>1.6557823129251701</v>
      </c>
      <c r="I115" s="6">
        <v>1.65124716553288</v>
      </c>
      <c r="J115" s="6">
        <v>1.6467120181405897</v>
      </c>
      <c r="K115" s="6">
        <v>1.6421768707482993</v>
      </c>
      <c r="L115" s="6">
        <v>1.6376417233560092</v>
      </c>
    </row>
    <row r="116" spans="1:12">
      <c r="A116" t="s">
        <v>484</v>
      </c>
      <c r="B116" t="s">
        <v>215</v>
      </c>
      <c r="C116" t="s">
        <v>152</v>
      </c>
      <c r="D116">
        <v>1</v>
      </c>
      <c r="E116" s="6">
        <v>1.3333333333333333</v>
      </c>
      <c r="F116" s="6">
        <v>1.3324263038548751</v>
      </c>
      <c r="G116" s="6">
        <v>1.3301587301587301</v>
      </c>
      <c r="H116" s="6">
        <v>1.327891156462585</v>
      </c>
      <c r="I116" s="6">
        <v>1.3256235827664398</v>
      </c>
      <c r="J116" s="6">
        <v>1.3233560090702947</v>
      </c>
      <c r="K116" s="6">
        <v>1.3210884353741497</v>
      </c>
      <c r="L116" s="6">
        <v>1.3188208616780044</v>
      </c>
    </row>
    <row r="117" spans="1:12">
      <c r="A117" t="s">
        <v>484</v>
      </c>
      <c r="B117" t="s">
        <v>244</v>
      </c>
      <c r="C117" s="6" t="s">
        <v>152</v>
      </c>
      <c r="D117">
        <v>1</v>
      </c>
      <c r="E117" s="6">
        <v>1.6666666666666667</v>
      </c>
      <c r="F117" s="6">
        <v>1.6648526077097507</v>
      </c>
      <c r="G117" s="6">
        <v>1.6603174603174604</v>
      </c>
      <c r="H117" s="6">
        <v>1.6557823129251701</v>
      </c>
      <c r="I117" s="6">
        <v>1.65124716553288</v>
      </c>
      <c r="J117" s="6">
        <v>1.6467120181405897</v>
      </c>
      <c r="K117" s="6">
        <v>1.6421768707482993</v>
      </c>
      <c r="L117" s="6">
        <v>1.6376417233560092</v>
      </c>
    </row>
    <row r="118" spans="1:12">
      <c r="A118" s="11" t="s">
        <v>484</v>
      </c>
      <c r="B118" t="s">
        <v>257</v>
      </c>
      <c r="C118" s="6" t="s">
        <v>152</v>
      </c>
      <c r="D118">
        <v>1</v>
      </c>
      <c r="E118" s="6">
        <v>1.6666666666666667</v>
      </c>
      <c r="F118" s="6">
        <v>1.6648526077097507</v>
      </c>
      <c r="G118" s="6">
        <v>1.6603174603174604</v>
      </c>
      <c r="H118" s="6">
        <v>1.6557823129251701</v>
      </c>
      <c r="I118" s="6">
        <v>1.65124716553288</v>
      </c>
      <c r="J118" s="6">
        <v>1.6467120181405897</v>
      </c>
      <c r="K118" s="6">
        <v>1.6421768707482993</v>
      </c>
      <c r="L118" s="6">
        <v>1.6376417233560092</v>
      </c>
    </row>
    <row r="119" spans="1:12">
      <c r="A119" t="s">
        <v>484</v>
      </c>
      <c r="B119" t="s">
        <v>222</v>
      </c>
      <c r="C119" t="s">
        <v>138</v>
      </c>
      <c r="D119">
        <v>1</v>
      </c>
      <c r="E119" s="6">
        <v>1.1764705882352942</v>
      </c>
      <c r="F119" s="6">
        <v>1.1759903961584635</v>
      </c>
      <c r="G119" s="6">
        <v>1.1747899159663866</v>
      </c>
      <c r="H119" s="6">
        <v>1.1735894357743097</v>
      </c>
      <c r="I119" s="6">
        <v>1.1723889555822329</v>
      </c>
      <c r="J119" s="6">
        <v>1.171188475390156</v>
      </c>
      <c r="K119" s="6">
        <v>1.1699879951980794</v>
      </c>
      <c r="L119" s="6">
        <v>1.1687875150060025</v>
      </c>
    </row>
    <row r="120" spans="1:12">
      <c r="A120" t="s">
        <v>484</v>
      </c>
      <c r="B120" t="s">
        <v>218</v>
      </c>
      <c r="C120" s="6" t="s">
        <v>138</v>
      </c>
      <c r="D120">
        <v>1</v>
      </c>
      <c r="E120" s="6">
        <v>1.3513513513513513</v>
      </c>
      <c r="F120" s="6">
        <v>1.3503952932524361</v>
      </c>
      <c r="G120" s="6">
        <v>1.348005148005148</v>
      </c>
      <c r="H120" s="6">
        <v>1.3456150027578599</v>
      </c>
      <c r="I120" s="6">
        <v>1.3432248575105716</v>
      </c>
      <c r="J120" s="6">
        <v>1.3408347122632835</v>
      </c>
      <c r="K120" s="6">
        <v>1.3384445670159955</v>
      </c>
      <c r="L120" s="6">
        <v>1.3360544217687074</v>
      </c>
    </row>
    <row r="121" spans="1:12">
      <c r="A121" t="s">
        <v>484</v>
      </c>
      <c r="B121" t="s">
        <v>233</v>
      </c>
      <c r="C121" t="s">
        <v>169</v>
      </c>
      <c r="D121">
        <v>1</v>
      </c>
      <c r="E121" s="6">
        <v>0.16582635717909688</v>
      </c>
      <c r="F121" s="6">
        <v>0.16496492155738729</v>
      </c>
      <c r="G121" s="6">
        <v>0.1628113325031133</v>
      </c>
      <c r="H121" s="6">
        <v>0.16065774344883932</v>
      </c>
      <c r="I121" s="6">
        <v>0.15850415439456533</v>
      </c>
      <c r="J121" s="6">
        <v>0.15635056534029135</v>
      </c>
      <c r="K121" s="6">
        <v>0.15419697628601736</v>
      </c>
      <c r="L121" s="6">
        <v>0.15204338723174338</v>
      </c>
    </row>
    <row r="122" spans="1:12">
      <c r="A122" t="s">
        <v>484</v>
      </c>
      <c r="B122" t="s">
        <v>201</v>
      </c>
      <c r="C122" t="s">
        <v>141</v>
      </c>
      <c r="D122">
        <v>1</v>
      </c>
      <c r="E122" s="6">
        <v>1.25</v>
      </c>
      <c r="F122" s="6">
        <v>1.2487012987012986</v>
      </c>
      <c r="G122" s="6">
        <v>1.2454545454545454</v>
      </c>
      <c r="H122" s="6">
        <v>1.2422077922077923</v>
      </c>
      <c r="I122" s="6">
        <v>1.238961038961039</v>
      </c>
      <c r="J122" s="6">
        <v>1.2357142857142858</v>
      </c>
      <c r="K122" s="6">
        <v>1.2324675324675325</v>
      </c>
      <c r="L122" s="6">
        <v>1.2292207792207792</v>
      </c>
    </row>
    <row r="123" spans="1:12">
      <c r="A123" t="s">
        <v>484</v>
      </c>
      <c r="B123" t="s">
        <v>205</v>
      </c>
      <c r="C123" t="s">
        <v>141</v>
      </c>
      <c r="D123">
        <v>1</v>
      </c>
      <c r="E123" s="6">
        <v>1.5384615384615383</v>
      </c>
      <c r="F123" s="6">
        <v>1.5356643356643356</v>
      </c>
      <c r="G123" s="6">
        <v>1.5286713286713285</v>
      </c>
      <c r="H123" s="6">
        <v>1.5216783216783214</v>
      </c>
      <c r="I123" s="6">
        <v>1.5146853146853145</v>
      </c>
      <c r="J123" s="6">
        <v>1.5076923076923077</v>
      </c>
      <c r="K123" s="6">
        <v>1.5006993006993006</v>
      </c>
      <c r="L123" s="6">
        <v>1.4937062937062935</v>
      </c>
    </row>
    <row r="124" spans="1:12">
      <c r="A124" s="11" t="s">
        <v>484</v>
      </c>
      <c r="B124" t="s">
        <v>263</v>
      </c>
      <c r="C124" s="6" t="s">
        <v>141</v>
      </c>
      <c r="D124">
        <v>1</v>
      </c>
      <c r="E124" s="6">
        <v>1.5384615384615383</v>
      </c>
      <c r="F124" s="6">
        <v>1.5356643356643356</v>
      </c>
      <c r="G124" s="6">
        <v>1.5286713286713285</v>
      </c>
      <c r="H124" s="6">
        <v>1.5216783216783214</v>
      </c>
      <c r="I124" s="6">
        <v>1.5146853146853145</v>
      </c>
      <c r="J124" s="6">
        <v>1.5076923076923077</v>
      </c>
      <c r="K124" s="6">
        <v>1.5006993006993006</v>
      </c>
      <c r="L124" s="6">
        <v>1.4937062937062935</v>
      </c>
    </row>
    <row r="125" spans="1:12">
      <c r="A125" t="s">
        <v>484</v>
      </c>
      <c r="B125" s="6" t="s">
        <v>448</v>
      </c>
      <c r="C125" s="6" t="s">
        <v>434</v>
      </c>
      <c r="D125" s="6">
        <v>1</v>
      </c>
      <c r="E125" s="6">
        <v>1</v>
      </c>
      <c r="F125" s="6">
        <v>1</v>
      </c>
      <c r="G125" s="6">
        <v>1</v>
      </c>
      <c r="H125" s="6">
        <v>1</v>
      </c>
      <c r="I125" s="6">
        <v>1</v>
      </c>
      <c r="J125" s="6">
        <v>1</v>
      </c>
      <c r="K125" s="6">
        <v>1</v>
      </c>
      <c r="L125" s="6">
        <v>1</v>
      </c>
    </row>
    <row r="126" spans="1:12">
      <c r="A126" t="s">
        <v>484</v>
      </c>
      <c r="B126" t="s">
        <v>228</v>
      </c>
      <c r="C126" s="6" t="s">
        <v>24</v>
      </c>
      <c r="D126">
        <v>1</v>
      </c>
      <c r="E126" s="6">
        <v>1.0416666666666667</v>
      </c>
      <c r="F126" s="6">
        <v>1.0307671709733566</v>
      </c>
      <c r="G126" s="6">
        <v>1.0251748251748254</v>
      </c>
      <c r="H126" s="6">
        <v>1.0197720646700239</v>
      </c>
      <c r="I126" s="6">
        <v>1.0145560023732612</v>
      </c>
      <c r="J126" s="6">
        <v>1.0095238095238095</v>
      </c>
      <c r="K126" s="6">
        <v>1.0046727142204528</v>
      </c>
      <c r="L126" s="6">
        <v>1</v>
      </c>
    </row>
    <row r="127" spans="1:12">
      <c r="A127" t="s">
        <v>484</v>
      </c>
      <c r="B127" t="s">
        <v>219</v>
      </c>
      <c r="C127" t="s">
        <v>197</v>
      </c>
      <c r="D127">
        <v>1</v>
      </c>
      <c r="E127" s="6">
        <v>1.1111111111111112</v>
      </c>
      <c r="F127" s="6">
        <v>1.1108087679516252</v>
      </c>
      <c r="G127" s="6">
        <v>1.1100529100529102</v>
      </c>
      <c r="H127" s="6">
        <v>1.1092970521541952</v>
      </c>
      <c r="I127" s="6">
        <v>1.1085411942554799</v>
      </c>
      <c r="J127" s="6">
        <v>1.1077853363567649</v>
      </c>
      <c r="K127" s="6">
        <v>1.1070294784580499</v>
      </c>
      <c r="L127" s="6">
        <v>1.1062736205593349</v>
      </c>
    </row>
    <row r="128" spans="1:12">
      <c r="A128" t="s">
        <v>484</v>
      </c>
      <c r="B128" t="s">
        <v>219</v>
      </c>
      <c r="C128" s="6" t="s">
        <v>198</v>
      </c>
      <c r="D128" s="6">
        <v>2</v>
      </c>
      <c r="E128" s="6">
        <v>1.1111111111111112</v>
      </c>
      <c r="F128" s="6">
        <v>1.1108087679516252</v>
      </c>
      <c r="G128" s="6">
        <v>1.1100529100529102</v>
      </c>
      <c r="H128" s="6">
        <v>1.1092970521541952</v>
      </c>
      <c r="I128" s="6">
        <v>1.1085411942554799</v>
      </c>
      <c r="J128" s="6">
        <v>1.1077853363567649</v>
      </c>
      <c r="K128" s="6">
        <v>1.1070294784580499</v>
      </c>
      <c r="L128" s="6">
        <v>1.1062736205593349</v>
      </c>
    </row>
    <row r="129" spans="1:12">
      <c r="A129" t="s">
        <v>484</v>
      </c>
      <c r="B129" t="s">
        <v>219</v>
      </c>
      <c r="C129" t="s">
        <v>199</v>
      </c>
      <c r="D129">
        <v>3</v>
      </c>
      <c r="E129" s="6">
        <v>1.1111111111111112</v>
      </c>
      <c r="F129" s="6">
        <v>1.1108087679516252</v>
      </c>
      <c r="G129" s="6">
        <v>1.1100529100529102</v>
      </c>
      <c r="H129" s="6">
        <v>1.1092970521541952</v>
      </c>
      <c r="I129" s="6">
        <v>1.1085411942554799</v>
      </c>
      <c r="J129" s="6">
        <v>1.1077853363567649</v>
      </c>
      <c r="K129" s="6">
        <v>1.1070294784580499</v>
      </c>
      <c r="L129" s="6">
        <v>1.1062736205593349</v>
      </c>
    </row>
    <row r="130" spans="1:12">
      <c r="A130" t="s">
        <v>484</v>
      </c>
      <c r="B130" t="s">
        <v>206</v>
      </c>
      <c r="C130" t="s">
        <v>197</v>
      </c>
      <c r="D130">
        <v>1</v>
      </c>
      <c r="E130" s="6">
        <v>1.2195121951219512</v>
      </c>
      <c r="F130" s="6">
        <v>1.2189148830263812</v>
      </c>
      <c r="G130" s="6">
        <v>1.2174216027874565</v>
      </c>
      <c r="H130" s="6">
        <v>1.2159283225485316</v>
      </c>
      <c r="I130" s="6">
        <v>1.2144350423096069</v>
      </c>
      <c r="J130" s="6">
        <v>1.2129417620706819</v>
      </c>
      <c r="K130" s="6">
        <v>1.211448481831757</v>
      </c>
      <c r="L130" s="6">
        <v>1.2099552015928323</v>
      </c>
    </row>
    <row r="131" spans="1:12">
      <c r="A131" t="s">
        <v>484</v>
      </c>
      <c r="B131" t="s">
        <v>206</v>
      </c>
      <c r="C131" t="s">
        <v>198</v>
      </c>
      <c r="D131">
        <v>2</v>
      </c>
      <c r="E131" s="6">
        <v>1.2195121951219512</v>
      </c>
      <c r="F131" s="6">
        <v>1.2189148830263812</v>
      </c>
      <c r="G131" s="6">
        <v>1.2174216027874565</v>
      </c>
      <c r="H131" s="6">
        <v>1.2159283225485316</v>
      </c>
      <c r="I131" s="6">
        <v>1.2144350423096069</v>
      </c>
      <c r="J131" s="6">
        <v>1.2129417620706819</v>
      </c>
      <c r="K131" s="6">
        <v>1.211448481831757</v>
      </c>
      <c r="L131" s="6">
        <v>1.2099552015928323</v>
      </c>
    </row>
    <row r="132" spans="1:12">
      <c r="A132" t="s">
        <v>484</v>
      </c>
      <c r="B132" t="s">
        <v>206</v>
      </c>
      <c r="C132" s="6" t="s">
        <v>199</v>
      </c>
      <c r="D132">
        <v>3</v>
      </c>
      <c r="E132" s="6">
        <v>1.2195121951219512</v>
      </c>
      <c r="F132" s="6">
        <v>1.2189148830263812</v>
      </c>
      <c r="G132" s="6">
        <v>1.2174216027874565</v>
      </c>
      <c r="H132" s="6">
        <v>1.2159283225485316</v>
      </c>
      <c r="I132" s="6">
        <v>1.2144350423096069</v>
      </c>
      <c r="J132" s="6">
        <v>1.2129417620706819</v>
      </c>
      <c r="K132" s="6">
        <v>1.211448481831757</v>
      </c>
      <c r="L132" s="6">
        <v>1.2099552015928323</v>
      </c>
    </row>
    <row r="133" spans="1:12">
      <c r="A133" t="s">
        <v>484</v>
      </c>
      <c r="B133" t="s">
        <v>210</v>
      </c>
      <c r="C133" s="6" t="s">
        <v>237</v>
      </c>
      <c r="D133">
        <v>1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</row>
    <row r="134" spans="1:12">
      <c r="A134" s="6" t="s">
        <v>484</v>
      </c>
      <c r="B134" s="6" t="s">
        <v>267</v>
      </c>
      <c r="C134" s="6" t="s">
        <v>140</v>
      </c>
      <c r="D134" s="6">
        <v>1</v>
      </c>
      <c r="E134" s="6">
        <v>1.1764705882352942</v>
      </c>
      <c r="F134" s="6">
        <v>1.1235694277711081</v>
      </c>
      <c r="G134" s="6">
        <v>1.1039359333476979</v>
      </c>
      <c r="H134" s="6">
        <v>1.0973127712623509</v>
      </c>
      <c r="I134" s="6">
        <v>1.0928750987574516</v>
      </c>
      <c r="J134" s="6">
        <v>1.0895045197566204</v>
      </c>
      <c r="K134" s="6">
        <v>1.0866546618647457</v>
      </c>
      <c r="L134" s="6">
        <v>1.0838304552590265</v>
      </c>
    </row>
    <row r="135" spans="1:12">
      <c r="A135" t="s">
        <v>484</v>
      </c>
      <c r="B135" t="s">
        <v>202</v>
      </c>
      <c r="C135" t="s">
        <v>151</v>
      </c>
      <c r="D135">
        <v>1</v>
      </c>
      <c r="E135" s="6">
        <v>1.3333333333333333</v>
      </c>
      <c r="F135" s="6">
        <v>1.3324263038548751</v>
      </c>
      <c r="G135" s="6">
        <v>1.3301587301587301</v>
      </c>
      <c r="H135" s="6">
        <v>1.327891156462585</v>
      </c>
      <c r="I135" s="6">
        <v>1.3256235827664398</v>
      </c>
      <c r="J135" s="6">
        <v>1.3233560090702947</v>
      </c>
      <c r="K135" s="6">
        <v>1.3210884353741497</v>
      </c>
      <c r="L135" s="6">
        <v>1.3188208616780044</v>
      </c>
    </row>
    <row r="136" spans="1:12">
      <c r="A136" t="s">
        <v>484</v>
      </c>
      <c r="B136" t="s">
        <v>204</v>
      </c>
      <c r="C136" t="s">
        <v>151</v>
      </c>
      <c r="D136">
        <v>1</v>
      </c>
      <c r="E136" s="6">
        <v>1.6666666666666667</v>
      </c>
      <c r="F136" s="6">
        <v>1.6648526077097507</v>
      </c>
      <c r="G136" s="6">
        <v>1.6603174603174604</v>
      </c>
      <c r="H136" s="6">
        <v>1.6557823129251701</v>
      </c>
      <c r="I136" s="6">
        <v>1.65124716553288</v>
      </c>
      <c r="J136" s="6">
        <v>1.6467120181405897</v>
      </c>
      <c r="K136" s="6">
        <v>1.6421768707482993</v>
      </c>
      <c r="L136" s="6">
        <v>1.6376417233560092</v>
      </c>
    </row>
    <row r="137" spans="1:12">
      <c r="A137" s="11" t="s">
        <v>484</v>
      </c>
      <c r="B137" t="s">
        <v>254</v>
      </c>
      <c r="C137" t="s">
        <v>151</v>
      </c>
      <c r="D137">
        <v>1</v>
      </c>
      <c r="E137" s="6">
        <v>1.6666666666666667</v>
      </c>
      <c r="F137" s="6">
        <v>1.6648526077097507</v>
      </c>
      <c r="G137" s="6">
        <v>1.6603174603174604</v>
      </c>
      <c r="H137" s="6">
        <v>1.6557823129251701</v>
      </c>
      <c r="I137" s="6">
        <v>1.65124716553288</v>
      </c>
      <c r="J137" s="6">
        <v>1.6467120181405897</v>
      </c>
      <c r="K137" s="6">
        <v>1.6421768707482993</v>
      </c>
      <c r="L137" s="6">
        <v>1.6376417233560092</v>
      </c>
    </row>
    <row r="138" spans="1:12">
      <c r="A138" t="s">
        <v>484</v>
      </c>
      <c r="B138" t="s">
        <v>230</v>
      </c>
      <c r="C138" s="6" t="s">
        <v>24</v>
      </c>
      <c r="D138">
        <v>1</v>
      </c>
      <c r="E138" s="6">
        <v>2.2200000000000002</v>
      </c>
      <c r="F138" s="6">
        <v>2.2200000000000002</v>
      </c>
      <c r="G138" s="6">
        <v>2.2200000000000002</v>
      </c>
      <c r="H138" s="6">
        <v>2.2200000000000002</v>
      </c>
      <c r="I138" s="6">
        <v>2.2200000000000002</v>
      </c>
      <c r="J138" s="6">
        <v>2.2200000000000002</v>
      </c>
      <c r="K138" s="6">
        <v>2.2200000000000002</v>
      </c>
      <c r="L138" s="6">
        <v>2.2200000000000002</v>
      </c>
    </row>
    <row r="139" spans="1:12">
      <c r="A139" t="s">
        <v>484</v>
      </c>
      <c r="B139" t="s">
        <v>231</v>
      </c>
      <c r="C139" s="6" t="s">
        <v>24</v>
      </c>
      <c r="D139">
        <v>1</v>
      </c>
      <c r="E139" s="6">
        <v>2.2200000000000002</v>
      </c>
      <c r="F139" s="6">
        <v>2.2200000000000002</v>
      </c>
      <c r="G139" s="6">
        <v>2.2200000000000002</v>
      </c>
      <c r="H139" s="6">
        <v>2.2200000000000002</v>
      </c>
      <c r="I139" s="6">
        <v>2.2200000000000002</v>
      </c>
      <c r="J139" s="6">
        <v>2.2200000000000002</v>
      </c>
      <c r="K139" s="6">
        <v>2.2200000000000002</v>
      </c>
      <c r="L139" s="6">
        <v>2.2200000000000002</v>
      </c>
    </row>
    <row r="140" spans="1:12">
      <c r="A140" t="s">
        <v>484</v>
      </c>
      <c r="B140" t="s">
        <v>203</v>
      </c>
      <c r="C140" t="s">
        <v>152</v>
      </c>
      <c r="D140">
        <v>1</v>
      </c>
      <c r="E140" s="6">
        <v>1.3333333333333333</v>
      </c>
      <c r="F140" s="6">
        <v>1.3324263038548751</v>
      </c>
      <c r="G140" s="6">
        <v>1.3301587301587301</v>
      </c>
      <c r="H140" s="6">
        <v>1.327891156462585</v>
      </c>
      <c r="I140" s="6">
        <v>1.3256235827664398</v>
      </c>
      <c r="J140" s="6">
        <v>1.3233560090702947</v>
      </c>
      <c r="K140" s="6">
        <v>1.3210884353741497</v>
      </c>
      <c r="L140" s="6">
        <v>1.3188208616780044</v>
      </c>
    </row>
    <row r="141" spans="1:12">
      <c r="A141" t="s">
        <v>484</v>
      </c>
      <c r="B141" t="s">
        <v>227</v>
      </c>
      <c r="C141" t="s">
        <v>152</v>
      </c>
      <c r="D141">
        <v>1</v>
      </c>
      <c r="E141" s="6">
        <v>1.6666666666666667</v>
      </c>
      <c r="F141" s="6">
        <v>1.6648526077097507</v>
      </c>
      <c r="G141" s="6">
        <v>1.6603174603174604</v>
      </c>
      <c r="H141" s="6">
        <v>1.6557823129251701</v>
      </c>
      <c r="I141" s="6">
        <v>1.65124716553288</v>
      </c>
      <c r="J141" s="6">
        <v>1.6467120181405897</v>
      </c>
      <c r="K141" s="6">
        <v>1.6421768707482993</v>
      </c>
      <c r="L141" s="6">
        <v>1.6376417233560092</v>
      </c>
    </row>
    <row r="142" spans="1:12">
      <c r="A142" s="11" t="s">
        <v>484</v>
      </c>
      <c r="B142" t="s">
        <v>255</v>
      </c>
      <c r="C142" t="s">
        <v>152</v>
      </c>
      <c r="D142">
        <v>1</v>
      </c>
      <c r="E142" s="6">
        <v>1.6666666666666667</v>
      </c>
      <c r="F142" s="6">
        <v>1.6648526077097507</v>
      </c>
      <c r="G142" s="6">
        <v>1.6603174603174604</v>
      </c>
      <c r="H142" s="6">
        <v>1.6557823129251701</v>
      </c>
      <c r="I142" s="6">
        <v>1.65124716553288</v>
      </c>
      <c r="J142" s="6">
        <v>1.6467120181405897</v>
      </c>
      <c r="K142" s="6">
        <v>1.6421768707482993</v>
      </c>
      <c r="L142" s="6">
        <v>1.6376417233560092</v>
      </c>
    </row>
    <row r="143" spans="1:12">
      <c r="A143" t="s">
        <v>484</v>
      </c>
      <c r="B143" t="s">
        <v>220</v>
      </c>
      <c r="C143" s="6" t="s">
        <v>138</v>
      </c>
      <c r="D143">
        <v>1</v>
      </c>
      <c r="E143" s="6">
        <v>1.1764705882352942</v>
      </c>
      <c r="F143" s="6">
        <v>1.1759903961584635</v>
      </c>
      <c r="G143" s="6">
        <v>1.1747899159663866</v>
      </c>
      <c r="H143" s="6">
        <v>1.1735894357743097</v>
      </c>
      <c r="I143" s="6">
        <v>1.1723889555822329</v>
      </c>
      <c r="J143" s="6">
        <v>1.171188475390156</v>
      </c>
      <c r="K143" s="6">
        <v>1.1699879951980794</v>
      </c>
      <c r="L143" s="6">
        <v>1.1687875150060025</v>
      </c>
    </row>
    <row r="144" spans="1:12">
      <c r="A144" t="s">
        <v>484</v>
      </c>
      <c r="B144" t="s">
        <v>229</v>
      </c>
      <c r="C144" s="6" t="s">
        <v>168</v>
      </c>
      <c r="D144">
        <v>1</v>
      </c>
      <c r="E144" s="6">
        <v>0.16582635717909688</v>
      </c>
      <c r="F144" s="6">
        <v>0.16496492155738729</v>
      </c>
      <c r="G144" s="6">
        <v>0.1628113325031133</v>
      </c>
      <c r="H144" s="6">
        <v>0.16065774344883932</v>
      </c>
      <c r="I144" s="6">
        <v>0.15850415439456533</v>
      </c>
      <c r="J144" s="6">
        <v>0.15635056534029135</v>
      </c>
      <c r="K144" s="6">
        <v>0.15419697628601736</v>
      </c>
      <c r="L144" s="6">
        <v>0.15204338723174338</v>
      </c>
    </row>
    <row r="145" spans="1:12">
      <c r="A145" t="s">
        <v>484</v>
      </c>
      <c r="B145" t="s">
        <v>118</v>
      </c>
      <c r="C145" s="6" t="s">
        <v>198</v>
      </c>
      <c r="D145">
        <v>2</v>
      </c>
      <c r="E145" s="6">
        <v>1.1111111111111112</v>
      </c>
      <c r="F145" s="6">
        <v>1.1108087679516252</v>
      </c>
      <c r="G145" s="6">
        <v>1.1100529100529102</v>
      </c>
      <c r="H145" s="6">
        <v>1.1092970521541952</v>
      </c>
      <c r="I145" s="6">
        <v>1.1085411942554799</v>
      </c>
      <c r="J145" s="6">
        <v>1.1077853363567649</v>
      </c>
      <c r="K145" s="6">
        <v>1.1070294784580499</v>
      </c>
      <c r="L145" s="6">
        <v>1.1062736205593349</v>
      </c>
    </row>
    <row r="146" spans="1:12">
      <c r="A146" t="s">
        <v>484</v>
      </c>
      <c r="B146" t="s">
        <v>118</v>
      </c>
      <c r="C146" s="6" t="s">
        <v>199</v>
      </c>
      <c r="D146">
        <v>3</v>
      </c>
      <c r="E146" s="6">
        <v>1.1111111111111112</v>
      </c>
      <c r="F146" s="6">
        <v>1.1108087679516252</v>
      </c>
      <c r="G146" s="6">
        <v>1.1100529100529102</v>
      </c>
      <c r="H146" s="6">
        <v>1.1092970521541952</v>
      </c>
      <c r="I146" s="6">
        <v>1.1085411942554799</v>
      </c>
      <c r="J146" s="6">
        <v>1.1077853363567649</v>
      </c>
      <c r="K146" s="6">
        <v>1.1070294784580499</v>
      </c>
      <c r="L146" s="6">
        <v>1.1062736205593349</v>
      </c>
    </row>
    <row r="147" spans="1:12">
      <c r="A147" t="s">
        <v>484</v>
      </c>
      <c r="B147" t="s">
        <v>223</v>
      </c>
      <c r="C147" t="s">
        <v>141</v>
      </c>
      <c r="D147">
        <v>1</v>
      </c>
      <c r="E147" s="6">
        <v>1.3574660633484159</v>
      </c>
      <c r="F147" s="6">
        <v>1.355609096785567</v>
      </c>
      <c r="G147" s="6">
        <v>1.3509666803784448</v>
      </c>
      <c r="H147" s="6">
        <v>1.3463242639713224</v>
      </c>
      <c r="I147" s="6">
        <v>1.3416818475642001</v>
      </c>
      <c r="J147" s="6">
        <v>1.3370394311570779</v>
      </c>
      <c r="K147" s="6">
        <v>1.3323970147499555</v>
      </c>
      <c r="L147" s="6">
        <v>1.3277545983428332</v>
      </c>
    </row>
    <row r="148" spans="1:12">
      <c r="A148" t="s">
        <v>484</v>
      </c>
      <c r="B148" t="s">
        <v>225</v>
      </c>
      <c r="C148" t="s">
        <v>197</v>
      </c>
      <c r="D148">
        <v>1</v>
      </c>
      <c r="E148" s="6">
        <v>1.0989010989010988</v>
      </c>
      <c r="F148" s="6">
        <v>1.0986319802646332</v>
      </c>
      <c r="G148" s="6">
        <v>1.0979591836734692</v>
      </c>
      <c r="H148" s="6">
        <v>1.0972863870823053</v>
      </c>
      <c r="I148" s="6">
        <v>1.0966135904911414</v>
      </c>
      <c r="J148" s="6">
        <v>1.0959407938999775</v>
      </c>
      <c r="K148" s="6">
        <v>1.0952679973088135</v>
      </c>
      <c r="L148" s="6">
        <v>1.0945952007176496</v>
      </c>
    </row>
    <row r="149" spans="1:12">
      <c r="A149" t="s">
        <v>484</v>
      </c>
      <c r="B149" t="s">
        <v>225</v>
      </c>
      <c r="C149" s="6" t="s">
        <v>198</v>
      </c>
      <c r="D149">
        <v>2</v>
      </c>
      <c r="E149" s="6">
        <v>1.0989010989010988</v>
      </c>
      <c r="F149" s="6">
        <v>1.0986319802646332</v>
      </c>
      <c r="G149" s="6">
        <v>1.0979591836734692</v>
      </c>
      <c r="H149" s="6">
        <v>1.0972863870823053</v>
      </c>
      <c r="I149" s="6">
        <v>1.0966135904911414</v>
      </c>
      <c r="J149" s="6">
        <v>1.0959407938999775</v>
      </c>
      <c r="K149" s="6">
        <v>1.0952679973088135</v>
      </c>
      <c r="L149" s="6">
        <v>1.0945952007176496</v>
      </c>
    </row>
    <row r="150" spans="1:12">
      <c r="A150" t="s">
        <v>484</v>
      </c>
      <c r="B150" t="s">
        <v>225</v>
      </c>
      <c r="C150" t="s">
        <v>199</v>
      </c>
      <c r="D150">
        <v>3</v>
      </c>
      <c r="E150" s="6">
        <v>1.0989010989010988</v>
      </c>
      <c r="F150" s="6">
        <v>1.0986319802646332</v>
      </c>
      <c r="G150" s="6">
        <v>1.0979591836734692</v>
      </c>
      <c r="H150" s="6">
        <v>1.0972863870823053</v>
      </c>
      <c r="I150" s="6">
        <v>1.0966135904911414</v>
      </c>
      <c r="J150" s="6">
        <v>1.0959407938999775</v>
      </c>
      <c r="K150" s="6">
        <v>1.0952679973088135</v>
      </c>
      <c r="L150" s="6">
        <v>1.0945952007176496</v>
      </c>
    </row>
    <row r="151" spans="1:12">
      <c r="A151" s="11" t="s">
        <v>484</v>
      </c>
      <c r="B151" t="s">
        <v>258</v>
      </c>
      <c r="C151" t="s">
        <v>197</v>
      </c>
      <c r="D151">
        <v>1</v>
      </c>
      <c r="E151" s="6">
        <v>1.0989010989010988</v>
      </c>
      <c r="F151" s="6">
        <v>1.0986319802646332</v>
      </c>
      <c r="G151" s="6">
        <v>1.0979591836734692</v>
      </c>
      <c r="H151" s="6">
        <v>1.0972863870823053</v>
      </c>
      <c r="I151" s="6">
        <v>1.0966135904911414</v>
      </c>
      <c r="J151" s="6">
        <v>1.0959407938999775</v>
      </c>
      <c r="K151" s="6">
        <v>1.0952679973088135</v>
      </c>
      <c r="L151" s="6">
        <v>1.0945952007176496</v>
      </c>
    </row>
    <row r="152" spans="1:12">
      <c r="A152" t="s">
        <v>484</v>
      </c>
      <c r="B152" t="s">
        <v>236</v>
      </c>
      <c r="C152" t="s">
        <v>140</v>
      </c>
      <c r="D152">
        <v>1</v>
      </c>
      <c r="E152" s="6">
        <v>1.0989010989010988</v>
      </c>
      <c r="F152" s="6">
        <v>1.0979591836734692</v>
      </c>
      <c r="G152" s="6">
        <v>1.0956043956043955</v>
      </c>
      <c r="H152" s="6">
        <v>1.0932496075353217</v>
      </c>
      <c r="I152" s="6">
        <v>1.090894819466248</v>
      </c>
      <c r="J152" s="6">
        <v>1.0885400313971743</v>
      </c>
      <c r="K152" s="6">
        <v>1.0861852433281003</v>
      </c>
      <c r="L152" s="6">
        <v>1.0838304552590265</v>
      </c>
    </row>
    <row r="153" spans="1:12">
      <c r="A153" t="s">
        <v>484</v>
      </c>
      <c r="B153" t="s">
        <v>224</v>
      </c>
      <c r="C153" t="s">
        <v>151</v>
      </c>
      <c r="D153">
        <v>1</v>
      </c>
      <c r="E153" s="6">
        <v>1.416361416361416</v>
      </c>
      <c r="F153" s="6">
        <v>1.4152284601264189</v>
      </c>
      <c r="G153" s="6">
        <v>1.4123960695389264</v>
      </c>
      <c r="H153" s="6">
        <v>1.4095636789514336</v>
      </c>
      <c r="I153" s="6">
        <v>1.4067312883639411</v>
      </c>
      <c r="J153" s="6">
        <v>1.4038988977764484</v>
      </c>
      <c r="K153" s="6">
        <v>1.4010665071889559</v>
      </c>
      <c r="L153" s="6">
        <v>1.3982341166014631</v>
      </c>
    </row>
    <row r="154" spans="1:12">
      <c r="A154" s="11" t="s">
        <v>484</v>
      </c>
      <c r="B154" t="s">
        <v>259</v>
      </c>
      <c r="C154" t="s">
        <v>151</v>
      </c>
      <c r="D154">
        <v>1</v>
      </c>
      <c r="E154" s="6">
        <v>1.416361416361416</v>
      </c>
      <c r="F154" s="6">
        <v>1.4152284601264189</v>
      </c>
      <c r="G154" s="6">
        <v>1.4123960695389264</v>
      </c>
      <c r="H154" s="6">
        <v>1.4095636789514336</v>
      </c>
      <c r="I154" s="6">
        <v>1.4067312883639411</v>
      </c>
      <c r="J154" s="6">
        <v>1.4038988977764484</v>
      </c>
      <c r="K154" s="6">
        <v>1.4010665071889559</v>
      </c>
      <c r="L154" s="6">
        <v>1.3982341166014631</v>
      </c>
    </row>
    <row r="155" spans="1:12">
      <c r="A155" t="s">
        <v>484</v>
      </c>
      <c r="B155" t="s">
        <v>226</v>
      </c>
      <c r="C155" t="s">
        <v>138</v>
      </c>
      <c r="D155">
        <v>1</v>
      </c>
      <c r="E155" s="6">
        <v>1.6772700983227298</v>
      </c>
      <c r="F155" s="6">
        <v>1.675427186490559</v>
      </c>
      <c r="G155" s="6">
        <v>1.6708199069101324</v>
      </c>
      <c r="H155" s="6">
        <v>1.6662126273297058</v>
      </c>
      <c r="I155" s="6">
        <v>1.6616053477492789</v>
      </c>
      <c r="J155" s="6">
        <v>1.6569980681688521</v>
      </c>
      <c r="K155" s="6">
        <v>1.6523907885884253</v>
      </c>
      <c r="L155" s="6">
        <v>1.6477835090079986</v>
      </c>
    </row>
    <row r="156" spans="1:12">
      <c r="A156" t="s">
        <v>484</v>
      </c>
      <c r="B156" t="s">
        <v>235</v>
      </c>
      <c r="C156" t="s">
        <v>24</v>
      </c>
      <c r="D156">
        <v>1</v>
      </c>
      <c r="E156" s="6">
        <v>1.0309278350515465</v>
      </c>
      <c r="F156" s="6">
        <v>1.0307671709733566</v>
      </c>
      <c r="G156" s="6">
        <v>1.030365510777882</v>
      </c>
      <c r="H156" s="6">
        <v>1.0299638505824074</v>
      </c>
      <c r="I156" s="6">
        <v>1.0295621903869328</v>
      </c>
      <c r="J156" s="6">
        <v>1.0291605301914581</v>
      </c>
      <c r="K156" s="6">
        <v>1.0287588699959835</v>
      </c>
      <c r="L156" s="6">
        <v>1.0283572098005089</v>
      </c>
    </row>
    <row r="157" spans="1:12">
      <c r="A157" t="s">
        <v>484</v>
      </c>
      <c r="B157" s="13" t="s">
        <v>158</v>
      </c>
      <c r="C157" s="6" t="s">
        <v>141</v>
      </c>
      <c r="D157" s="6">
        <v>1</v>
      </c>
      <c r="E157" s="6">
        <v>2.9411764705882351</v>
      </c>
      <c r="F157" s="6">
        <v>2.8597290801021069</v>
      </c>
      <c r="G157" s="6">
        <v>2.7650189122212079</v>
      </c>
      <c r="H157" s="6">
        <v>2.6721720173657042</v>
      </c>
      <c r="I157" s="6">
        <v>2.5811883955355972</v>
      </c>
      <c r="J157" s="6">
        <v>2.4920680467308873</v>
      </c>
      <c r="K157" s="6">
        <v>2.4048109709515728</v>
      </c>
      <c r="L157" s="6">
        <v>2.3194171681976559</v>
      </c>
    </row>
    <row r="158" spans="1:12">
      <c r="A158" t="s">
        <v>484</v>
      </c>
      <c r="B158" t="s">
        <v>194</v>
      </c>
      <c r="C158" t="s">
        <v>141</v>
      </c>
      <c r="D158">
        <v>1</v>
      </c>
      <c r="E158" s="6">
        <v>2.9411764705882351</v>
      </c>
      <c r="F158" s="6">
        <v>2.8474953617810761</v>
      </c>
      <c r="G158" s="6">
        <v>2.7838668373879645</v>
      </c>
      <c r="H158" s="6">
        <v>1.645887445887446</v>
      </c>
      <c r="I158" s="6">
        <v>2.6275184275184271</v>
      </c>
      <c r="J158" s="6">
        <v>2.5383458646616543</v>
      </c>
      <c r="K158" s="6">
        <v>2.5171565276828436</v>
      </c>
      <c r="L158" s="6">
        <v>2.4959671907040328</v>
      </c>
    </row>
    <row r="159" spans="1:12">
      <c r="A159" t="s">
        <v>484</v>
      </c>
      <c r="B159" s="13" t="s">
        <v>103</v>
      </c>
      <c r="C159" t="s">
        <v>151</v>
      </c>
      <c r="D159" s="6">
        <v>1</v>
      </c>
      <c r="E159" s="6">
        <v>2.2222222222222223</v>
      </c>
      <c r="F159" s="6">
        <v>2.1707187222715172</v>
      </c>
      <c r="G159" s="6">
        <v>2.1169199594731509</v>
      </c>
      <c r="H159" s="6">
        <v>2.0656462585034014</v>
      </c>
      <c r="I159" s="6">
        <v>2.0582766439909301</v>
      </c>
      <c r="J159" s="6">
        <v>2.0096626405664306</v>
      </c>
      <c r="K159" s="6">
        <v>2.0025822573927528</v>
      </c>
      <c r="L159" s="6">
        <v>1.9955018742190753</v>
      </c>
    </row>
    <row r="160" spans="1:12">
      <c r="A160" s="11" t="s">
        <v>484</v>
      </c>
      <c r="B160" t="s">
        <v>251</v>
      </c>
      <c r="C160" t="s">
        <v>151</v>
      </c>
      <c r="D160">
        <v>1</v>
      </c>
      <c r="E160" s="6">
        <v>2.6315789473684212</v>
      </c>
      <c r="F160" s="6">
        <v>2.6271392767633373</v>
      </c>
      <c r="G160" s="6">
        <v>2.6160401002506268</v>
      </c>
      <c r="H160" s="6">
        <v>2.6049409237379164</v>
      </c>
      <c r="I160" s="6">
        <v>2.593841747225206</v>
      </c>
      <c r="J160" s="6">
        <v>2.5827425707124956</v>
      </c>
      <c r="K160" s="6">
        <v>2.5716433941997856</v>
      </c>
      <c r="L160" s="6">
        <v>2.5605442176870747</v>
      </c>
    </row>
    <row r="161" spans="1:16">
      <c r="A161" t="s">
        <v>484</v>
      </c>
      <c r="B161" s="13" t="s">
        <v>102</v>
      </c>
      <c r="C161" s="6" t="s">
        <v>152</v>
      </c>
      <c r="D161" s="6">
        <v>1</v>
      </c>
      <c r="E161" s="6">
        <v>2.3809523809523809</v>
      </c>
      <c r="F161" s="6">
        <v>2.2188964474678761</v>
      </c>
      <c r="G161" s="6">
        <v>2.1627329192546583</v>
      </c>
      <c r="H161" s="6">
        <v>2.1092488059053407</v>
      </c>
      <c r="I161" s="6">
        <v>2.1015776523375305</v>
      </c>
      <c r="J161" s="6">
        <v>2.0939064987697207</v>
      </c>
      <c r="K161" s="6">
        <v>2.0862353452019105</v>
      </c>
      <c r="L161" s="6">
        <v>2.0785641916341007</v>
      </c>
    </row>
    <row r="162" spans="1:16">
      <c r="A162" s="11" t="s">
        <v>484</v>
      </c>
      <c r="B162" t="s">
        <v>252</v>
      </c>
      <c r="C162" t="s">
        <v>152</v>
      </c>
      <c r="D162">
        <v>1</v>
      </c>
      <c r="E162" s="6">
        <v>2.7027027027027026</v>
      </c>
      <c r="F162" s="6">
        <v>2.6980694980694979</v>
      </c>
      <c r="G162" s="6">
        <v>2.6864864864864866</v>
      </c>
      <c r="H162" s="6">
        <v>2.6749034749034748</v>
      </c>
      <c r="I162" s="6">
        <v>2.6633204633204635</v>
      </c>
      <c r="J162" s="6">
        <v>2.6517374517374517</v>
      </c>
      <c r="K162" s="6">
        <v>2.6401544401544399</v>
      </c>
      <c r="L162" s="6">
        <v>2.6285714285714286</v>
      </c>
    </row>
    <row r="163" spans="1:16">
      <c r="A163" t="s">
        <v>484</v>
      </c>
      <c r="B163" s="13" t="s">
        <v>22</v>
      </c>
      <c r="C163" s="6" t="s">
        <v>197</v>
      </c>
      <c r="D163" s="6">
        <v>1</v>
      </c>
      <c r="E163" s="6">
        <v>1.7241379310344829</v>
      </c>
      <c r="F163" s="6">
        <v>1.6648526077097507</v>
      </c>
      <c r="G163" s="6">
        <v>1.6332552693208431</v>
      </c>
      <c r="H163" s="6">
        <v>1.6028966425279791</v>
      </c>
      <c r="I163" s="6">
        <v>1.5987272328286153</v>
      </c>
      <c r="J163" s="6">
        <v>1.5945578231292519</v>
      </c>
      <c r="K163" s="6">
        <v>1.5779591836734694</v>
      </c>
      <c r="L163" s="6">
        <v>1.5617319943850556</v>
      </c>
    </row>
    <row r="164" spans="1:16">
      <c r="A164" t="s">
        <v>484</v>
      </c>
      <c r="B164" t="s">
        <v>22</v>
      </c>
      <c r="C164" s="6" t="s">
        <v>198</v>
      </c>
      <c r="D164">
        <v>2</v>
      </c>
      <c r="E164" s="6">
        <v>1.7241379310344829</v>
      </c>
      <c r="F164" s="6">
        <v>1.6648526077097507</v>
      </c>
      <c r="G164" s="6">
        <v>1.6332552693208431</v>
      </c>
      <c r="H164" s="6">
        <v>1.6028966425279791</v>
      </c>
      <c r="I164" s="6">
        <v>1.5987272328286153</v>
      </c>
      <c r="J164" s="6">
        <v>1.5945578231292519</v>
      </c>
      <c r="K164" s="6">
        <v>1.5779591836734694</v>
      </c>
      <c r="L164" s="6">
        <v>1.5617319943850556</v>
      </c>
    </row>
    <row r="165" spans="1:16">
      <c r="A165" t="s">
        <v>484</v>
      </c>
      <c r="B165" t="s">
        <v>22</v>
      </c>
      <c r="C165" s="6" t="s">
        <v>199</v>
      </c>
      <c r="D165">
        <v>3</v>
      </c>
      <c r="E165" s="6">
        <v>1.7241379310344829</v>
      </c>
      <c r="F165" s="6">
        <v>1.6648526077097507</v>
      </c>
      <c r="G165" s="6">
        <v>1.6332552693208431</v>
      </c>
      <c r="H165" s="6">
        <v>1.6028966425279791</v>
      </c>
      <c r="I165" s="6">
        <v>1.5987272328286153</v>
      </c>
      <c r="J165" s="6">
        <v>1.5945578231292519</v>
      </c>
      <c r="K165" s="6">
        <v>1.5779591836734694</v>
      </c>
      <c r="L165" s="6">
        <v>1.5617319943850556</v>
      </c>
    </row>
    <row r="166" spans="1:16">
      <c r="A166" t="s">
        <v>484</v>
      </c>
      <c r="B166" s="6" t="s">
        <v>449</v>
      </c>
      <c r="C166" s="6" t="s">
        <v>197</v>
      </c>
      <c r="D166" s="6">
        <v>1</v>
      </c>
      <c r="E166" s="6">
        <v>1.7241379310344829</v>
      </c>
      <c r="F166" s="6">
        <v>1.6666666666666667</v>
      </c>
      <c r="G166" s="6">
        <v>1.639344262295082</v>
      </c>
      <c r="H166" s="6">
        <v>1.6129032258064517</v>
      </c>
      <c r="I166" s="6">
        <v>1.6129032258064517</v>
      </c>
      <c r="J166" s="6">
        <v>1.6129032258064517</v>
      </c>
      <c r="K166" s="6">
        <v>1.6</v>
      </c>
      <c r="L166" s="6">
        <v>1.5873015873015872</v>
      </c>
      <c r="P166" s="6" t="s">
        <v>458</v>
      </c>
    </row>
    <row r="167" spans="1:16">
      <c r="A167" t="s">
        <v>484</v>
      </c>
      <c r="B167" s="6" t="s">
        <v>449</v>
      </c>
      <c r="C167" s="6" t="s">
        <v>198</v>
      </c>
      <c r="D167" s="6">
        <v>2</v>
      </c>
      <c r="E167" s="6">
        <v>1.7241379310344829</v>
      </c>
      <c r="F167" s="6">
        <v>1.6666666666666667</v>
      </c>
      <c r="G167" s="6">
        <v>1.639344262295082</v>
      </c>
      <c r="H167" s="6">
        <v>1.6129032258064517</v>
      </c>
      <c r="I167" s="6">
        <v>1.6129032258064517</v>
      </c>
      <c r="J167" s="6">
        <v>1.6129032258064517</v>
      </c>
      <c r="K167" s="6">
        <v>1.6</v>
      </c>
      <c r="L167" s="6">
        <v>1.5873015873015872</v>
      </c>
      <c r="P167" s="6" t="s">
        <v>458</v>
      </c>
    </row>
    <row r="168" spans="1:16">
      <c r="A168" t="s">
        <v>484</v>
      </c>
      <c r="B168" s="6" t="s">
        <v>449</v>
      </c>
      <c r="C168" s="6" t="s">
        <v>199</v>
      </c>
      <c r="D168" s="6">
        <v>3</v>
      </c>
      <c r="E168" s="6">
        <v>1.7241379310344829</v>
      </c>
      <c r="F168" s="6">
        <v>1.6666666666666667</v>
      </c>
      <c r="G168" s="6">
        <v>1.639344262295082</v>
      </c>
      <c r="H168" s="6">
        <v>1.6129032258064517</v>
      </c>
      <c r="I168" s="6">
        <v>1.6129032258064517</v>
      </c>
      <c r="J168" s="6">
        <v>1.6129032258064517</v>
      </c>
      <c r="K168" s="6">
        <v>1.6</v>
      </c>
      <c r="L168" s="6">
        <v>1.5873015873015872</v>
      </c>
      <c r="P168" s="6" t="s">
        <v>458</v>
      </c>
    </row>
    <row r="169" spans="1:16">
      <c r="A169" s="11" t="s">
        <v>484</v>
      </c>
      <c r="B169" t="s">
        <v>253</v>
      </c>
      <c r="C169" t="s">
        <v>197</v>
      </c>
      <c r="D169" s="5">
        <v>1</v>
      </c>
      <c r="E169" s="6">
        <v>1.8518518518518516</v>
      </c>
      <c r="F169" s="6">
        <v>1.8495338876291254</v>
      </c>
      <c r="G169" s="6">
        <v>1.8437389770723103</v>
      </c>
      <c r="H169" s="6">
        <v>1.8379440665154949</v>
      </c>
      <c r="I169" s="6">
        <v>1.8321491559586796</v>
      </c>
      <c r="J169" s="6">
        <v>1.8263542454018644</v>
      </c>
      <c r="K169" s="6">
        <v>1.8205593348450488</v>
      </c>
      <c r="L169" s="6">
        <v>1.8147644242882337</v>
      </c>
    </row>
    <row r="170" spans="1:16">
      <c r="A170" s="11" t="s">
        <v>484</v>
      </c>
      <c r="B170" t="s">
        <v>253</v>
      </c>
      <c r="C170" t="s">
        <v>198</v>
      </c>
      <c r="D170" s="5">
        <v>2</v>
      </c>
      <c r="E170" s="6">
        <v>1.8518518518518516</v>
      </c>
      <c r="F170" s="6">
        <v>1.8495338876291254</v>
      </c>
      <c r="G170" s="6">
        <v>1.8437389770723103</v>
      </c>
      <c r="H170" s="6">
        <v>1.8379440665154949</v>
      </c>
      <c r="I170" s="6">
        <v>1.8321491559586796</v>
      </c>
      <c r="J170" s="6">
        <v>1.8263542454018644</v>
      </c>
      <c r="K170" s="6">
        <v>1.8205593348450488</v>
      </c>
      <c r="L170" s="6">
        <v>1.8147644242882337</v>
      </c>
    </row>
    <row r="171" spans="1:16">
      <c r="A171" s="11" t="s">
        <v>484</v>
      </c>
      <c r="B171" t="s">
        <v>253</v>
      </c>
      <c r="C171" t="s">
        <v>199</v>
      </c>
      <c r="D171" s="5">
        <v>3</v>
      </c>
      <c r="E171" s="6">
        <v>1.8518518518518516</v>
      </c>
      <c r="F171" s="6">
        <v>1.8495338876291254</v>
      </c>
      <c r="G171" s="6">
        <v>1.8437389770723103</v>
      </c>
      <c r="H171" s="6">
        <v>1.8379440665154949</v>
      </c>
      <c r="I171" s="6">
        <v>1.8321491559586796</v>
      </c>
      <c r="J171" s="6">
        <v>1.8263542454018644</v>
      </c>
      <c r="K171" s="6">
        <v>1.8205593348450488</v>
      </c>
      <c r="L171" s="6">
        <v>1.8147644242882337</v>
      </c>
    </row>
    <row r="172" spans="1:16">
      <c r="A172" t="s">
        <v>484</v>
      </c>
      <c r="B172" s="6" t="s">
        <v>450</v>
      </c>
      <c r="C172" s="6" t="s">
        <v>197</v>
      </c>
      <c r="D172" s="6">
        <v>1</v>
      </c>
      <c r="E172" s="6">
        <v>2.8571428571428572</v>
      </c>
      <c r="F172" s="6">
        <v>2.7777777777777777</v>
      </c>
      <c r="G172" s="6">
        <v>2.7027027027027026</v>
      </c>
      <c r="H172" s="6">
        <v>2.6315789473684212</v>
      </c>
      <c r="I172" s="6">
        <v>2.5641025641025639</v>
      </c>
      <c r="J172" s="6">
        <v>2.5641025641025639</v>
      </c>
      <c r="K172" s="6">
        <v>2.5641025641025639</v>
      </c>
      <c r="L172" s="6">
        <v>2.5641025641025639</v>
      </c>
    </row>
    <row r="173" spans="1:16">
      <c r="A173" t="s">
        <v>484</v>
      </c>
      <c r="B173" s="6" t="s">
        <v>450</v>
      </c>
      <c r="C173" s="6" t="s">
        <v>198</v>
      </c>
      <c r="D173" s="6">
        <v>2</v>
      </c>
      <c r="E173" s="6">
        <v>2.8571428571428572</v>
      </c>
      <c r="F173" s="6">
        <v>2.7777777777777777</v>
      </c>
      <c r="G173" s="6">
        <v>2.7027027027027026</v>
      </c>
      <c r="H173" s="6">
        <v>2.6315789473684212</v>
      </c>
      <c r="I173" s="6">
        <v>2.5641025641025639</v>
      </c>
      <c r="J173" s="6">
        <v>2.5641025641025639</v>
      </c>
      <c r="K173" s="6">
        <v>2.5641025641025639</v>
      </c>
      <c r="L173" s="6">
        <v>2.5641025641025639</v>
      </c>
    </row>
    <row r="174" spans="1:16">
      <c r="A174" t="s">
        <v>484</v>
      </c>
      <c r="B174" s="6" t="s">
        <v>450</v>
      </c>
      <c r="C174" s="6" t="s">
        <v>199</v>
      </c>
      <c r="D174" s="6">
        <v>3</v>
      </c>
      <c r="E174" s="6">
        <v>2.8571428571428572</v>
      </c>
      <c r="F174" s="6">
        <v>2.7777777777777777</v>
      </c>
      <c r="G174" s="6">
        <v>2.7027027027027026</v>
      </c>
      <c r="H174" s="6">
        <v>2.6315789473684212</v>
      </c>
      <c r="I174" s="6">
        <v>2.5641025641025639</v>
      </c>
      <c r="J174" s="6">
        <v>2.5641025641025639</v>
      </c>
      <c r="K174" s="6">
        <v>2.5641025641025639</v>
      </c>
      <c r="L174" s="6">
        <v>2.5641025641025639</v>
      </c>
    </row>
    <row r="175" spans="1:16">
      <c r="A175" t="s">
        <v>484</v>
      </c>
      <c r="B175" s="6" t="s">
        <v>451</v>
      </c>
      <c r="C175" s="6" t="s">
        <v>197</v>
      </c>
      <c r="D175" s="6">
        <v>1</v>
      </c>
      <c r="E175" s="6">
        <v>2.6315789473684212</v>
      </c>
      <c r="F175" s="6">
        <v>2.5</v>
      </c>
      <c r="G175" s="6">
        <v>2.3809523809523809</v>
      </c>
      <c r="H175" s="6">
        <v>2.2727272727272729</v>
      </c>
      <c r="I175" s="6">
        <v>2.2222222222222223</v>
      </c>
      <c r="J175" s="6">
        <v>2.2222222222222223</v>
      </c>
      <c r="K175" s="6">
        <v>2.2222222222222223</v>
      </c>
      <c r="L175" s="6">
        <v>2.2222222222222223</v>
      </c>
    </row>
    <row r="176" spans="1:16">
      <c r="A176" t="s">
        <v>484</v>
      </c>
      <c r="B176" s="6" t="s">
        <v>451</v>
      </c>
      <c r="C176" s="6" t="s">
        <v>198</v>
      </c>
      <c r="D176" s="6">
        <v>2</v>
      </c>
      <c r="E176" s="6">
        <v>2.6315789473684212</v>
      </c>
      <c r="F176" s="6">
        <v>2.5</v>
      </c>
      <c r="G176" s="6">
        <v>2.3809523809523809</v>
      </c>
      <c r="H176" s="6">
        <v>2.2727272727272729</v>
      </c>
      <c r="I176" s="6">
        <v>2.2222222222222223</v>
      </c>
      <c r="J176" s="6">
        <v>2.2222222222222223</v>
      </c>
      <c r="K176" s="6">
        <v>2.2222222222222223</v>
      </c>
      <c r="L176" s="6">
        <v>2.2222222222222223</v>
      </c>
    </row>
    <row r="177" spans="1:13">
      <c r="A177" t="s">
        <v>484</v>
      </c>
      <c r="B177" s="6" t="s">
        <v>451</v>
      </c>
      <c r="C177" s="6" t="s">
        <v>199</v>
      </c>
      <c r="D177" s="6">
        <v>3</v>
      </c>
      <c r="E177" s="6">
        <v>2.6315789473684212</v>
      </c>
      <c r="F177" s="6">
        <v>2.5</v>
      </c>
      <c r="G177" s="6">
        <v>2.3809523809523809</v>
      </c>
      <c r="H177" s="6">
        <v>2.2727272727272729</v>
      </c>
      <c r="I177" s="6">
        <v>2.2222222222222223</v>
      </c>
      <c r="J177" s="6">
        <v>2.2222222222222223</v>
      </c>
      <c r="K177" s="6">
        <v>2.2222222222222223</v>
      </c>
      <c r="L177" s="6">
        <v>2.2222222222222223</v>
      </c>
    </row>
    <row r="178" spans="1:13">
      <c r="A178" s="11" t="s">
        <v>484</v>
      </c>
      <c r="B178" t="s">
        <v>327</v>
      </c>
      <c r="C178" t="s">
        <v>140</v>
      </c>
      <c r="D178">
        <v>1</v>
      </c>
      <c r="E178" s="6">
        <v>2.6315789473684212</v>
      </c>
      <c r="F178" s="6">
        <v>2.4857142857142858</v>
      </c>
      <c r="G178" s="6">
        <v>2.3349206349206346</v>
      </c>
      <c r="H178" s="6">
        <v>2.2000000000000002</v>
      </c>
      <c r="I178" s="6">
        <v>2.1232804232804234</v>
      </c>
      <c r="J178" s="6">
        <v>2.0941798941798941</v>
      </c>
      <c r="K178" s="6">
        <v>2.0650793650793648</v>
      </c>
      <c r="L178" s="6">
        <v>2.035978835978836</v>
      </c>
      <c r="M178" s="5"/>
    </row>
    <row r="179" spans="1:13">
      <c r="A179" t="s">
        <v>484</v>
      </c>
      <c r="B179" s="13" t="s">
        <v>23</v>
      </c>
      <c r="C179" s="6" t="s">
        <v>139</v>
      </c>
      <c r="D179" s="6">
        <v>1</v>
      </c>
      <c r="E179" s="6">
        <v>2.7027027027027026</v>
      </c>
      <c r="F179" s="6">
        <v>2.6980694980694979</v>
      </c>
      <c r="G179" s="6">
        <v>2.6507936507936507</v>
      </c>
      <c r="H179" s="6">
        <v>2.6049409237379164</v>
      </c>
      <c r="I179" s="6">
        <v>2.4653061224489798</v>
      </c>
      <c r="J179" s="6">
        <v>2.33961775186265</v>
      </c>
      <c r="K179" s="6">
        <v>2.3302235179786202</v>
      </c>
      <c r="L179" s="6">
        <v>2.3208292840945903</v>
      </c>
    </row>
    <row r="180" spans="1:13">
      <c r="A180" t="s">
        <v>484</v>
      </c>
      <c r="B180" s="13" t="s">
        <v>56</v>
      </c>
      <c r="C180" s="6" t="s">
        <v>138</v>
      </c>
      <c r="D180" s="6">
        <v>1</v>
      </c>
      <c r="E180" s="6">
        <v>2.6315789473684212</v>
      </c>
      <c r="F180" s="6">
        <v>2.6271392767633373</v>
      </c>
      <c r="G180" s="6">
        <v>2.6160401002506268</v>
      </c>
      <c r="H180" s="6">
        <v>2.6049409237379164</v>
      </c>
      <c r="I180" s="6">
        <v>2.593841747225206</v>
      </c>
      <c r="J180" s="6">
        <v>2.5827425707124956</v>
      </c>
      <c r="K180" s="6">
        <v>2.5716433941997856</v>
      </c>
      <c r="L180" s="6">
        <v>2.5605442176870747</v>
      </c>
    </row>
    <row r="181" spans="1:13">
      <c r="A181" t="s">
        <v>484</v>
      </c>
      <c r="B181" s="13" t="s">
        <v>132</v>
      </c>
      <c r="C181" s="6" t="s">
        <v>270</v>
      </c>
      <c r="D181" s="6">
        <v>1</v>
      </c>
      <c r="E181" s="6">
        <v>1.24</v>
      </c>
      <c r="F181" s="6">
        <v>1.2338</v>
      </c>
      <c r="G181" s="6">
        <v>1.2277</v>
      </c>
      <c r="H181" s="6">
        <v>1.2215</v>
      </c>
      <c r="I181" s="6">
        <v>1.2154</v>
      </c>
      <c r="J181" s="6">
        <v>1.2094</v>
      </c>
      <c r="K181" s="6">
        <v>1.2033</v>
      </c>
      <c r="L181" s="6">
        <v>1.1973</v>
      </c>
    </row>
    <row r="182" spans="1:13">
      <c r="A182" t="s">
        <v>484</v>
      </c>
      <c r="B182" s="13" t="s">
        <v>58</v>
      </c>
      <c r="C182" s="6" t="s">
        <v>138</v>
      </c>
      <c r="D182" s="6">
        <v>1</v>
      </c>
      <c r="E182" s="6">
        <v>1.24</v>
      </c>
      <c r="F182" s="6">
        <v>1.2338</v>
      </c>
      <c r="G182" s="6">
        <v>1.2277</v>
      </c>
      <c r="H182" s="6">
        <v>1.2215</v>
      </c>
      <c r="I182" s="6">
        <v>1.2154</v>
      </c>
      <c r="J182" s="6">
        <v>1.2094</v>
      </c>
      <c r="K182" s="6">
        <v>1.2033</v>
      </c>
      <c r="L182" s="6">
        <v>1.1973</v>
      </c>
    </row>
    <row r="183" spans="1:13">
      <c r="A183" t="s">
        <v>484</v>
      </c>
      <c r="B183" s="13" t="s">
        <v>58</v>
      </c>
      <c r="C183" t="s">
        <v>299</v>
      </c>
      <c r="D183" s="6">
        <v>2</v>
      </c>
      <c r="E183" s="6">
        <v>1.24</v>
      </c>
      <c r="F183" s="6">
        <v>1.2338</v>
      </c>
      <c r="G183" s="6">
        <v>1.2277</v>
      </c>
      <c r="H183" s="6">
        <v>1.2215</v>
      </c>
      <c r="I183" s="6">
        <v>1.2154</v>
      </c>
      <c r="J183" s="6">
        <v>1.2094</v>
      </c>
      <c r="K183" s="6">
        <v>1.2033</v>
      </c>
      <c r="L183" s="6">
        <v>1.1973</v>
      </c>
    </row>
    <row r="184" spans="1:13">
      <c r="A184" t="s">
        <v>484</v>
      </c>
      <c r="B184" s="13" t="s">
        <v>128</v>
      </c>
      <c r="C184" s="6" t="s">
        <v>138</v>
      </c>
      <c r="D184" s="6">
        <v>1</v>
      </c>
      <c r="E184" s="6">
        <v>0.76</v>
      </c>
      <c r="F184" s="6">
        <v>0.75619999999999998</v>
      </c>
      <c r="G184" s="6">
        <v>0.75239999999999996</v>
      </c>
      <c r="H184" s="6">
        <v>0.74870000000000003</v>
      </c>
      <c r="I184" s="6">
        <v>0.74490000000000001</v>
      </c>
      <c r="J184" s="6">
        <v>0.74119999999999997</v>
      </c>
      <c r="K184" s="6">
        <v>0.73750000000000004</v>
      </c>
      <c r="L184" s="6">
        <v>0.73380000000000001</v>
      </c>
    </row>
    <row r="185" spans="1:13">
      <c r="A185" t="s">
        <v>484</v>
      </c>
      <c r="B185" s="13" t="s">
        <v>128</v>
      </c>
      <c r="C185" s="6" t="s">
        <v>270</v>
      </c>
      <c r="D185" s="6">
        <v>2</v>
      </c>
      <c r="E185" s="6">
        <v>0.76</v>
      </c>
      <c r="F185" s="6">
        <v>0.75619999999999998</v>
      </c>
      <c r="G185" s="6">
        <v>0.75239999999999996</v>
      </c>
      <c r="H185" s="6">
        <v>0.74870000000000003</v>
      </c>
      <c r="I185" s="6">
        <v>0.74490000000000001</v>
      </c>
      <c r="J185" s="6">
        <v>0.74119999999999997</v>
      </c>
      <c r="K185" s="6">
        <v>0.73750000000000004</v>
      </c>
      <c r="L185" s="6">
        <v>0.73380000000000001</v>
      </c>
    </row>
    <row r="186" spans="1:13">
      <c r="A186" t="s">
        <v>484</v>
      </c>
      <c r="B186" s="13" t="s">
        <v>128</v>
      </c>
      <c r="C186" s="6" t="s">
        <v>299</v>
      </c>
      <c r="D186" s="6">
        <v>3</v>
      </c>
      <c r="E186" s="6">
        <v>0.76</v>
      </c>
      <c r="F186" s="6">
        <v>0.75619999999999998</v>
      </c>
      <c r="G186" s="6">
        <v>0.75239999999999996</v>
      </c>
      <c r="H186" s="6">
        <v>0.74870000000000003</v>
      </c>
      <c r="I186" s="6">
        <v>0.74490000000000001</v>
      </c>
      <c r="J186" s="6">
        <v>0.74119999999999997</v>
      </c>
      <c r="K186" s="6">
        <v>0.73750000000000004</v>
      </c>
      <c r="L186" s="6">
        <v>0.73380000000000001</v>
      </c>
    </row>
    <row r="187" spans="1:13">
      <c r="A187" t="s">
        <v>484</v>
      </c>
      <c r="B187" s="13" t="s">
        <v>129</v>
      </c>
      <c r="C187" t="s">
        <v>24</v>
      </c>
      <c r="D187" s="6">
        <v>1</v>
      </c>
      <c r="E187" s="6">
        <v>0.33</v>
      </c>
      <c r="F187" s="6">
        <v>0.32840000000000003</v>
      </c>
      <c r="G187" s="6">
        <v>0.32669999999999999</v>
      </c>
      <c r="H187" s="6">
        <v>0.3251</v>
      </c>
      <c r="I187" s="6">
        <v>0.32350000000000001</v>
      </c>
      <c r="J187" s="6">
        <v>0.32179999999999997</v>
      </c>
      <c r="K187" s="6">
        <v>0.32019999999999998</v>
      </c>
      <c r="L187" s="6">
        <v>0.31859999999999999</v>
      </c>
    </row>
    <row r="188" spans="1:13">
      <c r="A188" t="s">
        <v>484</v>
      </c>
      <c r="B188" s="6" t="s">
        <v>60</v>
      </c>
      <c r="C188" s="6" t="s">
        <v>24</v>
      </c>
      <c r="D188" s="6">
        <v>1</v>
      </c>
      <c r="E188" s="6">
        <v>0.55000000000000004</v>
      </c>
      <c r="F188" s="6">
        <v>0.54449999999999998</v>
      </c>
      <c r="G188" s="6">
        <v>0.53910000000000002</v>
      </c>
      <c r="H188" s="6">
        <v>0.53369999999999995</v>
      </c>
      <c r="I188" s="6">
        <v>0.52839999999999998</v>
      </c>
      <c r="J188" s="6">
        <v>0.52310000000000001</v>
      </c>
      <c r="K188" s="6">
        <v>0.51790000000000003</v>
      </c>
      <c r="L188" s="6">
        <v>0.51280000000000003</v>
      </c>
    </row>
    <row r="189" spans="1:13">
      <c r="A189" t="s">
        <v>484</v>
      </c>
      <c r="B189" s="6" t="s">
        <v>123</v>
      </c>
      <c r="C189" s="6" t="s">
        <v>140</v>
      </c>
      <c r="D189" s="6">
        <v>1</v>
      </c>
      <c r="E189" s="6">
        <v>1.2</v>
      </c>
      <c r="F189" s="6">
        <v>1.1820999999999999</v>
      </c>
      <c r="G189" s="6">
        <v>1.1645000000000001</v>
      </c>
      <c r="H189" s="6">
        <v>1.1471</v>
      </c>
      <c r="I189" s="6">
        <v>1.1299999999999999</v>
      </c>
      <c r="J189" s="6">
        <v>1.1132</v>
      </c>
      <c r="K189" s="6">
        <v>1.0966</v>
      </c>
      <c r="L189" s="6">
        <v>1.0802</v>
      </c>
    </row>
    <row r="190" spans="1:13">
      <c r="A190" t="s">
        <v>484</v>
      </c>
      <c r="B190" s="6" t="s">
        <v>59</v>
      </c>
      <c r="C190" s="6" t="s">
        <v>138</v>
      </c>
      <c r="D190" s="6">
        <v>1</v>
      </c>
      <c r="E190" s="6">
        <v>1.5727999999999998</v>
      </c>
      <c r="F190" s="6">
        <v>1.5649359999999997</v>
      </c>
      <c r="G190" s="6">
        <v>1.5571843428571428</v>
      </c>
      <c r="H190" s="6">
        <v>1.5493203428571427</v>
      </c>
      <c r="I190" s="6">
        <v>1.5416810285714284</v>
      </c>
      <c r="J190" s="6">
        <v>1.5339293714285711</v>
      </c>
      <c r="K190" s="6">
        <v>1.5262900571428568</v>
      </c>
      <c r="L190" s="6">
        <v>1.5186507428571423</v>
      </c>
    </row>
    <row r="191" spans="1:13">
      <c r="A191" t="s">
        <v>484</v>
      </c>
      <c r="B191" s="6" t="s">
        <v>59</v>
      </c>
      <c r="C191" s="6" t="s">
        <v>270</v>
      </c>
      <c r="D191" s="6">
        <v>2</v>
      </c>
      <c r="E191" s="6">
        <v>1.5727999999999998</v>
      </c>
      <c r="F191" s="6">
        <v>1.5649359999999997</v>
      </c>
      <c r="G191" s="6">
        <v>1.5571843428571428</v>
      </c>
      <c r="H191" s="6">
        <v>1.5493203428571427</v>
      </c>
      <c r="I191" s="6">
        <v>1.5416810285714284</v>
      </c>
      <c r="J191" s="6">
        <v>1.5339293714285711</v>
      </c>
      <c r="K191" s="6">
        <v>1.5262900571428568</v>
      </c>
      <c r="L191" s="6">
        <v>1.5186507428571423</v>
      </c>
    </row>
    <row r="192" spans="1:13">
      <c r="A192" t="s">
        <v>484</v>
      </c>
      <c r="B192" s="6" t="s">
        <v>59</v>
      </c>
      <c r="C192" s="6" t="s">
        <v>299</v>
      </c>
      <c r="D192" s="6">
        <v>3</v>
      </c>
      <c r="E192" s="6">
        <v>1.5727999999999998</v>
      </c>
      <c r="F192" s="6">
        <v>1.5649359999999997</v>
      </c>
      <c r="G192" s="6">
        <v>1.5571843428571428</v>
      </c>
      <c r="H192" s="6">
        <v>1.5493203428571427</v>
      </c>
      <c r="I192" s="6">
        <v>1.5416810285714284</v>
      </c>
      <c r="J192" s="6">
        <v>1.5339293714285711</v>
      </c>
      <c r="K192" s="6">
        <v>1.5262900571428568</v>
      </c>
      <c r="L192" s="6">
        <v>1.5186507428571423</v>
      </c>
    </row>
    <row r="193" spans="1:12">
      <c r="A193" t="s">
        <v>484</v>
      </c>
      <c r="B193" s="6" t="s">
        <v>317</v>
      </c>
      <c r="C193" s="6" t="s">
        <v>312</v>
      </c>
      <c r="D193" s="6">
        <v>1</v>
      </c>
      <c r="E193" s="6">
        <v>1.9</v>
      </c>
      <c r="F193" s="6">
        <v>1.8811</v>
      </c>
      <c r="G193" s="6">
        <v>1.8623000000000001</v>
      </c>
      <c r="H193" s="6">
        <v>1.8438000000000001</v>
      </c>
      <c r="I193" s="6">
        <v>1.8253999999999999</v>
      </c>
      <c r="J193" s="6">
        <v>1.8071999999999999</v>
      </c>
      <c r="K193" s="6">
        <v>1.7891999999999999</v>
      </c>
      <c r="L193" s="6">
        <v>1.7714000000000001</v>
      </c>
    </row>
    <row r="194" spans="1:12">
      <c r="A194" s="6" t="s">
        <v>484</v>
      </c>
      <c r="B194" s="2" t="s">
        <v>124</v>
      </c>
      <c r="C194" t="s">
        <v>24</v>
      </c>
      <c r="D194">
        <v>1</v>
      </c>
      <c r="E194" s="6">
        <v>0.11000000000000001</v>
      </c>
      <c r="F194" s="6">
        <v>0.1089</v>
      </c>
      <c r="G194" s="6">
        <v>0.10782000000000001</v>
      </c>
      <c r="H194" s="6">
        <v>0.10674</v>
      </c>
      <c r="I194" s="6">
        <v>0.10568</v>
      </c>
      <c r="J194" s="6">
        <v>0.10462</v>
      </c>
      <c r="K194" s="6">
        <v>0.10358000000000001</v>
      </c>
      <c r="L194" s="6">
        <v>0.10256000000000001</v>
      </c>
    </row>
    <row r="195" spans="1:12">
      <c r="A195" t="s">
        <v>484</v>
      </c>
      <c r="B195" s="6" t="s">
        <v>124</v>
      </c>
      <c r="C195" s="6" t="s">
        <v>138</v>
      </c>
      <c r="D195" s="6">
        <v>1</v>
      </c>
      <c r="E195" s="6">
        <v>1.1009599999999997</v>
      </c>
      <c r="F195" s="6">
        <v>1.0954551999999997</v>
      </c>
      <c r="G195" s="6">
        <v>1.0900290399999999</v>
      </c>
      <c r="H195" s="6">
        <v>1.0845242399999999</v>
      </c>
      <c r="I195" s="6">
        <v>1.0791767199999998</v>
      </c>
      <c r="J195" s="6">
        <v>1.0737505599999997</v>
      </c>
      <c r="K195" s="6">
        <v>1.0684030399999997</v>
      </c>
      <c r="L195" s="6">
        <v>1.0630555199999996</v>
      </c>
    </row>
    <row r="196" spans="1:12">
      <c r="A196" t="s">
        <v>484</v>
      </c>
      <c r="B196" t="s">
        <v>124</v>
      </c>
      <c r="C196" s="6" t="s">
        <v>24</v>
      </c>
      <c r="D196" s="6">
        <v>2</v>
      </c>
      <c r="E196" s="6">
        <v>0.11000000000000001</v>
      </c>
      <c r="F196" s="6">
        <v>0.1089</v>
      </c>
      <c r="G196" s="6">
        <v>0.10782000000000001</v>
      </c>
      <c r="H196" s="6">
        <v>0.10674</v>
      </c>
      <c r="I196" s="6">
        <v>0.10568</v>
      </c>
      <c r="J196" s="6">
        <v>0.10462</v>
      </c>
      <c r="K196" s="6">
        <v>0.10358000000000001</v>
      </c>
      <c r="L196" s="6">
        <v>0.10256000000000001</v>
      </c>
    </row>
    <row r="197" spans="1:12">
      <c r="A197" t="s">
        <v>484</v>
      </c>
      <c r="B197" t="s">
        <v>124</v>
      </c>
      <c r="C197" s="6" t="s">
        <v>270</v>
      </c>
      <c r="D197" s="6">
        <v>2</v>
      </c>
      <c r="E197" s="6">
        <v>0.75270999999999988</v>
      </c>
      <c r="F197" s="6">
        <v>0.75270999999999988</v>
      </c>
      <c r="G197" s="6">
        <v>0.75270999999999988</v>
      </c>
      <c r="H197" s="6">
        <v>0.75270999999999988</v>
      </c>
      <c r="I197" s="6">
        <v>0.75270999999999988</v>
      </c>
      <c r="J197" s="6">
        <v>0.75270999999999988</v>
      </c>
      <c r="K197" s="6">
        <v>0.75270999999999988</v>
      </c>
      <c r="L197" s="6">
        <v>0.75270999999999988</v>
      </c>
    </row>
    <row r="198" spans="1:12">
      <c r="A198" t="s">
        <v>484</v>
      </c>
      <c r="B198" t="s">
        <v>124</v>
      </c>
      <c r="C198" t="s">
        <v>24</v>
      </c>
      <c r="D198" s="6">
        <v>3</v>
      </c>
      <c r="E198" s="6">
        <v>0.11000000000000001</v>
      </c>
      <c r="F198" s="6">
        <v>0.1089</v>
      </c>
      <c r="G198" s="6">
        <v>0.10782000000000001</v>
      </c>
      <c r="H198" s="6">
        <v>0.10674</v>
      </c>
      <c r="I198" s="6">
        <v>0.10568</v>
      </c>
      <c r="J198" s="6">
        <v>0.10462</v>
      </c>
      <c r="K198" s="6">
        <v>0.10358000000000001</v>
      </c>
      <c r="L198" s="6">
        <v>0.10256000000000001</v>
      </c>
    </row>
    <row r="199" spans="1:12">
      <c r="A199" t="s">
        <v>484</v>
      </c>
      <c r="B199" t="s">
        <v>124</v>
      </c>
      <c r="C199" t="s">
        <v>299</v>
      </c>
      <c r="D199" s="6">
        <v>3</v>
      </c>
      <c r="E199" s="6">
        <v>0.97999999999999987</v>
      </c>
      <c r="F199" s="6">
        <v>0.97509999999999997</v>
      </c>
      <c r="G199" s="6">
        <v>0.97026999999999997</v>
      </c>
      <c r="H199" s="6">
        <v>0.96536999999999995</v>
      </c>
      <c r="I199" s="6">
        <v>0.96060999999999996</v>
      </c>
      <c r="J199" s="6">
        <v>0.95577999999999985</v>
      </c>
      <c r="K199" s="6">
        <v>0.95101999999999998</v>
      </c>
      <c r="L199" s="6">
        <v>0.94625999999999988</v>
      </c>
    </row>
    <row r="200" spans="1:12">
      <c r="A200" t="s">
        <v>484</v>
      </c>
      <c r="B200" s="6" t="s">
        <v>133</v>
      </c>
      <c r="C200" t="s">
        <v>140</v>
      </c>
      <c r="D200" s="6">
        <v>1</v>
      </c>
      <c r="E200" s="6">
        <v>1.3022346368715083</v>
      </c>
      <c r="F200" s="6">
        <v>1.2781582663146909</v>
      </c>
      <c r="G200" s="6">
        <v>1.2533433605500646</v>
      </c>
      <c r="H200" s="6">
        <v>1.2287862975013812</v>
      </c>
      <c r="I200" s="6">
        <v>1.2044870771686413</v>
      </c>
      <c r="J200" s="6">
        <v>1.1804456995518449</v>
      </c>
      <c r="K200" s="6">
        <v>1.1566621646509916</v>
      </c>
      <c r="L200" s="6">
        <v>1.1331364724660815</v>
      </c>
    </row>
    <row r="201" spans="1:12">
      <c r="A201" t="s">
        <v>484</v>
      </c>
      <c r="B201" s="6" t="s">
        <v>172</v>
      </c>
      <c r="C201" t="s">
        <v>169</v>
      </c>
      <c r="D201" s="6">
        <v>4</v>
      </c>
      <c r="E201" s="6">
        <v>4</v>
      </c>
      <c r="F201" s="6">
        <v>3.9918367346938775</v>
      </c>
      <c r="G201" s="6">
        <v>3.9714285714285715</v>
      </c>
      <c r="H201" s="6">
        <v>3.9510204081632656</v>
      </c>
      <c r="I201" s="6">
        <v>3.9306122448979592</v>
      </c>
      <c r="J201" s="6">
        <v>3.9102040816326529</v>
      </c>
      <c r="K201" s="6">
        <v>3.8897959183673469</v>
      </c>
      <c r="L201" s="6">
        <v>3.869387755102041</v>
      </c>
    </row>
    <row r="202" spans="1:12">
      <c r="A202" t="s">
        <v>484</v>
      </c>
      <c r="B202" s="6" t="s">
        <v>173</v>
      </c>
      <c r="C202" t="s">
        <v>168</v>
      </c>
      <c r="D202" s="6">
        <v>4</v>
      </c>
      <c r="E202" s="6">
        <v>4</v>
      </c>
      <c r="F202" s="6">
        <v>3.9918367346938775</v>
      </c>
      <c r="G202" s="6">
        <v>3.9714285714285715</v>
      </c>
      <c r="H202" s="6">
        <v>3.9510204081632656</v>
      </c>
      <c r="I202" s="6">
        <v>3.9306122448979592</v>
      </c>
      <c r="J202" s="6">
        <v>3.9102040816326529</v>
      </c>
      <c r="K202" s="6">
        <v>3.8897959183673469</v>
      </c>
      <c r="L202" s="6">
        <v>3.869387755102041</v>
      </c>
    </row>
    <row r="203" spans="1:12">
      <c r="A203" s="6" t="s">
        <v>484</v>
      </c>
      <c r="B203" s="6" t="s">
        <v>269</v>
      </c>
      <c r="C203" s="6" t="s">
        <v>141</v>
      </c>
      <c r="D203" s="6">
        <v>1</v>
      </c>
      <c r="E203" s="6">
        <v>1.4285714285714286</v>
      </c>
      <c r="F203" s="6">
        <v>1.3631828488971345</v>
      </c>
      <c r="G203" s="6">
        <v>1.3376623376623378</v>
      </c>
      <c r="H203" s="6">
        <v>1.3280698137840994</v>
      </c>
      <c r="I203" s="6">
        <v>1.3211434068576924</v>
      </c>
      <c r="J203" s="6">
        <v>1.3155328798185941</v>
      </c>
      <c r="K203" s="6">
        <v>1.3105717034288462</v>
      </c>
      <c r="L203" s="6">
        <v>1.3056277056277055</v>
      </c>
    </row>
    <row r="204" spans="1:12">
      <c r="A204" t="s">
        <v>484</v>
      </c>
      <c r="B204" s="2" t="s">
        <v>330</v>
      </c>
      <c r="C204" t="s">
        <v>266</v>
      </c>
      <c r="D204" s="6">
        <v>1</v>
      </c>
      <c r="E204" s="6">
        <v>1</v>
      </c>
      <c r="F204" s="6">
        <v>1</v>
      </c>
      <c r="G204" s="6">
        <v>1</v>
      </c>
      <c r="H204" s="6">
        <v>1</v>
      </c>
      <c r="I204" s="6">
        <v>1</v>
      </c>
      <c r="J204" s="6">
        <v>1</v>
      </c>
      <c r="K204" s="6">
        <v>1</v>
      </c>
      <c r="L204" s="6">
        <v>1</v>
      </c>
    </row>
    <row r="205" spans="1:12">
      <c r="A205" s="6" t="s">
        <v>484</v>
      </c>
      <c r="B205" s="2" t="s">
        <v>330</v>
      </c>
      <c r="C205" t="s">
        <v>24</v>
      </c>
      <c r="D205" s="6">
        <v>1</v>
      </c>
      <c r="E205" s="6">
        <v>5.5259999999999998</v>
      </c>
      <c r="F205" s="6">
        <v>5.4742742857142854</v>
      </c>
      <c r="G205" s="6">
        <v>5.2119039999999996</v>
      </c>
      <c r="H205" s="6">
        <v>4.9574537142857142</v>
      </c>
      <c r="I205" s="6">
        <v>4.7174240000000003</v>
      </c>
      <c r="J205" s="6">
        <v>4.4849028571428571</v>
      </c>
      <c r="K205" s="6">
        <v>4.2659794285714288</v>
      </c>
      <c r="L205" s="6">
        <v>4.0541531428571425</v>
      </c>
    </row>
    <row r="206" spans="1:12">
      <c r="A206" t="s">
        <v>484</v>
      </c>
      <c r="B206" s="2" t="s">
        <v>329</v>
      </c>
      <c r="C206" t="s">
        <v>266</v>
      </c>
      <c r="D206" s="6">
        <v>1</v>
      </c>
      <c r="E206" s="6">
        <v>1</v>
      </c>
      <c r="F206" s="6">
        <v>1</v>
      </c>
      <c r="G206" s="6">
        <v>1</v>
      </c>
      <c r="H206" s="6">
        <v>1</v>
      </c>
      <c r="I206" s="6">
        <v>1</v>
      </c>
      <c r="J206" s="6">
        <v>1</v>
      </c>
      <c r="K206" s="6">
        <v>1</v>
      </c>
      <c r="L206" s="6">
        <v>1</v>
      </c>
    </row>
    <row r="207" spans="1:12">
      <c r="A207" s="6" t="s">
        <v>484</v>
      </c>
      <c r="B207" s="2" t="s">
        <v>329</v>
      </c>
      <c r="C207" t="s">
        <v>24</v>
      </c>
      <c r="D207" s="6">
        <v>1</v>
      </c>
      <c r="E207" s="6">
        <v>0.9</v>
      </c>
      <c r="F207" s="6">
        <v>0.88971428571428568</v>
      </c>
      <c r="G207" s="6">
        <v>0.82079999999999997</v>
      </c>
      <c r="H207" s="6">
        <v>0.75445714285714283</v>
      </c>
      <c r="I207" s="6">
        <v>0.69556114285714288</v>
      </c>
      <c r="J207" s="6">
        <v>0.63892800000000005</v>
      </c>
      <c r="K207" s="6">
        <v>0.58607999999999993</v>
      </c>
      <c r="L207" s="6">
        <v>0.53539199999999998</v>
      </c>
    </row>
    <row r="208" spans="1:12">
      <c r="A208" s="6" t="s">
        <v>484</v>
      </c>
      <c r="B208" s="2" t="s">
        <v>329</v>
      </c>
      <c r="C208" t="s">
        <v>207</v>
      </c>
      <c r="D208" s="6">
        <v>1</v>
      </c>
      <c r="E208" s="6">
        <v>6.3</v>
      </c>
      <c r="F208" s="6">
        <v>6.2394285714285713</v>
      </c>
      <c r="G208" s="6">
        <v>5.6559999999999997</v>
      </c>
      <c r="H208" s="6">
        <v>5.0982857142857139</v>
      </c>
      <c r="I208" s="6">
        <v>4.6247908571428571</v>
      </c>
      <c r="J208" s="6">
        <v>4.1733074285714284</v>
      </c>
      <c r="K208" s="6">
        <v>3.789504</v>
      </c>
      <c r="L208" s="6">
        <v>3.424626285714286</v>
      </c>
    </row>
    <row r="209" spans="1:12">
      <c r="A209" t="s">
        <v>484</v>
      </c>
      <c r="B209" s="6" t="s">
        <v>121</v>
      </c>
      <c r="C209" t="s">
        <v>24</v>
      </c>
      <c r="D209" s="6">
        <v>1</v>
      </c>
      <c r="E209" s="6">
        <v>1.5625</v>
      </c>
      <c r="F209" s="6">
        <v>1.3612417118746232</v>
      </c>
      <c r="G209" s="6">
        <v>1.2888273558368493</v>
      </c>
      <c r="H209" s="6">
        <v>1.2661731464737791</v>
      </c>
      <c r="I209" s="6">
        <v>1.2518776999196302</v>
      </c>
      <c r="J209" s="6">
        <v>1.2416635272252361</v>
      </c>
      <c r="K209" s="6">
        <v>1.2334409376883666</v>
      </c>
      <c r="L209" s="6">
        <v>1.2253164556962024</v>
      </c>
    </row>
    <row r="210" spans="1:12">
      <c r="A210" t="s">
        <v>484</v>
      </c>
      <c r="B210" s="6" t="s">
        <v>122</v>
      </c>
      <c r="C210" t="s">
        <v>140</v>
      </c>
      <c r="D210" s="6">
        <v>1</v>
      </c>
      <c r="E210" s="6">
        <v>2.1276595744680851</v>
      </c>
      <c r="F210" s="6">
        <v>2.0730158730158732</v>
      </c>
      <c r="G210" s="6">
        <v>2.0061224489795917</v>
      </c>
      <c r="H210" s="6">
        <v>1.9428571428571428</v>
      </c>
      <c r="I210" s="6">
        <v>1.9008486562942009</v>
      </c>
      <c r="J210" s="6">
        <v>1.8601307189542484</v>
      </c>
      <c r="K210" s="6">
        <v>1.8372549019607842</v>
      </c>
      <c r="L210" s="6">
        <v>1.81437908496732</v>
      </c>
    </row>
    <row r="211" spans="1:12">
      <c r="A211" t="s">
        <v>484</v>
      </c>
      <c r="B211" s="6" t="s">
        <v>122</v>
      </c>
      <c r="C211" t="s">
        <v>140</v>
      </c>
      <c r="D211" s="6">
        <v>2</v>
      </c>
      <c r="E211" s="6">
        <v>2.7027027027027026</v>
      </c>
      <c r="F211" s="6">
        <v>2.6160401002506268</v>
      </c>
      <c r="G211" s="6">
        <v>2.5441558441558438</v>
      </c>
      <c r="H211" s="6">
        <v>2.4747252747252744</v>
      </c>
      <c r="I211" s="6">
        <v>2.4076552139843277</v>
      </c>
      <c r="J211" s="6">
        <v>2.342857142857143</v>
      </c>
      <c r="K211" s="6">
        <v>2.3071428571428569</v>
      </c>
      <c r="L211" s="6">
        <v>2.2714285714285714</v>
      </c>
    </row>
    <row r="212" spans="1:12">
      <c r="A212" s="6" t="s">
        <v>484</v>
      </c>
      <c r="B212" s="2" t="s">
        <v>310</v>
      </c>
      <c r="C212" t="s">
        <v>314</v>
      </c>
      <c r="D212">
        <v>4</v>
      </c>
      <c r="E212" s="6">
        <v>1</v>
      </c>
      <c r="F212" s="6">
        <v>1</v>
      </c>
      <c r="G212" s="6">
        <v>1</v>
      </c>
      <c r="H212" s="6">
        <v>1</v>
      </c>
      <c r="I212" s="6">
        <v>1</v>
      </c>
      <c r="J212" s="6">
        <v>1</v>
      </c>
      <c r="K212" s="6">
        <v>1</v>
      </c>
      <c r="L212" s="6">
        <v>1</v>
      </c>
    </row>
    <row r="213" spans="1:12">
      <c r="A213" s="6" t="s">
        <v>484</v>
      </c>
      <c r="B213" s="2" t="s">
        <v>310</v>
      </c>
      <c r="C213" t="s">
        <v>315</v>
      </c>
      <c r="D213">
        <v>3</v>
      </c>
      <c r="E213" s="6">
        <v>1</v>
      </c>
      <c r="F213" s="6">
        <v>1</v>
      </c>
      <c r="G213" s="6">
        <v>1</v>
      </c>
      <c r="H213" s="6">
        <v>1</v>
      </c>
      <c r="I213" s="6">
        <v>1</v>
      </c>
      <c r="J213" s="6">
        <v>1</v>
      </c>
      <c r="K213" s="6">
        <v>1</v>
      </c>
      <c r="L213" s="6">
        <v>1</v>
      </c>
    </row>
    <row r="214" spans="1:12">
      <c r="A214" s="6" t="s">
        <v>484</v>
      </c>
      <c r="B214" s="2" t="s">
        <v>310</v>
      </c>
      <c r="C214" t="s">
        <v>313</v>
      </c>
      <c r="D214">
        <v>2</v>
      </c>
      <c r="E214" s="6">
        <v>1</v>
      </c>
      <c r="F214" s="6">
        <v>1</v>
      </c>
      <c r="G214" s="6">
        <v>1</v>
      </c>
      <c r="H214" s="6">
        <v>1</v>
      </c>
      <c r="I214" s="6">
        <v>1</v>
      </c>
      <c r="J214" s="6">
        <v>1</v>
      </c>
      <c r="K214" s="6">
        <v>1</v>
      </c>
      <c r="L214" s="6">
        <v>1</v>
      </c>
    </row>
    <row r="215" spans="1:12">
      <c r="A215" s="6" t="s">
        <v>484</v>
      </c>
      <c r="B215" s="2" t="s">
        <v>310</v>
      </c>
      <c r="C215" t="s">
        <v>312</v>
      </c>
      <c r="D215">
        <v>1</v>
      </c>
      <c r="E215" s="6">
        <v>1</v>
      </c>
      <c r="F215" s="6">
        <v>1</v>
      </c>
      <c r="G215" s="6">
        <v>1</v>
      </c>
      <c r="H215" s="6">
        <v>1</v>
      </c>
      <c r="I215" s="6">
        <v>1</v>
      </c>
      <c r="J215" s="6">
        <v>1</v>
      </c>
      <c r="K215" s="6">
        <v>1</v>
      </c>
      <c r="L215" s="6">
        <v>1</v>
      </c>
    </row>
    <row r="216" spans="1:12">
      <c r="A216" s="6" t="s">
        <v>484</v>
      </c>
      <c r="B216" s="2" t="s">
        <v>311</v>
      </c>
      <c r="C216" t="s">
        <v>140</v>
      </c>
      <c r="D216">
        <v>4</v>
      </c>
      <c r="E216" s="6">
        <v>1</v>
      </c>
      <c r="F216" s="6">
        <v>1</v>
      </c>
      <c r="G216" s="6">
        <v>1</v>
      </c>
      <c r="H216" s="6">
        <v>1</v>
      </c>
      <c r="I216" s="6">
        <v>1</v>
      </c>
      <c r="J216" s="6">
        <v>1</v>
      </c>
      <c r="K216" s="6">
        <v>1</v>
      </c>
      <c r="L216" s="6">
        <v>1</v>
      </c>
    </row>
    <row r="217" spans="1:12">
      <c r="A217" s="6" t="s">
        <v>484</v>
      </c>
      <c r="B217" s="2" t="s">
        <v>311</v>
      </c>
      <c r="C217" t="s">
        <v>199</v>
      </c>
      <c r="D217">
        <v>3</v>
      </c>
      <c r="E217" s="6">
        <v>1</v>
      </c>
      <c r="F217" s="6">
        <v>1</v>
      </c>
      <c r="G217" s="6">
        <v>1</v>
      </c>
      <c r="H217" s="6">
        <v>1</v>
      </c>
      <c r="I217" s="6">
        <v>1</v>
      </c>
      <c r="J217" s="6">
        <v>1</v>
      </c>
      <c r="K217" s="6">
        <v>1</v>
      </c>
      <c r="L217" s="6">
        <v>1</v>
      </c>
    </row>
    <row r="218" spans="1:12">
      <c r="A218" s="6" t="s">
        <v>484</v>
      </c>
      <c r="B218" s="2" t="s">
        <v>311</v>
      </c>
      <c r="C218" t="s">
        <v>198</v>
      </c>
      <c r="D218">
        <v>2</v>
      </c>
      <c r="E218" s="6">
        <v>1</v>
      </c>
      <c r="F218" s="6">
        <v>1</v>
      </c>
      <c r="G218" s="6">
        <v>1</v>
      </c>
      <c r="H218" s="6">
        <v>1</v>
      </c>
      <c r="I218" s="6">
        <v>1</v>
      </c>
      <c r="J218" s="6">
        <v>1</v>
      </c>
      <c r="K218" s="6">
        <v>1</v>
      </c>
      <c r="L218" s="6">
        <v>1</v>
      </c>
    </row>
    <row r="219" spans="1:12">
      <c r="A219" s="6" t="s">
        <v>484</v>
      </c>
      <c r="B219" s="2" t="s">
        <v>311</v>
      </c>
      <c r="C219" t="s">
        <v>197</v>
      </c>
      <c r="D219">
        <v>1</v>
      </c>
      <c r="E219" s="6">
        <v>1</v>
      </c>
      <c r="F219" s="6">
        <v>1</v>
      </c>
      <c r="G219" s="6">
        <v>1</v>
      </c>
      <c r="H219" s="6">
        <v>1</v>
      </c>
      <c r="I219" s="6">
        <v>1</v>
      </c>
      <c r="J219" s="6">
        <v>1</v>
      </c>
      <c r="K219" s="6">
        <v>1</v>
      </c>
      <c r="L219" s="6">
        <v>1</v>
      </c>
    </row>
    <row r="220" spans="1:12">
      <c r="A220" t="s">
        <v>484</v>
      </c>
      <c r="B220" s="6" t="s">
        <v>157</v>
      </c>
      <c r="C220" t="s">
        <v>140</v>
      </c>
      <c r="D220" s="6">
        <v>1</v>
      </c>
      <c r="E220" s="6">
        <v>1.6666666666666667</v>
      </c>
      <c r="F220" s="6">
        <v>1.6082516123332451</v>
      </c>
      <c r="G220" s="6">
        <v>1.5428159142444857</v>
      </c>
      <c r="H220" s="6">
        <v>1.4798833819241981</v>
      </c>
      <c r="I220" s="6">
        <v>1.4194540153723827</v>
      </c>
      <c r="J220" s="6">
        <v>1.361527814589039</v>
      </c>
      <c r="K220" s="6">
        <v>1.3061047795741674</v>
      </c>
      <c r="L220" s="6">
        <v>1.2531849103277675</v>
      </c>
    </row>
    <row r="221" spans="1:12">
      <c r="A221" t="s">
        <v>484</v>
      </c>
      <c r="B221" s="6" t="s">
        <v>157</v>
      </c>
      <c r="C221" t="s">
        <v>141</v>
      </c>
      <c r="D221" s="6">
        <v>2</v>
      </c>
      <c r="E221" s="6">
        <v>2.5641025641025639</v>
      </c>
      <c r="F221" s="6">
        <v>2.3836271836271834</v>
      </c>
      <c r="G221" s="6">
        <v>2.195463995463995</v>
      </c>
      <c r="H221" s="6">
        <v>2.0118008118008115</v>
      </c>
      <c r="I221" s="6">
        <v>1.8326376326376326</v>
      </c>
      <c r="J221" s="6">
        <v>1.6579744579744577</v>
      </c>
      <c r="K221" s="6">
        <v>1.4878112878112877</v>
      </c>
      <c r="L221" s="6">
        <v>1.3221481221481222</v>
      </c>
    </row>
    <row r="222" spans="1:12">
      <c r="A222" s="6" t="s">
        <v>484</v>
      </c>
      <c r="B222" s="6" t="s">
        <v>300</v>
      </c>
      <c r="C222" s="6" t="s">
        <v>140</v>
      </c>
      <c r="D222" s="6">
        <v>1</v>
      </c>
      <c r="E222" s="6">
        <v>2.2435897435897436</v>
      </c>
      <c r="F222" s="6">
        <v>2.1761904761904765</v>
      </c>
      <c r="G222" s="6">
        <v>2.0963414634146345</v>
      </c>
      <c r="H222" s="6">
        <v>1.9321428571428569</v>
      </c>
      <c r="I222" s="6">
        <v>1.8291407867494824</v>
      </c>
      <c r="J222" s="6">
        <v>1.7367063492063493</v>
      </c>
      <c r="K222" s="6">
        <v>1.6846938775510205</v>
      </c>
      <c r="L222" s="6">
        <v>1.6357142857142857</v>
      </c>
    </row>
    <row r="223" spans="1:12">
      <c r="A223" s="6" t="s">
        <v>484</v>
      </c>
      <c r="B223" s="6" t="s">
        <v>300</v>
      </c>
      <c r="C223" s="6" t="s">
        <v>24</v>
      </c>
      <c r="D223" s="6">
        <v>1</v>
      </c>
      <c r="E223" s="6">
        <v>0.32051282051282048</v>
      </c>
      <c r="F223" s="6">
        <v>0.31087662337662336</v>
      </c>
      <c r="G223" s="6">
        <v>0.29933481152993346</v>
      </c>
      <c r="H223" s="6">
        <v>0.27523612750885479</v>
      </c>
      <c r="I223" s="6">
        <v>0.25974025974025972</v>
      </c>
      <c r="J223" s="6">
        <v>0.2455357142857143</v>
      </c>
      <c r="K223" s="6">
        <v>0.23721176782401271</v>
      </c>
      <c r="L223" s="6">
        <v>0.22922077922077921</v>
      </c>
    </row>
    <row r="224" spans="1:12">
      <c r="A224" s="6" t="s">
        <v>484</v>
      </c>
      <c r="B224" s="6" t="s">
        <v>300</v>
      </c>
      <c r="C224" s="6" t="s">
        <v>199</v>
      </c>
      <c r="D224" s="6">
        <v>2</v>
      </c>
      <c r="E224" s="6">
        <v>2.1276595744680851</v>
      </c>
      <c r="F224" s="6">
        <v>2.0379841732611412</v>
      </c>
      <c r="G224" s="6">
        <v>1.9516339869281045</v>
      </c>
      <c r="H224" s="6">
        <v>1.8723142087023485</v>
      </c>
      <c r="I224" s="6">
        <v>1.7992578849721705</v>
      </c>
      <c r="J224" s="6">
        <v>1.7318057047380355</v>
      </c>
      <c r="K224" s="6">
        <v>1.6693877551020404</v>
      </c>
      <c r="L224" s="6">
        <v>1.6115088658414183</v>
      </c>
    </row>
    <row r="225" spans="1:12">
      <c r="A225" s="6" t="s">
        <v>484</v>
      </c>
      <c r="B225" s="6" t="s">
        <v>260</v>
      </c>
      <c r="C225" s="6" t="s">
        <v>197</v>
      </c>
      <c r="D225" s="6">
        <v>1</v>
      </c>
      <c r="E225" s="6">
        <v>1.6666666666666667</v>
      </c>
      <c r="F225" s="6">
        <v>1.5021315192743763</v>
      </c>
      <c r="G225" s="6">
        <v>1.4368253968253968</v>
      </c>
      <c r="H225" s="6">
        <v>1.411504157218443</v>
      </c>
      <c r="I225" s="6">
        <v>1.3929100529100529</v>
      </c>
      <c r="J225" s="6">
        <v>1.3775850340136055</v>
      </c>
      <c r="K225" s="6">
        <v>1.3638473167044598</v>
      </c>
      <c r="L225" s="6">
        <v>1.350204081632653</v>
      </c>
    </row>
    <row r="226" spans="1:12">
      <c r="A226" s="6" t="s">
        <v>484</v>
      </c>
      <c r="B226" s="6" t="s">
        <v>260</v>
      </c>
      <c r="C226" s="6" t="s">
        <v>208</v>
      </c>
      <c r="D226" s="6">
        <v>1</v>
      </c>
      <c r="E226" s="6">
        <v>0.33301002263174917</v>
      </c>
      <c r="F226" s="6">
        <v>0.29785141343960797</v>
      </c>
      <c r="G226" s="6">
        <v>0.27909411420565644</v>
      </c>
      <c r="H226" s="6">
        <v>0.26832603501579533</v>
      </c>
      <c r="I226" s="6">
        <v>0.25890207791274722</v>
      </c>
      <c r="J226" s="6">
        <v>0.25013130373390874</v>
      </c>
      <c r="K226" s="6">
        <v>0.24167768195757672</v>
      </c>
      <c r="L226" s="6">
        <v>0.23324293830044143</v>
      </c>
    </row>
    <row r="227" spans="1:12">
      <c r="A227" s="6" t="s">
        <v>484</v>
      </c>
      <c r="B227" s="6" t="s">
        <v>261</v>
      </c>
      <c r="C227" s="6" t="s">
        <v>197</v>
      </c>
      <c r="D227" s="6">
        <v>1</v>
      </c>
      <c r="E227" s="6">
        <v>1.6666666666666667</v>
      </c>
      <c r="F227" s="6">
        <v>1.5021315192743763</v>
      </c>
      <c r="G227" s="6">
        <v>1.4368253968253968</v>
      </c>
      <c r="H227" s="6">
        <v>1.411504157218443</v>
      </c>
      <c r="I227" s="6">
        <v>1.3929100529100529</v>
      </c>
      <c r="J227" s="6">
        <v>1.3775850340136055</v>
      </c>
      <c r="K227" s="6">
        <v>1.3638473167044598</v>
      </c>
      <c r="L227" s="6">
        <v>1.350204081632653</v>
      </c>
    </row>
    <row r="228" spans="1:12">
      <c r="A228" s="6" t="s">
        <v>484</v>
      </c>
      <c r="B228" s="6" t="s">
        <v>261</v>
      </c>
      <c r="C228" s="6" t="s">
        <v>208</v>
      </c>
      <c r="D228" s="6">
        <v>1</v>
      </c>
      <c r="E228" s="6">
        <v>0.33301002263174917</v>
      </c>
      <c r="F228" s="6">
        <v>0.29785141343960797</v>
      </c>
      <c r="G228" s="6">
        <v>0.27909411420565644</v>
      </c>
      <c r="H228" s="6">
        <v>0.26832603501579533</v>
      </c>
      <c r="I228" s="6">
        <v>0.25890207791274722</v>
      </c>
      <c r="J228" s="6">
        <v>0.25013130373390874</v>
      </c>
      <c r="K228" s="6">
        <v>0.24167768195757672</v>
      </c>
      <c r="L228" s="6">
        <v>0.23324293830044143</v>
      </c>
    </row>
    <row r="229" spans="1:12">
      <c r="A229" s="5" t="s">
        <v>484</v>
      </c>
      <c r="B229" t="s">
        <v>332</v>
      </c>
      <c r="C229" t="s">
        <v>334</v>
      </c>
      <c r="D229" s="5">
        <v>1</v>
      </c>
      <c r="E229" s="6">
        <v>1</v>
      </c>
      <c r="F229" s="6">
        <v>1</v>
      </c>
      <c r="G229" s="6">
        <v>1</v>
      </c>
      <c r="H229" s="6">
        <v>1</v>
      </c>
      <c r="I229" s="6">
        <v>1</v>
      </c>
      <c r="J229" s="6">
        <v>1</v>
      </c>
      <c r="K229" s="6">
        <v>1</v>
      </c>
      <c r="L229" s="6">
        <v>1</v>
      </c>
    </row>
    <row r="230" spans="1:12">
      <c r="A230" t="s">
        <v>484</v>
      </c>
      <c r="B230" t="s">
        <v>333</v>
      </c>
      <c r="C230" t="s">
        <v>335</v>
      </c>
      <c r="D230">
        <v>1</v>
      </c>
      <c r="E230" s="6">
        <v>1</v>
      </c>
      <c r="F230" s="6">
        <v>1</v>
      </c>
      <c r="G230" s="6">
        <v>1</v>
      </c>
      <c r="H230" s="6">
        <v>1</v>
      </c>
      <c r="I230" s="6">
        <v>1</v>
      </c>
      <c r="J230" s="6">
        <v>1</v>
      </c>
      <c r="K230" s="6">
        <v>1</v>
      </c>
      <c r="L230" s="6">
        <v>1</v>
      </c>
    </row>
  </sheetData>
  <autoFilter ref="A5:R5" xr:uid="{00000000-0001-0000-1900-000000000000}">
    <sortState xmlns:xlrd2="http://schemas.microsoft.com/office/spreadsheetml/2017/richdata2" ref="A6:R230">
      <sortCondition ref="B5"/>
    </sortState>
  </autoFilter>
  <dataValidations count="2">
    <dataValidation type="list" allowBlank="1" showInputMessage="1" showErrorMessage="1" sqref="B22:B33 B185" xr:uid="{00000000-0002-0000-1900-000000000000}">
      <formula1>Technologies</formula1>
    </dataValidation>
    <dataValidation type="list" allowBlank="1" showInputMessage="1" showErrorMessage="1" sqref="A132:A165 A187" xr:uid="{00000000-0002-0000-19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Tabelle11"/>
  <dimension ref="A1:S288"/>
  <sheetViews>
    <sheetView topLeftCell="A16" zoomScaleNormal="100" zoomScalePageLayoutView="90" workbookViewId="0">
      <selection activeCell="D30" sqref="D30"/>
    </sheetView>
  </sheetViews>
  <sheetFormatPr defaultColWidth="11.42578125" defaultRowHeight="15"/>
  <cols>
    <col min="2" max="2" width="23.5703125" customWidth="1"/>
    <col min="3" max="3" width="23.42578125" bestFit="1" customWidth="1"/>
    <col min="4" max="4" width="19.5703125" bestFit="1" customWidth="1"/>
  </cols>
  <sheetData>
    <row r="1" spans="1:14">
      <c r="A1" t="s">
        <v>398</v>
      </c>
    </row>
    <row r="2" spans="1:14">
      <c r="A2" t="s">
        <v>343</v>
      </c>
    </row>
    <row r="3" spans="1:14">
      <c r="A3" t="s">
        <v>383</v>
      </c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t="s">
        <v>20</v>
      </c>
      <c r="B5" t="s">
        <v>26</v>
      </c>
      <c r="C5" t="s">
        <v>21</v>
      </c>
      <c r="D5" t="s">
        <v>341</v>
      </c>
      <c r="E5">
        <v>2018</v>
      </c>
      <c r="F5">
        <v>2021</v>
      </c>
      <c r="G5">
        <v>2025</v>
      </c>
      <c r="H5">
        <v>2030</v>
      </c>
      <c r="I5">
        <v>2035</v>
      </c>
      <c r="J5">
        <v>2040</v>
      </c>
      <c r="K5">
        <v>2045</v>
      </c>
      <c r="L5">
        <v>2050</v>
      </c>
    </row>
    <row r="6" spans="1:14">
      <c r="A6" t="s">
        <v>484</v>
      </c>
      <c r="B6" t="s">
        <v>170</v>
      </c>
      <c r="C6" t="s">
        <v>169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</row>
    <row r="7" spans="1:14">
      <c r="A7" t="s">
        <v>484</v>
      </c>
      <c r="B7" t="s">
        <v>171</v>
      </c>
      <c r="C7" t="s">
        <v>168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</row>
    <row r="8" spans="1:14">
      <c r="A8" t="s">
        <v>484</v>
      </c>
      <c r="B8" t="s">
        <v>135</v>
      </c>
      <c r="C8" t="s">
        <v>24</v>
      </c>
      <c r="D8">
        <v>2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</row>
    <row r="9" spans="1:14">
      <c r="A9" t="s">
        <v>484</v>
      </c>
      <c r="B9" t="s">
        <v>136</v>
      </c>
      <c r="C9" t="s">
        <v>24</v>
      </c>
      <c r="D9">
        <v>2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4">
      <c r="A10" t="s">
        <v>484</v>
      </c>
      <c r="B10" t="s">
        <v>147</v>
      </c>
      <c r="C10" t="s">
        <v>140</v>
      </c>
      <c r="D10">
        <v>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</row>
    <row r="11" spans="1:14">
      <c r="A11" t="s">
        <v>484</v>
      </c>
      <c r="B11" t="s">
        <v>148</v>
      </c>
      <c r="C11" t="s">
        <v>197</v>
      </c>
      <c r="D11">
        <v>2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</row>
    <row r="12" spans="1:14" s="6" customFormat="1">
      <c r="A12" t="s">
        <v>484</v>
      </c>
      <c r="B12" t="s">
        <v>245</v>
      </c>
      <c r="C12" t="s">
        <v>207</v>
      </c>
      <c r="D12" s="6">
        <v>2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</row>
    <row r="13" spans="1:14" s="6" customFormat="1">
      <c r="A13" t="s">
        <v>484</v>
      </c>
      <c r="B13" t="s">
        <v>247</v>
      </c>
      <c r="C13" t="s">
        <v>271</v>
      </c>
      <c r="D13" s="6">
        <v>2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</row>
    <row r="14" spans="1:14">
      <c r="A14" t="s">
        <v>484</v>
      </c>
      <c r="B14" t="s">
        <v>134</v>
      </c>
      <c r="C14" t="s">
        <v>24</v>
      </c>
      <c r="D14">
        <v>2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</row>
    <row r="15" spans="1:14">
      <c r="A15" t="s">
        <v>484</v>
      </c>
      <c r="B15" t="s">
        <v>137</v>
      </c>
      <c r="C15" t="s">
        <v>24</v>
      </c>
      <c r="D15">
        <v>2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</row>
    <row r="16" spans="1:14">
      <c r="A16" t="s">
        <v>484</v>
      </c>
      <c r="B16" t="s">
        <v>191</v>
      </c>
      <c r="C16" t="s">
        <v>24</v>
      </c>
      <c r="D16">
        <v>2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2">
      <c r="A17" t="s">
        <v>484</v>
      </c>
      <c r="B17" s="2" t="s">
        <v>130</v>
      </c>
      <c r="C17" t="s">
        <v>145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</row>
    <row r="18" spans="1:12">
      <c r="A18" t="s">
        <v>484</v>
      </c>
      <c r="B18" s="2" t="s">
        <v>130</v>
      </c>
      <c r="C18" t="s">
        <v>145</v>
      </c>
      <c r="D18">
        <v>2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</row>
    <row r="19" spans="1:12">
      <c r="A19" t="s">
        <v>484</v>
      </c>
      <c r="B19" s="2" t="s">
        <v>130</v>
      </c>
      <c r="C19" t="s">
        <v>145</v>
      </c>
      <c r="D19">
        <v>3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</row>
    <row r="20" spans="1:12">
      <c r="A20" t="s">
        <v>484</v>
      </c>
      <c r="B20" s="2" t="s">
        <v>131</v>
      </c>
      <c r="C20" t="s">
        <v>145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</row>
    <row r="21" spans="1:12">
      <c r="A21" t="s">
        <v>484</v>
      </c>
      <c r="B21" s="2" t="s">
        <v>176</v>
      </c>
      <c r="C21" t="s">
        <v>145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</row>
    <row r="22" spans="1:12">
      <c r="A22" t="s">
        <v>484</v>
      </c>
      <c r="B22" s="2" t="s">
        <v>125</v>
      </c>
      <c r="C22" t="s">
        <v>145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</row>
    <row r="23" spans="1:12">
      <c r="A23" t="s">
        <v>484</v>
      </c>
      <c r="B23" s="2" t="s">
        <v>57</v>
      </c>
      <c r="C23" t="s">
        <v>145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2">
      <c r="A24" t="s">
        <v>484</v>
      </c>
      <c r="B24" s="2" t="s">
        <v>126</v>
      </c>
      <c r="C24" t="s">
        <v>145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</row>
    <row r="25" spans="1:12">
      <c r="A25" t="s">
        <v>484</v>
      </c>
      <c r="B25" s="2" t="s">
        <v>127</v>
      </c>
      <c r="C25" t="s">
        <v>145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</row>
    <row r="26" spans="1:12">
      <c r="A26" t="s">
        <v>484</v>
      </c>
      <c r="B26" s="2" t="s">
        <v>126</v>
      </c>
      <c r="C26" t="s">
        <v>145</v>
      </c>
      <c r="D26">
        <v>2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>
      <c r="A27" t="s">
        <v>484</v>
      </c>
      <c r="B27" s="2" t="s">
        <v>126</v>
      </c>
      <c r="C27" t="s">
        <v>145</v>
      </c>
      <c r="D27">
        <v>3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>
      <c r="A28" t="s">
        <v>484</v>
      </c>
      <c r="B28" t="s">
        <v>127</v>
      </c>
      <c r="C28" t="s">
        <v>145</v>
      </c>
      <c r="D28">
        <v>2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</row>
    <row r="29" spans="1:12">
      <c r="A29" t="s">
        <v>484</v>
      </c>
      <c r="B29" t="s">
        <v>127</v>
      </c>
      <c r="C29" t="s">
        <v>145</v>
      </c>
      <c r="D29">
        <v>3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</row>
    <row r="30" spans="1:12">
      <c r="A30" t="s">
        <v>484</v>
      </c>
      <c r="B30" t="s">
        <v>495</v>
      </c>
      <c r="C30" t="s">
        <v>146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2">
      <c r="A31" t="s">
        <v>484</v>
      </c>
      <c r="B31" t="s">
        <v>496</v>
      </c>
      <c r="C31" t="s">
        <v>146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</row>
    <row r="32" spans="1:12">
      <c r="A32" t="s">
        <v>484</v>
      </c>
      <c r="B32" t="s">
        <v>496</v>
      </c>
      <c r="C32" t="s">
        <v>146</v>
      </c>
      <c r="D32">
        <v>2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</row>
    <row r="33" spans="1:12">
      <c r="A33" t="s">
        <v>484</v>
      </c>
      <c r="B33" t="s">
        <v>103</v>
      </c>
      <c r="C33" t="s">
        <v>24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</row>
    <row r="34" spans="1:12">
      <c r="A34" t="s">
        <v>484</v>
      </c>
      <c r="B34" s="2" t="s">
        <v>102</v>
      </c>
      <c r="C34" t="s">
        <v>24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2">
      <c r="A35" t="s">
        <v>484</v>
      </c>
      <c r="B35" s="2" t="s">
        <v>22</v>
      </c>
      <c r="C35" t="s">
        <v>24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</row>
    <row r="36" spans="1:12">
      <c r="A36" t="s">
        <v>484</v>
      </c>
      <c r="B36" s="2" t="s">
        <v>23</v>
      </c>
      <c r="C36" t="s">
        <v>24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</row>
    <row r="37" spans="1:12">
      <c r="A37" t="s">
        <v>484</v>
      </c>
      <c r="B37" s="2" t="s">
        <v>56</v>
      </c>
      <c r="C37" t="s">
        <v>24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</row>
    <row r="38" spans="1:12">
      <c r="A38" t="s">
        <v>484</v>
      </c>
      <c r="B38" s="2" t="s">
        <v>158</v>
      </c>
      <c r="C38" t="s">
        <v>24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</row>
    <row r="39" spans="1:12">
      <c r="A39" t="s">
        <v>484</v>
      </c>
      <c r="B39" s="2" t="s">
        <v>132</v>
      </c>
      <c r="C39" t="s">
        <v>146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</row>
    <row r="40" spans="1:12">
      <c r="A40" t="s">
        <v>484</v>
      </c>
      <c r="B40" s="2" t="s">
        <v>58</v>
      </c>
      <c r="C40" t="s">
        <v>146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</row>
    <row r="41" spans="1:12">
      <c r="A41" t="s">
        <v>484</v>
      </c>
      <c r="B41" s="2" t="s">
        <v>58</v>
      </c>
      <c r="C41" t="s">
        <v>146</v>
      </c>
      <c r="D41">
        <v>2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</row>
    <row r="42" spans="1:12">
      <c r="A42" t="s">
        <v>484</v>
      </c>
      <c r="B42" s="2" t="s">
        <v>133</v>
      </c>
      <c r="C42" t="s">
        <v>146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</row>
    <row r="43" spans="1:12">
      <c r="A43" t="s">
        <v>484</v>
      </c>
      <c r="B43" s="2" t="s">
        <v>128</v>
      </c>
      <c r="C43" t="s">
        <v>146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</row>
    <row r="44" spans="1:12">
      <c r="A44" t="s">
        <v>484</v>
      </c>
      <c r="B44" s="2" t="s">
        <v>128</v>
      </c>
      <c r="C44" t="s">
        <v>146</v>
      </c>
      <c r="D44">
        <v>2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</row>
    <row r="45" spans="1:12">
      <c r="A45" t="s">
        <v>484</v>
      </c>
      <c r="B45" t="s">
        <v>128</v>
      </c>
      <c r="C45" t="s">
        <v>146</v>
      </c>
      <c r="D45">
        <v>3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2">
      <c r="A46" t="s">
        <v>484</v>
      </c>
      <c r="B46" t="s">
        <v>129</v>
      </c>
      <c r="C46" t="s">
        <v>146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</row>
    <row r="47" spans="1:12">
      <c r="A47" t="s">
        <v>484</v>
      </c>
      <c r="B47" t="s">
        <v>60</v>
      </c>
      <c r="C47" t="s">
        <v>146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</row>
    <row r="48" spans="1:12">
      <c r="A48" t="s">
        <v>484</v>
      </c>
      <c r="B48" t="s">
        <v>123</v>
      </c>
      <c r="C48" t="s">
        <v>146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</row>
    <row r="49" spans="1:12">
      <c r="A49" t="s">
        <v>484</v>
      </c>
      <c r="B49" t="s">
        <v>59</v>
      </c>
      <c r="C49" t="s">
        <v>146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</row>
    <row r="50" spans="1:12">
      <c r="A50" t="s">
        <v>484</v>
      </c>
      <c r="B50" t="s">
        <v>59</v>
      </c>
      <c r="C50" t="s">
        <v>146</v>
      </c>
      <c r="D50">
        <v>2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</row>
    <row r="51" spans="1:12">
      <c r="A51" t="s">
        <v>484</v>
      </c>
      <c r="B51" t="s">
        <v>59</v>
      </c>
      <c r="C51" t="s">
        <v>146</v>
      </c>
      <c r="D51">
        <v>3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</row>
    <row r="52" spans="1:12">
      <c r="A52" t="s">
        <v>484</v>
      </c>
      <c r="B52" t="s">
        <v>124</v>
      </c>
      <c r="C52" t="s">
        <v>146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</row>
    <row r="53" spans="1:12">
      <c r="A53" t="s">
        <v>484</v>
      </c>
      <c r="B53" t="s">
        <v>124</v>
      </c>
      <c r="C53" t="s">
        <v>146</v>
      </c>
      <c r="D53">
        <v>2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</row>
    <row r="54" spans="1:12">
      <c r="A54" t="s">
        <v>484</v>
      </c>
      <c r="B54" t="s">
        <v>124</v>
      </c>
      <c r="C54" t="s">
        <v>146</v>
      </c>
      <c r="D54">
        <v>3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</row>
    <row r="55" spans="1:12">
      <c r="A55" t="s">
        <v>484</v>
      </c>
      <c r="B55" t="s">
        <v>86</v>
      </c>
      <c r="C55" t="s">
        <v>151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2">
      <c r="A56" t="s">
        <v>484</v>
      </c>
      <c r="B56" t="s">
        <v>85</v>
      </c>
      <c r="C56" t="s">
        <v>152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</row>
    <row r="57" spans="1:12">
      <c r="A57" t="s">
        <v>484</v>
      </c>
      <c r="B57" t="s">
        <v>84</v>
      </c>
      <c r="C57" t="s">
        <v>197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2">
      <c r="A58" t="s">
        <v>484</v>
      </c>
      <c r="B58" t="s">
        <v>87</v>
      </c>
      <c r="C58" t="s">
        <v>139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</row>
    <row r="59" spans="1:12">
      <c r="A59" t="s">
        <v>484</v>
      </c>
      <c r="B59" t="s">
        <v>88</v>
      </c>
      <c r="C59" t="s">
        <v>138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</row>
    <row r="60" spans="1:12">
      <c r="A60" t="s">
        <v>484</v>
      </c>
      <c r="B60" t="s">
        <v>96</v>
      </c>
      <c r="C60" t="s">
        <v>24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</row>
    <row r="61" spans="1:12">
      <c r="A61" t="s">
        <v>484</v>
      </c>
      <c r="B61" t="s">
        <v>97</v>
      </c>
      <c r="C61" t="s">
        <v>24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</row>
    <row r="62" spans="1:12">
      <c r="A62" t="s">
        <v>484</v>
      </c>
      <c r="B62" t="s">
        <v>101</v>
      </c>
      <c r="C62" t="s">
        <v>24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</row>
    <row r="63" spans="1:12">
      <c r="A63" t="s">
        <v>484</v>
      </c>
      <c r="B63" t="s">
        <v>98</v>
      </c>
      <c r="C63" t="s">
        <v>24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2">
      <c r="A64" t="s">
        <v>484</v>
      </c>
      <c r="B64" t="s">
        <v>99</v>
      </c>
      <c r="C64" t="s">
        <v>24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</row>
    <row r="65" spans="1:12">
      <c r="A65" t="s">
        <v>484</v>
      </c>
      <c r="B65" t="s">
        <v>100</v>
      </c>
      <c r="C65" t="s">
        <v>24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2">
      <c r="A66" t="s">
        <v>484</v>
      </c>
      <c r="B66" t="s">
        <v>172</v>
      </c>
      <c r="C66" t="s">
        <v>24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2">
      <c r="A67" t="s">
        <v>484</v>
      </c>
      <c r="B67" t="s">
        <v>173</v>
      </c>
      <c r="C67" t="s">
        <v>24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</row>
    <row r="68" spans="1:12">
      <c r="A68" t="s">
        <v>484</v>
      </c>
      <c r="B68" t="s">
        <v>90</v>
      </c>
      <c r="C68" t="s">
        <v>24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</row>
    <row r="69" spans="1:12">
      <c r="A69" t="s">
        <v>484</v>
      </c>
      <c r="B69" t="s">
        <v>89</v>
      </c>
      <c r="C69" t="s">
        <v>24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</row>
    <row r="70" spans="1:12">
      <c r="A70" t="s">
        <v>484</v>
      </c>
      <c r="B70" t="s">
        <v>91</v>
      </c>
      <c r="C70" t="s">
        <v>24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</row>
    <row r="71" spans="1:12">
      <c r="A71" t="s">
        <v>484</v>
      </c>
      <c r="B71" t="s">
        <v>165</v>
      </c>
      <c r="C71" t="s">
        <v>24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</row>
    <row r="72" spans="1:12">
      <c r="A72" t="s">
        <v>484</v>
      </c>
      <c r="B72" t="s">
        <v>166</v>
      </c>
      <c r="C72" t="s">
        <v>24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</row>
    <row r="73" spans="1:12">
      <c r="A73" t="s">
        <v>484</v>
      </c>
      <c r="B73" t="s">
        <v>167</v>
      </c>
      <c r="C73" t="s">
        <v>24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</row>
    <row r="74" spans="1:12">
      <c r="A74" t="s">
        <v>484</v>
      </c>
      <c r="B74" t="s">
        <v>93</v>
      </c>
      <c r="C74" t="s">
        <v>24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</row>
    <row r="75" spans="1:12">
      <c r="A75" t="s">
        <v>484</v>
      </c>
      <c r="B75" t="s">
        <v>92</v>
      </c>
      <c r="C75" t="s">
        <v>24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</row>
    <row r="76" spans="1:12">
      <c r="A76" t="s">
        <v>484</v>
      </c>
      <c r="B76" t="s">
        <v>94</v>
      </c>
      <c r="C76" t="s">
        <v>24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</row>
    <row r="77" spans="1:12">
      <c r="A77" t="s">
        <v>484</v>
      </c>
      <c r="B77" t="s">
        <v>153</v>
      </c>
      <c r="C77" t="s">
        <v>141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</row>
    <row r="78" spans="1:12">
      <c r="A78" t="s">
        <v>484</v>
      </c>
      <c r="B78" t="s">
        <v>121</v>
      </c>
      <c r="C78" t="s">
        <v>140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</row>
    <row r="79" spans="1:12">
      <c r="A79" t="s">
        <v>484</v>
      </c>
      <c r="B79" t="s">
        <v>122</v>
      </c>
      <c r="C79" t="s">
        <v>24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</row>
    <row r="80" spans="1:12">
      <c r="A80" t="s">
        <v>484</v>
      </c>
      <c r="B80" t="s">
        <v>122</v>
      </c>
      <c r="C80" t="s">
        <v>24</v>
      </c>
      <c r="D80">
        <v>2</v>
      </c>
      <c r="E80">
        <v>0.6</v>
      </c>
      <c r="F80">
        <v>0.6</v>
      </c>
      <c r="G80">
        <v>0.6</v>
      </c>
      <c r="H80">
        <v>0.6</v>
      </c>
      <c r="I80">
        <v>0.6</v>
      </c>
      <c r="J80">
        <v>0.6</v>
      </c>
      <c r="K80">
        <v>0.6</v>
      </c>
      <c r="L80">
        <v>0.6</v>
      </c>
    </row>
    <row r="81" spans="1:12">
      <c r="A81" t="s">
        <v>484</v>
      </c>
      <c r="B81" t="s">
        <v>122</v>
      </c>
      <c r="C81" t="s">
        <v>34</v>
      </c>
      <c r="D81">
        <v>2</v>
      </c>
      <c r="E81">
        <v>0.4</v>
      </c>
      <c r="F81">
        <v>0.4</v>
      </c>
      <c r="G81">
        <v>0.4</v>
      </c>
      <c r="H81">
        <v>0.4</v>
      </c>
      <c r="I81">
        <v>0.4</v>
      </c>
      <c r="J81">
        <v>0.4</v>
      </c>
      <c r="K81">
        <v>0.4</v>
      </c>
      <c r="L81">
        <v>0.4</v>
      </c>
    </row>
    <row r="82" spans="1:12">
      <c r="A82" t="s">
        <v>484</v>
      </c>
      <c r="B82" t="s">
        <v>157</v>
      </c>
      <c r="C82" t="s">
        <v>199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</row>
    <row r="83" spans="1:12">
      <c r="A83" t="s">
        <v>484</v>
      </c>
      <c r="B83" t="s">
        <v>157</v>
      </c>
      <c r="C83" t="s">
        <v>198</v>
      </c>
      <c r="D83">
        <v>2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</row>
    <row r="84" spans="1:12">
      <c r="A84" t="s">
        <v>484</v>
      </c>
      <c r="B84" t="s">
        <v>182</v>
      </c>
      <c r="C84" t="s">
        <v>138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</row>
    <row r="85" spans="1:12">
      <c r="A85" t="s">
        <v>484</v>
      </c>
      <c r="B85" t="s">
        <v>181</v>
      </c>
      <c r="C85" t="s">
        <v>151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</row>
    <row r="86" spans="1:12">
      <c r="A86" t="s">
        <v>484</v>
      </c>
      <c r="B86" t="s">
        <v>180</v>
      </c>
      <c r="C86" t="s">
        <v>197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</row>
    <row r="87" spans="1:12">
      <c r="A87" t="s">
        <v>484</v>
      </c>
      <c r="B87" t="s">
        <v>193</v>
      </c>
      <c r="C87" t="s">
        <v>34</v>
      </c>
      <c r="D87">
        <v>1</v>
      </c>
      <c r="E87">
        <v>0.7</v>
      </c>
      <c r="F87">
        <v>0.7</v>
      </c>
      <c r="G87">
        <v>0.7</v>
      </c>
      <c r="H87">
        <v>0.7</v>
      </c>
      <c r="I87">
        <v>0.7</v>
      </c>
      <c r="J87">
        <v>0.7</v>
      </c>
      <c r="K87">
        <v>0.7</v>
      </c>
      <c r="L87">
        <v>0.7</v>
      </c>
    </row>
    <row r="88" spans="1:12">
      <c r="A88" t="s">
        <v>484</v>
      </c>
      <c r="B88" t="s">
        <v>193</v>
      </c>
      <c r="C88" t="s">
        <v>24</v>
      </c>
      <c r="D88">
        <v>1</v>
      </c>
      <c r="E88">
        <v>0.55000000000000004</v>
      </c>
      <c r="F88">
        <v>0.55000000000000004</v>
      </c>
      <c r="G88">
        <v>0.55000000000000004</v>
      </c>
      <c r="H88">
        <v>0.55000000000000004</v>
      </c>
      <c r="I88">
        <v>0.55000000000000004</v>
      </c>
      <c r="J88">
        <v>0.55000000000000004</v>
      </c>
      <c r="K88">
        <v>0.55000000000000004</v>
      </c>
      <c r="L88">
        <v>0.55000000000000004</v>
      </c>
    </row>
    <row r="89" spans="1:12">
      <c r="A89" t="s">
        <v>484</v>
      </c>
      <c r="B89" t="s">
        <v>194</v>
      </c>
      <c r="C89" t="s">
        <v>24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</row>
    <row r="90" spans="1:12">
      <c r="A90" t="s">
        <v>484</v>
      </c>
      <c r="B90" t="s">
        <v>195</v>
      </c>
      <c r="C90" t="s">
        <v>196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</row>
    <row r="91" spans="1:12">
      <c r="A91" t="s">
        <v>484</v>
      </c>
      <c r="B91" t="s">
        <v>22</v>
      </c>
      <c r="C91" t="s">
        <v>24</v>
      </c>
      <c r="D91">
        <v>2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</row>
    <row r="92" spans="1:12">
      <c r="A92" t="s">
        <v>484</v>
      </c>
      <c r="B92" t="s">
        <v>22</v>
      </c>
      <c r="C92" t="s">
        <v>24</v>
      </c>
      <c r="D92">
        <v>3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</row>
    <row r="93" spans="1:12">
      <c r="A93" t="s">
        <v>484</v>
      </c>
      <c r="B93" t="s">
        <v>219</v>
      </c>
      <c r="C93" t="s">
        <v>271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</row>
    <row r="94" spans="1:12">
      <c r="A94" t="s">
        <v>484</v>
      </c>
      <c r="B94" t="s">
        <v>219</v>
      </c>
      <c r="C94" t="s">
        <v>271</v>
      </c>
      <c r="D94">
        <v>2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2">
      <c r="A95" t="s">
        <v>484</v>
      </c>
      <c r="B95" t="s">
        <v>219</v>
      </c>
      <c r="C95" t="s">
        <v>271</v>
      </c>
      <c r="D95">
        <v>3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</row>
    <row r="96" spans="1:12">
      <c r="A96" t="s">
        <v>484</v>
      </c>
      <c r="B96" t="s">
        <v>206</v>
      </c>
      <c r="C96" t="s">
        <v>24</v>
      </c>
      <c r="D96">
        <v>1</v>
      </c>
      <c r="E96">
        <v>0.31</v>
      </c>
      <c r="F96">
        <v>0.31</v>
      </c>
      <c r="G96">
        <v>0.31</v>
      </c>
      <c r="H96">
        <v>0.31</v>
      </c>
      <c r="I96">
        <v>0.31</v>
      </c>
      <c r="J96">
        <v>0.31</v>
      </c>
      <c r="K96">
        <v>0.31</v>
      </c>
      <c r="L96">
        <v>0.31</v>
      </c>
    </row>
    <row r="97" spans="1:12">
      <c r="A97" t="s">
        <v>484</v>
      </c>
      <c r="B97" t="s">
        <v>206</v>
      </c>
      <c r="C97" t="s">
        <v>271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</row>
    <row r="98" spans="1:12">
      <c r="A98" t="s">
        <v>484</v>
      </c>
      <c r="B98" t="s">
        <v>206</v>
      </c>
      <c r="C98" t="s">
        <v>24</v>
      </c>
      <c r="D98">
        <v>2</v>
      </c>
      <c r="E98">
        <v>0.31</v>
      </c>
      <c r="F98">
        <v>0.31</v>
      </c>
      <c r="G98">
        <v>0.31</v>
      </c>
      <c r="H98">
        <v>0.31</v>
      </c>
      <c r="I98">
        <v>0.31</v>
      </c>
      <c r="J98">
        <v>0.31</v>
      </c>
      <c r="K98">
        <v>0.31</v>
      </c>
      <c r="L98">
        <v>0.31</v>
      </c>
    </row>
    <row r="99" spans="1:12">
      <c r="A99" t="s">
        <v>484</v>
      </c>
      <c r="B99" t="s">
        <v>206</v>
      </c>
      <c r="C99" t="s">
        <v>271</v>
      </c>
      <c r="D99">
        <v>2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</row>
    <row r="100" spans="1:12">
      <c r="A100" t="s">
        <v>484</v>
      </c>
      <c r="B100" t="s">
        <v>206</v>
      </c>
      <c r="C100" t="s">
        <v>24</v>
      </c>
      <c r="D100">
        <v>3</v>
      </c>
      <c r="E100">
        <v>0.31</v>
      </c>
      <c r="F100">
        <v>0.31</v>
      </c>
      <c r="G100">
        <v>0.31</v>
      </c>
      <c r="H100">
        <v>0.31</v>
      </c>
      <c r="I100">
        <v>0.31</v>
      </c>
      <c r="J100">
        <v>0.31</v>
      </c>
      <c r="K100">
        <v>0.31</v>
      </c>
      <c r="L100">
        <v>0.31</v>
      </c>
    </row>
    <row r="101" spans="1:12">
      <c r="A101" t="s">
        <v>484</v>
      </c>
      <c r="B101" t="s">
        <v>206</v>
      </c>
      <c r="C101" t="s">
        <v>271</v>
      </c>
      <c r="D101">
        <v>3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2">
      <c r="A102" t="s">
        <v>484</v>
      </c>
      <c r="B102" t="s">
        <v>201</v>
      </c>
      <c r="C102" t="s">
        <v>271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</row>
    <row r="103" spans="1:12">
      <c r="A103" t="s">
        <v>484</v>
      </c>
      <c r="B103" t="s">
        <v>205</v>
      </c>
      <c r="C103" t="s">
        <v>271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2">
      <c r="A104" t="s">
        <v>484</v>
      </c>
      <c r="B104" t="s">
        <v>205</v>
      </c>
      <c r="C104" t="s">
        <v>271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</row>
    <row r="105" spans="1:12">
      <c r="A105" t="s">
        <v>484</v>
      </c>
      <c r="B105" t="s">
        <v>202</v>
      </c>
      <c r="C105" t="s">
        <v>271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</row>
    <row r="106" spans="1:12">
      <c r="A106" t="s">
        <v>484</v>
      </c>
      <c r="B106" t="s">
        <v>203</v>
      </c>
      <c r="C106" t="s">
        <v>271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</row>
    <row r="107" spans="1:12">
      <c r="A107" t="s">
        <v>484</v>
      </c>
      <c r="B107" t="s">
        <v>204</v>
      </c>
      <c r="C107" t="s">
        <v>24</v>
      </c>
      <c r="D107">
        <v>1</v>
      </c>
      <c r="E107">
        <v>0.31</v>
      </c>
      <c r="F107">
        <v>0.31</v>
      </c>
      <c r="G107">
        <v>0.31</v>
      </c>
      <c r="H107">
        <v>0.31</v>
      </c>
      <c r="I107">
        <v>0.31</v>
      </c>
      <c r="J107">
        <v>0.31</v>
      </c>
      <c r="K107">
        <v>0.31</v>
      </c>
      <c r="L107">
        <v>0.31</v>
      </c>
    </row>
    <row r="108" spans="1:12">
      <c r="A108" t="s">
        <v>484</v>
      </c>
      <c r="B108" t="s">
        <v>204</v>
      </c>
      <c r="C108" t="s">
        <v>271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</row>
    <row r="109" spans="1:12">
      <c r="A109" t="s">
        <v>484</v>
      </c>
      <c r="B109" t="s">
        <v>227</v>
      </c>
      <c r="C109" t="s">
        <v>24</v>
      </c>
      <c r="D109">
        <v>1</v>
      </c>
      <c r="E109">
        <v>0.31</v>
      </c>
      <c r="F109">
        <v>0.31</v>
      </c>
      <c r="G109">
        <v>0.31</v>
      </c>
      <c r="H109">
        <v>0.31</v>
      </c>
      <c r="I109">
        <v>0.31</v>
      </c>
      <c r="J109">
        <v>0.31</v>
      </c>
      <c r="K109">
        <v>0.31</v>
      </c>
      <c r="L109">
        <v>0.31</v>
      </c>
    </row>
    <row r="110" spans="1:12">
      <c r="A110" t="s">
        <v>484</v>
      </c>
      <c r="B110" t="s">
        <v>227</v>
      </c>
      <c r="C110" t="s">
        <v>271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</row>
    <row r="111" spans="1:12">
      <c r="A111" t="s">
        <v>484</v>
      </c>
      <c r="B111" t="s">
        <v>228</v>
      </c>
      <c r="C111" t="s">
        <v>271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</row>
    <row r="112" spans="1:12">
      <c r="A112" t="s">
        <v>484</v>
      </c>
      <c r="B112" t="s">
        <v>229</v>
      </c>
      <c r="C112" t="s">
        <v>271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</row>
    <row r="113" spans="1:12">
      <c r="A113" t="s">
        <v>484</v>
      </c>
      <c r="B113" t="s">
        <v>230</v>
      </c>
      <c r="C113" t="s">
        <v>271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</row>
    <row r="114" spans="1:12">
      <c r="A114" t="s">
        <v>484</v>
      </c>
      <c r="B114" t="s">
        <v>231</v>
      </c>
      <c r="C114" t="s">
        <v>271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</row>
    <row r="115" spans="1:12">
      <c r="A115" t="s">
        <v>484</v>
      </c>
      <c r="B115" t="s">
        <v>210</v>
      </c>
      <c r="C115" t="s">
        <v>271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</row>
    <row r="116" spans="1:12">
      <c r="A116" t="s">
        <v>484</v>
      </c>
      <c r="B116" t="s">
        <v>220</v>
      </c>
      <c r="C116" t="s">
        <v>271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</row>
    <row r="117" spans="1:12">
      <c r="A117" t="s">
        <v>484</v>
      </c>
      <c r="B117" t="s">
        <v>221</v>
      </c>
      <c r="C117" t="s">
        <v>207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</row>
    <row r="118" spans="1:12">
      <c r="A118" t="s">
        <v>484</v>
      </c>
      <c r="B118" t="s">
        <v>221</v>
      </c>
      <c r="C118" t="s">
        <v>207</v>
      </c>
      <c r="D118">
        <v>2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</row>
    <row r="119" spans="1:12">
      <c r="A119" t="s">
        <v>484</v>
      </c>
      <c r="B119" t="s">
        <v>221</v>
      </c>
      <c r="C119" t="s">
        <v>207</v>
      </c>
      <c r="D119">
        <v>3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</row>
    <row r="120" spans="1:12">
      <c r="A120" t="s">
        <v>484</v>
      </c>
      <c r="B120" t="s">
        <v>211</v>
      </c>
      <c r="C120" t="s">
        <v>24</v>
      </c>
      <c r="D120">
        <v>1</v>
      </c>
      <c r="E120">
        <v>0.31</v>
      </c>
      <c r="F120">
        <v>0.31</v>
      </c>
      <c r="G120">
        <v>0.31</v>
      </c>
      <c r="H120">
        <v>0.31</v>
      </c>
      <c r="I120">
        <v>0.31</v>
      </c>
      <c r="J120">
        <v>0.31</v>
      </c>
      <c r="K120">
        <v>0.31</v>
      </c>
      <c r="L120">
        <v>0.31</v>
      </c>
    </row>
    <row r="121" spans="1:12">
      <c r="A121" t="s">
        <v>484</v>
      </c>
      <c r="B121" t="s">
        <v>211</v>
      </c>
      <c r="C121" t="s">
        <v>207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2">
      <c r="A122" t="s">
        <v>484</v>
      </c>
      <c r="B122" t="s">
        <v>211</v>
      </c>
      <c r="C122" t="s">
        <v>24</v>
      </c>
      <c r="D122">
        <v>2</v>
      </c>
      <c r="E122">
        <v>0.31</v>
      </c>
      <c r="F122">
        <v>0.31</v>
      </c>
      <c r="G122">
        <v>0.31</v>
      </c>
      <c r="H122">
        <v>0.31</v>
      </c>
      <c r="I122">
        <v>0.31</v>
      </c>
      <c r="J122">
        <v>0.31</v>
      </c>
      <c r="K122">
        <v>0.31</v>
      </c>
      <c r="L122">
        <v>0.31</v>
      </c>
    </row>
    <row r="123" spans="1:12">
      <c r="A123" t="s">
        <v>484</v>
      </c>
      <c r="B123" t="s">
        <v>211</v>
      </c>
      <c r="C123" t="s">
        <v>207</v>
      </c>
      <c r="D123">
        <v>2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</row>
    <row r="124" spans="1:12">
      <c r="A124" t="s">
        <v>484</v>
      </c>
      <c r="B124" t="s">
        <v>211</v>
      </c>
      <c r="C124" t="s">
        <v>24</v>
      </c>
      <c r="D124">
        <v>3</v>
      </c>
      <c r="E124">
        <v>0.31</v>
      </c>
      <c r="F124">
        <v>0.31</v>
      </c>
      <c r="G124">
        <v>0.31</v>
      </c>
      <c r="H124">
        <v>0.31</v>
      </c>
      <c r="I124">
        <v>0.31</v>
      </c>
      <c r="J124">
        <v>0.31</v>
      </c>
      <c r="K124">
        <v>0.31</v>
      </c>
      <c r="L124">
        <v>0.31</v>
      </c>
    </row>
    <row r="125" spans="1:12">
      <c r="A125" t="s">
        <v>484</v>
      </c>
      <c r="B125" t="s">
        <v>211</v>
      </c>
      <c r="C125" t="s">
        <v>207</v>
      </c>
      <c r="D125">
        <v>3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</row>
    <row r="126" spans="1:12">
      <c r="A126" t="s">
        <v>484</v>
      </c>
      <c r="B126" t="s">
        <v>212</v>
      </c>
      <c r="C126" t="s">
        <v>207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</row>
    <row r="127" spans="1:12">
      <c r="A127" t="s">
        <v>484</v>
      </c>
      <c r="B127" t="s">
        <v>213</v>
      </c>
      <c r="C127" t="s">
        <v>24</v>
      </c>
      <c r="D127">
        <v>1</v>
      </c>
      <c r="E127">
        <v>0.31</v>
      </c>
      <c r="F127">
        <v>0.31</v>
      </c>
      <c r="G127">
        <v>0.31</v>
      </c>
      <c r="H127">
        <v>0.31</v>
      </c>
      <c r="I127">
        <v>0.31</v>
      </c>
      <c r="J127">
        <v>0.31</v>
      </c>
      <c r="K127">
        <v>0.31</v>
      </c>
      <c r="L127">
        <v>0.31</v>
      </c>
    </row>
    <row r="128" spans="1:12">
      <c r="A128" t="s">
        <v>484</v>
      </c>
      <c r="B128" t="s">
        <v>213</v>
      </c>
      <c r="C128" t="s">
        <v>207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</row>
    <row r="129" spans="1:12">
      <c r="A129" t="s">
        <v>484</v>
      </c>
      <c r="B129" t="s">
        <v>214</v>
      </c>
      <c r="C129" t="s">
        <v>207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</row>
    <row r="130" spans="1:12">
      <c r="A130" t="s">
        <v>484</v>
      </c>
      <c r="B130" t="s">
        <v>215</v>
      </c>
      <c r="C130" t="s">
        <v>207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</row>
    <row r="131" spans="1:12">
      <c r="A131" t="s">
        <v>484</v>
      </c>
      <c r="B131" t="s">
        <v>216</v>
      </c>
      <c r="C131" t="s">
        <v>24</v>
      </c>
      <c r="D131">
        <v>1</v>
      </c>
      <c r="E131">
        <v>0.31</v>
      </c>
      <c r="F131">
        <v>0.31</v>
      </c>
      <c r="G131">
        <v>0.31</v>
      </c>
      <c r="H131">
        <v>0.31</v>
      </c>
      <c r="I131">
        <v>0.31</v>
      </c>
      <c r="J131">
        <v>0.31</v>
      </c>
      <c r="K131">
        <v>0.31</v>
      </c>
      <c r="L131">
        <v>0.31</v>
      </c>
    </row>
    <row r="132" spans="1:12">
      <c r="A132" t="s">
        <v>484</v>
      </c>
      <c r="B132" t="s">
        <v>216</v>
      </c>
      <c r="C132" t="s">
        <v>207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</row>
    <row r="133" spans="1:12" s="6" customFormat="1">
      <c r="A133" t="s">
        <v>484</v>
      </c>
      <c r="B133" t="s">
        <v>244</v>
      </c>
      <c r="C133" t="s">
        <v>24</v>
      </c>
      <c r="D133">
        <v>1</v>
      </c>
      <c r="E133">
        <v>0.31</v>
      </c>
      <c r="F133">
        <v>0.31</v>
      </c>
      <c r="G133">
        <v>0.31</v>
      </c>
      <c r="H133">
        <v>0.31</v>
      </c>
      <c r="I133">
        <v>0.31</v>
      </c>
      <c r="J133">
        <v>0.31</v>
      </c>
      <c r="K133">
        <v>0.31</v>
      </c>
      <c r="L133">
        <v>0.31</v>
      </c>
    </row>
    <row r="134" spans="1:12">
      <c r="A134" t="s">
        <v>484</v>
      </c>
      <c r="B134" s="15" t="s">
        <v>244</v>
      </c>
      <c r="C134" t="s">
        <v>207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2">
      <c r="A135" t="s">
        <v>484</v>
      </c>
      <c r="B135" s="15" t="s">
        <v>233</v>
      </c>
      <c r="C135" t="s">
        <v>207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</row>
    <row r="136" spans="1:12">
      <c r="A136" t="s">
        <v>484</v>
      </c>
      <c r="B136" s="15" t="s">
        <v>234</v>
      </c>
      <c r="C136" t="s">
        <v>24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</row>
    <row r="137" spans="1:12">
      <c r="A137" t="s">
        <v>484</v>
      </c>
      <c r="B137" s="15" t="s">
        <v>234</v>
      </c>
      <c r="C137" t="s">
        <v>24</v>
      </c>
      <c r="D137">
        <v>1</v>
      </c>
      <c r="E137">
        <v>0.6</v>
      </c>
      <c r="F137">
        <v>0.6</v>
      </c>
      <c r="G137">
        <v>0.6</v>
      </c>
      <c r="H137">
        <v>0.6</v>
      </c>
      <c r="I137">
        <v>0.6</v>
      </c>
      <c r="J137">
        <v>0.6</v>
      </c>
      <c r="K137">
        <v>0.6</v>
      </c>
      <c r="L137">
        <v>0.6</v>
      </c>
    </row>
    <row r="138" spans="1:12">
      <c r="A138" t="s">
        <v>484</v>
      </c>
      <c r="B138" s="15" t="s">
        <v>234</v>
      </c>
      <c r="C138" t="s">
        <v>207</v>
      </c>
      <c r="D138">
        <v>2</v>
      </c>
      <c r="E138">
        <v>0.4</v>
      </c>
      <c r="F138">
        <v>0.4</v>
      </c>
      <c r="G138">
        <v>0.4</v>
      </c>
      <c r="H138">
        <v>0.4</v>
      </c>
      <c r="I138">
        <v>0.4</v>
      </c>
      <c r="J138">
        <v>0.4</v>
      </c>
      <c r="K138">
        <v>0.4</v>
      </c>
      <c r="L138">
        <v>0.4</v>
      </c>
    </row>
    <row r="139" spans="1:12">
      <c r="A139" t="s">
        <v>484</v>
      </c>
      <c r="B139" s="15" t="s">
        <v>217</v>
      </c>
      <c r="C139" t="s">
        <v>207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</row>
    <row r="140" spans="1:12">
      <c r="A140" t="s">
        <v>484</v>
      </c>
      <c r="B140" s="15" t="s">
        <v>222</v>
      </c>
      <c r="C140" t="s">
        <v>207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</row>
    <row r="141" spans="1:12">
      <c r="A141" t="s">
        <v>484</v>
      </c>
      <c r="B141" s="15" t="s">
        <v>218</v>
      </c>
      <c r="C141" t="s">
        <v>207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</row>
    <row r="142" spans="1:12">
      <c r="A142" t="s">
        <v>484</v>
      </c>
      <c r="B142" t="s">
        <v>218</v>
      </c>
      <c r="C142" t="s">
        <v>24</v>
      </c>
      <c r="D142">
        <v>1</v>
      </c>
      <c r="E142">
        <v>0.31</v>
      </c>
      <c r="F142">
        <v>0.31</v>
      </c>
      <c r="G142">
        <v>0.31</v>
      </c>
      <c r="H142">
        <v>0.31</v>
      </c>
      <c r="I142">
        <v>0.31</v>
      </c>
      <c r="J142">
        <v>0.31</v>
      </c>
      <c r="K142">
        <v>0.31</v>
      </c>
      <c r="L142">
        <v>0.31</v>
      </c>
    </row>
    <row r="143" spans="1:12">
      <c r="A143" t="s">
        <v>484</v>
      </c>
      <c r="B143" t="s">
        <v>232</v>
      </c>
      <c r="C143" t="s">
        <v>207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</row>
    <row r="144" spans="1:12">
      <c r="A144" t="s">
        <v>484</v>
      </c>
      <c r="B144" t="s">
        <v>225</v>
      </c>
      <c r="C144" t="s">
        <v>208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</row>
    <row r="145" spans="1:12">
      <c r="A145" t="s">
        <v>484</v>
      </c>
      <c r="B145" t="s">
        <v>225</v>
      </c>
      <c r="C145" t="s">
        <v>208</v>
      </c>
      <c r="D145">
        <v>2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</row>
    <row r="146" spans="1:12">
      <c r="A146" t="s">
        <v>484</v>
      </c>
      <c r="B146" t="s">
        <v>225</v>
      </c>
      <c r="C146" t="s">
        <v>208</v>
      </c>
      <c r="D146">
        <v>3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</row>
    <row r="147" spans="1:12">
      <c r="A147" t="s">
        <v>484</v>
      </c>
      <c r="B147" t="s">
        <v>236</v>
      </c>
      <c r="C147" t="s">
        <v>208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</row>
    <row r="148" spans="1:12">
      <c r="A148" t="s">
        <v>484</v>
      </c>
      <c r="B148" t="s">
        <v>223</v>
      </c>
      <c r="C148" t="s">
        <v>208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</row>
    <row r="149" spans="1:12">
      <c r="A149" t="s">
        <v>484</v>
      </c>
      <c r="B149" t="s">
        <v>224</v>
      </c>
      <c r="C149" t="s">
        <v>208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</row>
    <row r="150" spans="1:12">
      <c r="A150" t="s">
        <v>484</v>
      </c>
      <c r="B150" t="s">
        <v>235</v>
      </c>
      <c r="C150" t="s">
        <v>208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</row>
    <row r="151" spans="1:12">
      <c r="A151" t="s">
        <v>484</v>
      </c>
      <c r="B151" t="s">
        <v>226</v>
      </c>
      <c r="C151" t="s">
        <v>208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</row>
    <row r="152" spans="1:12">
      <c r="A152" t="s">
        <v>484</v>
      </c>
      <c r="B152" t="s">
        <v>238</v>
      </c>
      <c r="C152" t="s">
        <v>209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</row>
    <row r="153" spans="1:12">
      <c r="A153" t="s">
        <v>484</v>
      </c>
      <c r="B153" t="s">
        <v>238</v>
      </c>
      <c r="C153" t="s">
        <v>209</v>
      </c>
      <c r="D153">
        <v>2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</row>
    <row r="154" spans="1:12">
      <c r="A154" t="s">
        <v>484</v>
      </c>
      <c r="B154" t="s">
        <v>238</v>
      </c>
      <c r="C154" t="s">
        <v>209</v>
      </c>
      <c r="D154">
        <v>3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</row>
    <row r="155" spans="1:12">
      <c r="A155" t="s">
        <v>484</v>
      </c>
      <c r="B155" t="s">
        <v>238</v>
      </c>
      <c r="C155" t="s">
        <v>209</v>
      </c>
      <c r="D155">
        <v>4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</row>
    <row r="156" spans="1:12">
      <c r="A156" t="s">
        <v>484</v>
      </c>
      <c r="B156" t="s">
        <v>239</v>
      </c>
      <c r="C156" t="s">
        <v>209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</row>
    <row r="157" spans="1:12">
      <c r="A157" t="s">
        <v>484</v>
      </c>
      <c r="B157" t="s">
        <v>239</v>
      </c>
      <c r="C157" t="s">
        <v>209</v>
      </c>
      <c r="D157">
        <v>2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</row>
    <row r="158" spans="1:12">
      <c r="A158" t="s">
        <v>484</v>
      </c>
      <c r="B158" t="s">
        <v>239</v>
      </c>
      <c r="C158" t="s">
        <v>209</v>
      </c>
      <c r="D158">
        <v>3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</row>
    <row r="159" spans="1:12">
      <c r="A159" t="s">
        <v>484</v>
      </c>
      <c r="B159" t="s">
        <v>240</v>
      </c>
      <c r="C159" t="s">
        <v>209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</row>
    <row r="160" spans="1:12">
      <c r="A160" t="s">
        <v>484</v>
      </c>
      <c r="B160" t="s">
        <v>241</v>
      </c>
      <c r="C160" t="s">
        <v>209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</row>
    <row r="161" spans="1:12">
      <c r="A161" t="s">
        <v>484</v>
      </c>
      <c r="B161" t="s">
        <v>242</v>
      </c>
      <c r="C161" t="s">
        <v>209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</row>
    <row r="162" spans="1:12">
      <c r="A162" t="s">
        <v>484</v>
      </c>
      <c r="B162" t="s">
        <v>243</v>
      </c>
      <c r="C162" t="s">
        <v>209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</row>
    <row r="163" spans="1:12">
      <c r="A163" t="s">
        <v>484</v>
      </c>
      <c r="B163" t="s">
        <v>243</v>
      </c>
      <c r="C163" t="s">
        <v>209</v>
      </c>
      <c r="D163">
        <v>2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</row>
    <row r="164" spans="1:12">
      <c r="A164" t="s">
        <v>484</v>
      </c>
      <c r="B164" t="s">
        <v>243</v>
      </c>
      <c r="C164" t="s">
        <v>209</v>
      </c>
      <c r="D164">
        <v>3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</row>
    <row r="165" spans="1:12">
      <c r="A165" t="s">
        <v>484</v>
      </c>
      <c r="B165" t="s">
        <v>249</v>
      </c>
      <c r="C165" t="s">
        <v>209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</row>
    <row r="166" spans="1:12">
      <c r="A166" t="s">
        <v>484</v>
      </c>
      <c r="B166" t="s">
        <v>249</v>
      </c>
      <c r="C166" t="s">
        <v>209</v>
      </c>
      <c r="D166">
        <v>2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</row>
    <row r="167" spans="1:12">
      <c r="A167" t="s">
        <v>484</v>
      </c>
      <c r="B167" t="s">
        <v>249</v>
      </c>
      <c r="C167" t="s">
        <v>209</v>
      </c>
      <c r="D167">
        <v>3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</row>
    <row r="168" spans="1:12">
      <c r="A168" t="s">
        <v>484</v>
      </c>
      <c r="B168" t="s">
        <v>249</v>
      </c>
      <c r="C168" t="s">
        <v>209</v>
      </c>
      <c r="D168">
        <v>4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</row>
    <row r="169" spans="1:12">
      <c r="A169" t="s">
        <v>484</v>
      </c>
      <c r="B169" t="s">
        <v>250</v>
      </c>
      <c r="C169" t="s">
        <v>209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2">
      <c r="A170" t="s">
        <v>484</v>
      </c>
      <c r="B170" t="s">
        <v>262</v>
      </c>
      <c r="C170" t="s">
        <v>207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</row>
    <row r="171" spans="1:12">
      <c r="A171" t="s">
        <v>484</v>
      </c>
      <c r="B171" t="s">
        <v>256</v>
      </c>
      <c r="C171" t="s">
        <v>207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</row>
    <row r="172" spans="1:12">
      <c r="A172" t="s">
        <v>484</v>
      </c>
      <c r="B172" t="s">
        <v>257</v>
      </c>
      <c r="C172" t="s">
        <v>207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</row>
    <row r="173" spans="1:12">
      <c r="A173" t="s">
        <v>484</v>
      </c>
      <c r="B173" t="s">
        <v>263</v>
      </c>
      <c r="C173" t="s">
        <v>271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</row>
    <row r="174" spans="1:12">
      <c r="A174" t="s">
        <v>484</v>
      </c>
      <c r="B174" t="s">
        <v>254</v>
      </c>
      <c r="C174" t="s">
        <v>271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</row>
    <row r="175" spans="1:12">
      <c r="A175" t="s">
        <v>484</v>
      </c>
      <c r="B175" t="s">
        <v>255</v>
      </c>
      <c r="C175" t="s">
        <v>271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</row>
    <row r="176" spans="1:12">
      <c r="A176" t="s">
        <v>484</v>
      </c>
      <c r="B176" t="s">
        <v>262</v>
      </c>
      <c r="C176" t="s">
        <v>24</v>
      </c>
      <c r="D176">
        <v>1</v>
      </c>
      <c r="E176">
        <v>0.31</v>
      </c>
      <c r="F176">
        <v>0.31</v>
      </c>
      <c r="G176">
        <v>0.31</v>
      </c>
      <c r="H176">
        <v>0.31</v>
      </c>
      <c r="I176">
        <v>0.31</v>
      </c>
      <c r="J176">
        <v>0.31</v>
      </c>
      <c r="K176">
        <v>0.31</v>
      </c>
      <c r="L176">
        <v>0.31</v>
      </c>
    </row>
    <row r="177" spans="1:12">
      <c r="A177" t="s">
        <v>484</v>
      </c>
      <c r="B177" t="s">
        <v>256</v>
      </c>
      <c r="C177" t="s">
        <v>24</v>
      </c>
      <c r="D177">
        <v>1</v>
      </c>
      <c r="E177">
        <v>0.31</v>
      </c>
      <c r="F177">
        <v>0.31</v>
      </c>
      <c r="G177">
        <v>0.31</v>
      </c>
      <c r="H177">
        <v>0.31</v>
      </c>
      <c r="I177">
        <v>0.31</v>
      </c>
      <c r="J177">
        <v>0.31</v>
      </c>
      <c r="K177">
        <v>0.31</v>
      </c>
      <c r="L177">
        <v>0.31</v>
      </c>
    </row>
    <row r="178" spans="1:12">
      <c r="A178" t="s">
        <v>484</v>
      </c>
      <c r="B178" t="s">
        <v>257</v>
      </c>
      <c r="C178" t="s">
        <v>24</v>
      </c>
      <c r="D178">
        <v>1</v>
      </c>
      <c r="E178">
        <v>0.31</v>
      </c>
      <c r="F178">
        <v>0.31</v>
      </c>
      <c r="G178">
        <v>0.31</v>
      </c>
      <c r="H178">
        <v>0.31</v>
      </c>
      <c r="I178">
        <v>0.31</v>
      </c>
      <c r="J178">
        <v>0.31</v>
      </c>
      <c r="K178">
        <v>0.31</v>
      </c>
      <c r="L178">
        <v>0.31</v>
      </c>
    </row>
    <row r="179" spans="1:12">
      <c r="A179" t="s">
        <v>484</v>
      </c>
      <c r="B179" t="s">
        <v>205</v>
      </c>
      <c r="C179" t="s">
        <v>24</v>
      </c>
      <c r="D179">
        <v>1</v>
      </c>
      <c r="E179">
        <v>0.31</v>
      </c>
      <c r="F179">
        <v>0.31</v>
      </c>
      <c r="G179">
        <v>0.31</v>
      </c>
      <c r="H179">
        <v>0.31</v>
      </c>
      <c r="I179">
        <v>0.31</v>
      </c>
      <c r="J179">
        <v>0.31</v>
      </c>
      <c r="K179">
        <v>0.31</v>
      </c>
      <c r="L179">
        <v>0.31</v>
      </c>
    </row>
    <row r="180" spans="1:12">
      <c r="A180" t="s">
        <v>484</v>
      </c>
      <c r="B180" t="s">
        <v>263</v>
      </c>
      <c r="C180" t="s">
        <v>24</v>
      </c>
      <c r="D180">
        <v>1</v>
      </c>
      <c r="E180">
        <v>0.31</v>
      </c>
      <c r="F180">
        <v>0.31</v>
      </c>
      <c r="G180">
        <v>0.31</v>
      </c>
      <c r="H180">
        <v>0.31</v>
      </c>
      <c r="I180">
        <v>0.31</v>
      </c>
      <c r="J180">
        <v>0.31</v>
      </c>
      <c r="K180">
        <v>0.31</v>
      </c>
      <c r="L180">
        <v>0.31</v>
      </c>
    </row>
    <row r="181" spans="1:12">
      <c r="A181" s="11" t="s">
        <v>484</v>
      </c>
      <c r="B181" t="s">
        <v>254</v>
      </c>
      <c r="C181" t="s">
        <v>24</v>
      </c>
      <c r="D181">
        <v>1</v>
      </c>
      <c r="E181">
        <v>0.31</v>
      </c>
      <c r="F181">
        <v>0.31</v>
      </c>
      <c r="G181">
        <v>0.31</v>
      </c>
      <c r="H181">
        <v>0.31</v>
      </c>
      <c r="I181">
        <v>0.31</v>
      </c>
      <c r="J181">
        <v>0.31</v>
      </c>
      <c r="K181">
        <v>0.31</v>
      </c>
      <c r="L181">
        <v>0.31</v>
      </c>
    </row>
    <row r="182" spans="1:12">
      <c r="A182" s="11" t="s">
        <v>484</v>
      </c>
      <c r="B182" t="s">
        <v>255</v>
      </c>
      <c r="C182" t="s">
        <v>24</v>
      </c>
      <c r="D182">
        <v>1</v>
      </c>
      <c r="E182">
        <v>0.31</v>
      </c>
      <c r="F182">
        <v>0.31</v>
      </c>
      <c r="G182">
        <v>0.31</v>
      </c>
      <c r="H182">
        <v>0.31</v>
      </c>
      <c r="I182">
        <v>0.31</v>
      </c>
      <c r="J182">
        <v>0.31</v>
      </c>
      <c r="K182">
        <v>0.31</v>
      </c>
      <c r="L182">
        <v>0.31</v>
      </c>
    </row>
    <row r="183" spans="1:12">
      <c r="A183" s="11" t="s">
        <v>484</v>
      </c>
      <c r="B183" t="s">
        <v>258</v>
      </c>
      <c r="C183" t="s">
        <v>208</v>
      </c>
      <c r="D183">
        <v>1</v>
      </c>
      <c r="E183" s="5">
        <v>1</v>
      </c>
      <c r="F183" s="5">
        <v>1</v>
      </c>
      <c r="G183" s="5">
        <v>1</v>
      </c>
      <c r="H183" s="5">
        <v>1</v>
      </c>
      <c r="I183" s="5">
        <v>1</v>
      </c>
      <c r="J183" s="5">
        <v>1</v>
      </c>
      <c r="K183" s="5">
        <v>1</v>
      </c>
      <c r="L183" s="5">
        <v>1</v>
      </c>
    </row>
    <row r="184" spans="1:12">
      <c r="A184" t="s">
        <v>484</v>
      </c>
      <c r="B184" t="s">
        <v>259</v>
      </c>
      <c r="C184" t="s">
        <v>208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</row>
    <row r="185" spans="1:12">
      <c r="A185" t="s">
        <v>484</v>
      </c>
      <c r="B185" t="s">
        <v>251</v>
      </c>
      <c r="C185" t="s">
        <v>24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</row>
    <row r="186" spans="1:12">
      <c r="A186" t="s">
        <v>484</v>
      </c>
      <c r="B186" t="s">
        <v>252</v>
      </c>
      <c r="C186" t="s">
        <v>24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</row>
    <row r="187" spans="1:12">
      <c r="A187" t="s">
        <v>484</v>
      </c>
      <c r="B187" t="s">
        <v>253</v>
      </c>
      <c r="C187" t="s">
        <v>24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</row>
    <row r="188" spans="1:12">
      <c r="A188" t="s">
        <v>484</v>
      </c>
      <c r="B188" t="s">
        <v>260</v>
      </c>
      <c r="C188" t="s">
        <v>140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</row>
    <row r="189" spans="1:12">
      <c r="A189" t="s">
        <v>484</v>
      </c>
      <c r="B189" t="s">
        <v>261</v>
      </c>
      <c r="C189" t="s">
        <v>140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</row>
    <row r="190" spans="1:12">
      <c r="A190" t="s">
        <v>484</v>
      </c>
      <c r="B190" t="s">
        <v>265</v>
      </c>
      <c r="C190" t="s">
        <v>266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</row>
    <row r="191" spans="1:12">
      <c r="A191" t="s">
        <v>484</v>
      </c>
      <c r="B191" t="s">
        <v>267</v>
      </c>
      <c r="C191" t="s">
        <v>271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2">
      <c r="A192" t="s">
        <v>484</v>
      </c>
      <c r="B192" t="s">
        <v>268</v>
      </c>
      <c r="C192" t="s">
        <v>207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</row>
    <row r="193" spans="1:12">
      <c r="A193" t="s">
        <v>484</v>
      </c>
      <c r="B193" t="s">
        <v>269</v>
      </c>
      <c r="C193" t="s">
        <v>270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</row>
    <row r="194" spans="1:12">
      <c r="A194" t="s">
        <v>484</v>
      </c>
      <c r="B194" t="s">
        <v>300</v>
      </c>
      <c r="C194" t="s">
        <v>299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</row>
    <row r="195" spans="1:12">
      <c r="A195" t="s">
        <v>484</v>
      </c>
      <c r="B195" t="s">
        <v>300</v>
      </c>
      <c r="C195" t="s">
        <v>299</v>
      </c>
      <c r="D195">
        <v>2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2">
      <c r="A196" t="s">
        <v>484</v>
      </c>
      <c r="B196" t="s">
        <v>301</v>
      </c>
      <c r="C196" t="s">
        <v>141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</row>
    <row r="197" spans="1:12">
      <c r="A197" t="s">
        <v>484</v>
      </c>
      <c r="B197" t="s">
        <v>302</v>
      </c>
      <c r="C197" t="s">
        <v>141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</row>
    <row r="198" spans="1:12">
      <c r="A198" t="s">
        <v>484</v>
      </c>
      <c r="B198" t="s">
        <v>303</v>
      </c>
      <c r="C198" t="s">
        <v>141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</row>
    <row r="199" spans="1:12">
      <c r="A199" t="s">
        <v>484</v>
      </c>
      <c r="B199" t="s">
        <v>304</v>
      </c>
      <c r="C199" t="s">
        <v>141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</row>
    <row r="200" spans="1:12">
      <c r="A200" t="s">
        <v>484</v>
      </c>
      <c r="B200" t="s">
        <v>305</v>
      </c>
      <c r="C200" t="s">
        <v>141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</row>
    <row r="201" spans="1:12">
      <c r="A201" s="6" t="s">
        <v>484</v>
      </c>
      <c r="B201" s="2" t="s">
        <v>306</v>
      </c>
      <c r="C201" t="s">
        <v>198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</row>
    <row r="202" spans="1:12">
      <c r="A202" s="6" t="s">
        <v>484</v>
      </c>
      <c r="B202" s="2" t="s">
        <v>310</v>
      </c>
      <c r="C202" t="s">
        <v>140</v>
      </c>
      <c r="D202">
        <v>4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</row>
    <row r="203" spans="1:12">
      <c r="A203" s="6" t="s">
        <v>484</v>
      </c>
      <c r="B203" s="2" t="s">
        <v>310</v>
      </c>
      <c r="C203" t="s">
        <v>199</v>
      </c>
      <c r="D203">
        <v>3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</row>
    <row r="204" spans="1:12">
      <c r="A204" s="6" t="s">
        <v>484</v>
      </c>
      <c r="B204" s="2" t="s">
        <v>310</v>
      </c>
      <c r="C204" t="s">
        <v>198</v>
      </c>
      <c r="D204">
        <v>2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</row>
    <row r="205" spans="1:12">
      <c r="A205" s="6" t="s">
        <v>484</v>
      </c>
      <c r="B205" s="2" t="s">
        <v>310</v>
      </c>
      <c r="C205" t="s">
        <v>197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</row>
    <row r="206" spans="1:12">
      <c r="A206" s="6" t="s">
        <v>484</v>
      </c>
      <c r="B206" s="2" t="s">
        <v>311</v>
      </c>
      <c r="C206" t="s">
        <v>314</v>
      </c>
      <c r="D206">
        <v>4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</row>
    <row r="207" spans="1:12">
      <c r="A207" s="6" t="s">
        <v>484</v>
      </c>
      <c r="B207" s="2" t="s">
        <v>311</v>
      </c>
      <c r="C207" t="s">
        <v>315</v>
      </c>
      <c r="D207">
        <v>3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</row>
    <row r="208" spans="1:12">
      <c r="A208" s="6" t="s">
        <v>484</v>
      </c>
      <c r="B208" s="2" t="s">
        <v>311</v>
      </c>
      <c r="C208" t="s">
        <v>313</v>
      </c>
      <c r="D208">
        <v>2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</row>
    <row r="209" spans="1:12">
      <c r="A209" s="6" t="s">
        <v>484</v>
      </c>
      <c r="B209" s="2" t="s">
        <v>311</v>
      </c>
      <c r="C209" t="s">
        <v>312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</row>
    <row r="210" spans="1:12">
      <c r="A210" s="6" t="s">
        <v>484</v>
      </c>
      <c r="B210" s="2" t="s">
        <v>316</v>
      </c>
      <c r="C210" t="s">
        <v>145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</row>
    <row r="211" spans="1:12">
      <c r="A211" s="6" t="s">
        <v>484</v>
      </c>
      <c r="B211" s="2" t="s">
        <v>497</v>
      </c>
      <c r="C211" t="s">
        <v>145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</row>
    <row r="212" spans="1:12">
      <c r="A212" t="s">
        <v>484</v>
      </c>
      <c r="B212" t="s">
        <v>317</v>
      </c>
      <c r="C212" t="s">
        <v>146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</row>
    <row r="213" spans="1:12">
      <c r="A213" t="s">
        <v>484</v>
      </c>
      <c r="B213" t="s">
        <v>309</v>
      </c>
      <c r="C213" t="s">
        <v>312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</row>
    <row r="214" spans="1:12">
      <c r="A214" t="s">
        <v>484</v>
      </c>
      <c r="B214" t="s">
        <v>193</v>
      </c>
      <c r="C214" t="s">
        <v>196</v>
      </c>
      <c r="D214">
        <v>1</v>
      </c>
      <c r="E214">
        <v>0.25666666666666665</v>
      </c>
      <c r="F214">
        <v>0.24062500000000001</v>
      </c>
      <c r="G214">
        <v>0.2369230769230769</v>
      </c>
      <c r="H214">
        <v>0.23333333333333334</v>
      </c>
      <c r="I214">
        <v>0.2298507462686567</v>
      </c>
      <c r="J214">
        <v>0.22647058823529409</v>
      </c>
      <c r="K214">
        <v>0.22318840579710147</v>
      </c>
      <c r="L214">
        <v>0.22</v>
      </c>
    </row>
    <row r="215" spans="1:12">
      <c r="A215" t="s">
        <v>484</v>
      </c>
      <c r="B215" t="s">
        <v>194</v>
      </c>
      <c r="C215" t="s">
        <v>196</v>
      </c>
      <c r="D215">
        <v>1</v>
      </c>
      <c r="E215">
        <v>0.22647058823529409</v>
      </c>
      <c r="F215">
        <v>0.22</v>
      </c>
      <c r="G215">
        <v>0.21690140845070424</v>
      </c>
      <c r="H215">
        <v>0.12833333333333333</v>
      </c>
      <c r="I215">
        <v>0.20810810810810809</v>
      </c>
      <c r="J215">
        <v>0.20263157894736844</v>
      </c>
      <c r="K215">
        <v>0.20263157894736844</v>
      </c>
      <c r="L215">
        <v>0.20263157894736844</v>
      </c>
    </row>
    <row r="216" spans="1:12">
      <c r="A216" t="s">
        <v>484</v>
      </c>
      <c r="B216" t="s">
        <v>249</v>
      </c>
      <c r="C216" t="s">
        <v>196</v>
      </c>
      <c r="D216">
        <v>1</v>
      </c>
      <c r="E216">
        <v>2.5683257918552038E-2</v>
      </c>
      <c r="F216">
        <v>2.5349709114414996E-2</v>
      </c>
      <c r="G216">
        <v>2.5016160310277959E-2</v>
      </c>
      <c r="H216">
        <v>2.4682611506140918E-2</v>
      </c>
      <c r="I216">
        <v>2.4349062702003876E-2</v>
      </c>
      <c r="J216">
        <v>2.4015513897866839E-2</v>
      </c>
      <c r="K216">
        <v>2.3681965093729801E-2</v>
      </c>
      <c r="L216">
        <v>2.334841628959276E-2</v>
      </c>
    </row>
    <row r="217" spans="1:12">
      <c r="A217" t="s">
        <v>484</v>
      </c>
      <c r="B217" t="s">
        <v>249</v>
      </c>
      <c r="C217" t="s">
        <v>196</v>
      </c>
      <c r="D217">
        <v>2</v>
      </c>
      <c r="E217">
        <v>2.087854883273936E-2</v>
      </c>
      <c r="F217">
        <v>2.0607398847898587E-2</v>
      </c>
      <c r="G217">
        <v>2.0336248863057817E-2</v>
      </c>
      <c r="H217">
        <v>2.0065098878217044E-2</v>
      </c>
      <c r="I217">
        <v>1.9793948893376274E-2</v>
      </c>
      <c r="J217">
        <v>1.9522798908535505E-2</v>
      </c>
      <c r="K217">
        <v>1.9251648923694731E-2</v>
      </c>
      <c r="L217">
        <v>1.8980498938853962E-2</v>
      </c>
    </row>
    <row r="218" spans="1:12">
      <c r="A218" t="s">
        <v>484</v>
      </c>
      <c r="B218" t="s">
        <v>249</v>
      </c>
      <c r="C218" t="s">
        <v>196</v>
      </c>
      <c r="D218">
        <v>3</v>
      </c>
      <c r="E218">
        <v>1.8182837464461619E-2</v>
      </c>
      <c r="F218">
        <v>1.7946696718169911E-2</v>
      </c>
      <c r="G218">
        <v>1.7710555971878199E-2</v>
      </c>
      <c r="H218">
        <v>1.7474415225586487E-2</v>
      </c>
      <c r="I218">
        <v>1.7238274479294779E-2</v>
      </c>
      <c r="J218">
        <v>1.7002133733003071E-2</v>
      </c>
      <c r="K218">
        <v>1.6765992986711359E-2</v>
      </c>
      <c r="L218">
        <v>1.6529852240419651E-2</v>
      </c>
    </row>
    <row r="219" spans="1:12">
      <c r="A219" t="s">
        <v>484</v>
      </c>
      <c r="B219" t="s">
        <v>249</v>
      </c>
      <c r="C219" t="s">
        <v>196</v>
      </c>
      <c r="D219">
        <v>4</v>
      </c>
      <c r="E219">
        <v>1.8182837464461619E-2</v>
      </c>
      <c r="F219">
        <v>1.7946696718169911E-2</v>
      </c>
      <c r="G219">
        <v>1.7710555971878199E-2</v>
      </c>
      <c r="H219">
        <v>1.7474415225586487E-2</v>
      </c>
      <c r="I219">
        <v>1.7238274479294779E-2</v>
      </c>
      <c r="J219">
        <v>1.7002133733003071E-2</v>
      </c>
      <c r="K219">
        <v>1.6765992986711359E-2</v>
      </c>
      <c r="L219">
        <v>1.6529852240419651E-2</v>
      </c>
    </row>
    <row r="220" spans="1:12">
      <c r="A220" t="s">
        <v>484</v>
      </c>
      <c r="B220" t="s">
        <v>250</v>
      </c>
      <c r="C220" t="s">
        <v>196</v>
      </c>
      <c r="D220">
        <v>1</v>
      </c>
      <c r="E220">
        <v>1.6622222222222219E-2</v>
      </c>
      <c r="F220">
        <v>1.6226455026455023E-2</v>
      </c>
      <c r="G220">
        <v>1.5830687830687827E-2</v>
      </c>
      <c r="H220">
        <v>1.5434920634920631E-2</v>
      </c>
      <c r="I220">
        <v>1.5039153439153435E-2</v>
      </c>
      <c r="J220">
        <v>1.464338624338624E-2</v>
      </c>
      <c r="K220">
        <v>1.4247619047619044E-2</v>
      </c>
      <c r="L220">
        <v>1.385185185185185E-2</v>
      </c>
    </row>
    <row r="221" spans="1:12">
      <c r="A221" t="s">
        <v>484</v>
      </c>
      <c r="B221" t="s">
        <v>262</v>
      </c>
      <c r="C221" t="s">
        <v>196</v>
      </c>
      <c r="D221">
        <v>1</v>
      </c>
      <c r="E221">
        <v>0.11846153846153845</v>
      </c>
      <c r="F221">
        <v>0.10365384615384614</v>
      </c>
      <c r="G221">
        <v>9.8717948717948714E-2</v>
      </c>
      <c r="H221">
        <v>9.7483974358974351E-2</v>
      </c>
      <c r="I221">
        <v>9.6866987179487177E-2</v>
      </c>
      <c r="J221">
        <v>9.6558493589743583E-2</v>
      </c>
      <c r="K221">
        <v>9.6404246794871792E-2</v>
      </c>
      <c r="L221">
        <v>9.6250000000000002E-2</v>
      </c>
    </row>
    <row r="222" spans="1:12">
      <c r="A222" t="s">
        <v>484</v>
      </c>
      <c r="B222" t="s">
        <v>256</v>
      </c>
      <c r="C222" t="s">
        <v>196</v>
      </c>
      <c r="D222">
        <v>1</v>
      </c>
      <c r="E222">
        <v>1.8919999999999999E-2</v>
      </c>
      <c r="F222">
        <v>1.8919999999999999E-2</v>
      </c>
      <c r="G222">
        <v>1.8919999999999999E-2</v>
      </c>
      <c r="H222">
        <v>1.8919999999999999E-2</v>
      </c>
      <c r="I222">
        <v>1.8919999999999999E-2</v>
      </c>
      <c r="J222">
        <v>1.8919999999999999E-2</v>
      </c>
      <c r="K222">
        <v>1.8919999999999999E-2</v>
      </c>
      <c r="L222">
        <v>1.8919999999999999E-2</v>
      </c>
    </row>
    <row r="223" spans="1:12">
      <c r="A223" t="s">
        <v>484</v>
      </c>
      <c r="B223" t="s">
        <v>257</v>
      </c>
      <c r="C223" t="s">
        <v>196</v>
      </c>
      <c r="D223">
        <v>1</v>
      </c>
      <c r="E223">
        <v>2.0200000000000003E-2</v>
      </c>
      <c r="F223">
        <v>2.0200000000000003E-2</v>
      </c>
      <c r="G223">
        <v>2.0200000000000003E-2</v>
      </c>
      <c r="H223">
        <v>2.0200000000000003E-2</v>
      </c>
      <c r="I223">
        <v>2.0200000000000003E-2</v>
      </c>
      <c r="J223">
        <v>2.0200000000000003E-2</v>
      </c>
      <c r="K223">
        <v>2.0200000000000003E-2</v>
      </c>
      <c r="L223">
        <v>2.0200000000000003E-2</v>
      </c>
    </row>
    <row r="224" spans="1:12">
      <c r="A224" t="s">
        <v>484</v>
      </c>
      <c r="B224" t="s">
        <v>263</v>
      </c>
      <c r="C224" t="s">
        <v>196</v>
      </c>
      <c r="D224">
        <v>1</v>
      </c>
      <c r="E224">
        <v>0.11846153846153845</v>
      </c>
      <c r="F224">
        <v>0.10365384615384614</v>
      </c>
      <c r="G224">
        <v>9.8717948717948714E-2</v>
      </c>
      <c r="H224">
        <v>9.7483974358974351E-2</v>
      </c>
      <c r="I224">
        <v>9.6866987179487177E-2</v>
      </c>
      <c r="J224">
        <v>9.6558493589743583E-2</v>
      </c>
      <c r="K224">
        <v>9.6404246794871792E-2</v>
      </c>
      <c r="L224">
        <v>9.6250000000000002E-2</v>
      </c>
    </row>
    <row r="225" spans="1:17">
      <c r="A225" t="s">
        <v>484</v>
      </c>
      <c r="B225" t="s">
        <v>254</v>
      </c>
      <c r="C225" t="s">
        <v>196</v>
      </c>
      <c r="D225">
        <v>1</v>
      </c>
      <c r="E225">
        <v>1.8919999999999999E-2</v>
      </c>
      <c r="F225">
        <v>1.8919999999999999E-2</v>
      </c>
      <c r="G225">
        <v>1.8919999999999999E-2</v>
      </c>
      <c r="H225">
        <v>1.8919999999999999E-2</v>
      </c>
      <c r="I225">
        <v>1.8919999999999999E-2</v>
      </c>
      <c r="J225">
        <v>1.8919999999999999E-2</v>
      </c>
      <c r="K225">
        <v>1.8919999999999999E-2</v>
      </c>
      <c r="L225">
        <v>1.8919999999999999E-2</v>
      </c>
    </row>
    <row r="226" spans="1:17">
      <c r="A226" t="s">
        <v>484</v>
      </c>
      <c r="B226" t="s">
        <v>255</v>
      </c>
      <c r="C226" t="s">
        <v>196</v>
      </c>
      <c r="D226">
        <v>1</v>
      </c>
      <c r="E226">
        <v>2.0200000000000003E-2</v>
      </c>
      <c r="F226">
        <v>2.0200000000000003E-2</v>
      </c>
      <c r="G226">
        <v>2.0200000000000003E-2</v>
      </c>
      <c r="H226">
        <v>2.0200000000000003E-2</v>
      </c>
      <c r="I226">
        <v>2.0200000000000003E-2</v>
      </c>
      <c r="J226">
        <v>2.0200000000000003E-2</v>
      </c>
      <c r="K226">
        <v>2.0200000000000003E-2</v>
      </c>
      <c r="L226">
        <v>2.0200000000000003E-2</v>
      </c>
    </row>
    <row r="227" spans="1:17">
      <c r="A227" t="s">
        <v>484</v>
      </c>
      <c r="B227" t="s">
        <v>258</v>
      </c>
      <c r="C227" t="s">
        <v>196</v>
      </c>
      <c r="D227">
        <v>1</v>
      </c>
      <c r="E227">
        <v>7.3978021978021967E-3</v>
      </c>
      <c r="F227">
        <v>7.3978021978021967E-3</v>
      </c>
      <c r="G227">
        <v>7.3978021978021967E-3</v>
      </c>
      <c r="H227">
        <v>7.3978021978021967E-3</v>
      </c>
      <c r="I227">
        <v>7.3978021978021967E-3</v>
      </c>
      <c r="J227">
        <v>7.3978021978021967E-3</v>
      </c>
      <c r="K227">
        <v>7.3978021978021967E-3</v>
      </c>
      <c r="L227">
        <v>7.3978021978021967E-3</v>
      </c>
    </row>
    <row r="228" spans="1:17">
      <c r="A228" t="s">
        <v>484</v>
      </c>
      <c r="B228" t="s">
        <v>259</v>
      </c>
      <c r="C228" t="s">
        <v>196</v>
      </c>
      <c r="D228">
        <v>1</v>
      </c>
      <c r="E228">
        <v>1.6078534798534796E-2</v>
      </c>
      <c r="F228">
        <v>1.6078534798534796E-2</v>
      </c>
      <c r="G228">
        <v>1.6078534798534796E-2</v>
      </c>
      <c r="H228">
        <v>1.6078534798534796E-2</v>
      </c>
      <c r="I228">
        <v>1.6078534798534796E-2</v>
      </c>
      <c r="J228">
        <v>1.6078534798534796E-2</v>
      </c>
      <c r="K228">
        <v>1.6078534798534796E-2</v>
      </c>
      <c r="L228">
        <v>1.6078534798534796E-2</v>
      </c>
    </row>
    <row r="229" spans="1:17">
      <c r="A229" t="s">
        <v>484</v>
      </c>
      <c r="B229" t="s">
        <v>251</v>
      </c>
      <c r="C229" t="s">
        <v>196</v>
      </c>
      <c r="D229">
        <v>1</v>
      </c>
      <c r="E229">
        <v>2.9010666666666667E-2</v>
      </c>
      <c r="F229">
        <v>2.8523092436974783E-2</v>
      </c>
      <c r="G229">
        <v>2.8035518207282912E-2</v>
      </c>
      <c r="H229">
        <v>2.7547943977591031E-2</v>
      </c>
      <c r="I229">
        <v>2.7060369747899153E-2</v>
      </c>
      <c r="J229">
        <v>2.6572795518207279E-2</v>
      </c>
      <c r="K229">
        <v>2.6085221288515398E-2</v>
      </c>
      <c r="L229">
        <v>2.5597647058823524E-2</v>
      </c>
    </row>
    <row r="230" spans="1:17">
      <c r="A230" t="s">
        <v>484</v>
      </c>
      <c r="B230" t="s">
        <v>252</v>
      </c>
      <c r="C230" t="s">
        <v>196</v>
      </c>
      <c r="D230">
        <v>1</v>
      </c>
      <c r="E230">
        <v>2.8857142857142856E-2</v>
      </c>
      <c r="F230">
        <v>2.6933333333333337E-2</v>
      </c>
      <c r="G230">
        <v>2.6347826086956523E-2</v>
      </c>
      <c r="H230">
        <v>2.5787234042553193E-2</v>
      </c>
      <c r="I230">
        <v>2.5787234042553193E-2</v>
      </c>
      <c r="J230">
        <v>2.5787234042553193E-2</v>
      </c>
      <c r="K230">
        <v>2.5787234042553193E-2</v>
      </c>
      <c r="L230">
        <v>2.5787234042553193E-2</v>
      </c>
    </row>
    <row r="231" spans="1:17">
      <c r="A231" t="s">
        <v>484</v>
      </c>
      <c r="B231" t="s">
        <v>253</v>
      </c>
      <c r="C231" t="s">
        <v>196</v>
      </c>
      <c r="D231">
        <v>1</v>
      </c>
      <c r="E231">
        <v>1.9572413793103451E-2</v>
      </c>
      <c r="F231">
        <v>1.8919999999999999E-2</v>
      </c>
      <c r="G231">
        <v>1.860983606557377E-2</v>
      </c>
      <c r="H231">
        <v>1.8309677419354839E-2</v>
      </c>
      <c r="I231">
        <v>1.8309677419354839E-2</v>
      </c>
      <c r="J231">
        <v>1.8309677419354839E-2</v>
      </c>
      <c r="K231">
        <v>1.8163200000000001E-2</v>
      </c>
      <c r="L231">
        <v>1.8019047619047619E-2</v>
      </c>
    </row>
    <row r="232" spans="1:17">
      <c r="A232" s="11" t="s">
        <v>484</v>
      </c>
      <c r="B232" t="s">
        <v>261</v>
      </c>
      <c r="C232" t="s">
        <v>196</v>
      </c>
      <c r="D232">
        <v>1</v>
      </c>
      <c r="E232">
        <v>1.1219999999999999E-2</v>
      </c>
      <c r="F232">
        <v>1.015142857142857E-2</v>
      </c>
      <c r="G232">
        <v>9.7952380952380947E-3</v>
      </c>
      <c r="H232">
        <v>9.7061904761904759E-3</v>
      </c>
      <c r="I232">
        <v>9.6616666666666656E-3</v>
      </c>
      <c r="J232">
        <v>9.6394047619047622E-3</v>
      </c>
      <c r="K232">
        <v>9.6282738095238088E-3</v>
      </c>
      <c r="L232">
        <v>9.6171428571428571E-3</v>
      </c>
      <c r="M232" s="5"/>
    </row>
    <row r="233" spans="1:17">
      <c r="A233" s="6" t="s">
        <v>484</v>
      </c>
      <c r="B233" s="2" t="s">
        <v>327</v>
      </c>
      <c r="C233" t="s">
        <v>24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</row>
    <row r="234" spans="1:17">
      <c r="A234" s="6" t="s">
        <v>484</v>
      </c>
      <c r="B234" s="2" t="s">
        <v>329</v>
      </c>
      <c r="C234" t="s">
        <v>328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</row>
    <row r="235" spans="1:17">
      <c r="A235" t="s">
        <v>484</v>
      </c>
      <c r="B235" t="s">
        <v>330</v>
      </c>
      <c r="C235" t="s">
        <v>328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</row>
    <row r="236" spans="1:17">
      <c r="A236" t="s">
        <v>484</v>
      </c>
      <c r="B236" t="s">
        <v>331</v>
      </c>
      <c r="C236" t="s">
        <v>140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</row>
    <row r="237" spans="1:17">
      <c r="A237" t="s">
        <v>484</v>
      </c>
      <c r="B237" t="s">
        <v>333</v>
      </c>
      <c r="C237" t="s">
        <v>334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</row>
    <row r="238" spans="1:17">
      <c r="A238" t="s">
        <v>484</v>
      </c>
      <c r="B238" t="s">
        <v>333</v>
      </c>
      <c r="C238" t="s">
        <v>335</v>
      </c>
      <c r="D238">
        <v>2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</row>
    <row r="239" spans="1:17">
      <c r="A239" t="s">
        <v>484</v>
      </c>
      <c r="B239" t="s">
        <v>436</v>
      </c>
      <c r="C239" t="s">
        <v>24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P239" t="s">
        <v>452</v>
      </c>
      <c r="Q239" t="s">
        <v>453</v>
      </c>
    </row>
    <row r="240" spans="1:17">
      <c r="A240" t="s">
        <v>484</v>
      </c>
      <c r="B240" t="s">
        <v>104</v>
      </c>
      <c r="C240" t="s">
        <v>24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P240" t="s">
        <v>452</v>
      </c>
      <c r="Q240" t="s">
        <v>453</v>
      </c>
    </row>
    <row r="241" spans="1:17">
      <c r="A241" t="s">
        <v>484</v>
      </c>
      <c r="B241" t="s">
        <v>105</v>
      </c>
      <c r="C241" t="s">
        <v>24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P241" t="s">
        <v>452</v>
      </c>
      <c r="Q241" t="s">
        <v>453</v>
      </c>
    </row>
    <row r="242" spans="1:17">
      <c r="A242" t="s">
        <v>484</v>
      </c>
      <c r="B242" t="s">
        <v>442</v>
      </c>
      <c r="C242" t="s">
        <v>24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P242" t="s">
        <v>452</v>
      </c>
      <c r="Q242" t="s">
        <v>453</v>
      </c>
    </row>
    <row r="243" spans="1:17">
      <c r="A243" t="s">
        <v>484</v>
      </c>
      <c r="B243" t="s">
        <v>440</v>
      </c>
      <c r="C243" t="s">
        <v>24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P243" t="s">
        <v>452</v>
      </c>
      <c r="Q243" t="s">
        <v>453</v>
      </c>
    </row>
    <row r="244" spans="1:17">
      <c r="A244" t="s">
        <v>484</v>
      </c>
      <c r="B244" t="s">
        <v>444</v>
      </c>
      <c r="C244" t="s">
        <v>24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P244" t="s">
        <v>452</v>
      </c>
      <c r="Q244" t="s">
        <v>453</v>
      </c>
    </row>
    <row r="245" spans="1:17">
      <c r="A245" t="s">
        <v>484</v>
      </c>
      <c r="B245" t="s">
        <v>437</v>
      </c>
      <c r="C245" t="s">
        <v>24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P245" t="s">
        <v>452</v>
      </c>
      <c r="Q245" t="s">
        <v>453</v>
      </c>
    </row>
    <row r="246" spans="1:17">
      <c r="A246" t="s">
        <v>484</v>
      </c>
      <c r="B246" t="s">
        <v>438</v>
      </c>
      <c r="C246" t="s">
        <v>24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P246" t="s">
        <v>452</v>
      </c>
      <c r="Q246" t="s">
        <v>453</v>
      </c>
    </row>
    <row r="247" spans="1:17">
      <c r="A247" t="s">
        <v>484</v>
      </c>
      <c r="B247" t="s">
        <v>439</v>
      </c>
      <c r="C247" t="s">
        <v>24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P247" t="s">
        <v>452</v>
      </c>
      <c r="Q247" t="s">
        <v>453</v>
      </c>
    </row>
    <row r="248" spans="1:17">
      <c r="A248" t="s">
        <v>484</v>
      </c>
      <c r="B248" t="s">
        <v>443</v>
      </c>
      <c r="C248" t="s">
        <v>24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P248" t="s">
        <v>452</v>
      </c>
      <c r="Q248" t="s">
        <v>453</v>
      </c>
    </row>
    <row r="249" spans="1:17">
      <c r="A249" t="s">
        <v>484</v>
      </c>
      <c r="B249" t="s">
        <v>441</v>
      </c>
      <c r="C249" t="s">
        <v>24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P249" t="s">
        <v>452</v>
      </c>
      <c r="Q249" t="s">
        <v>453</v>
      </c>
    </row>
    <row r="250" spans="1:17">
      <c r="A250" t="s">
        <v>484</v>
      </c>
      <c r="B250" t="s">
        <v>436</v>
      </c>
      <c r="C250" t="s">
        <v>24</v>
      </c>
      <c r="D250">
        <v>2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P250" t="s">
        <v>452</v>
      </c>
      <c r="Q250" t="s">
        <v>455</v>
      </c>
    </row>
    <row r="251" spans="1:17">
      <c r="A251" t="s">
        <v>484</v>
      </c>
      <c r="B251" t="s">
        <v>104</v>
      </c>
      <c r="C251" t="s">
        <v>24</v>
      </c>
      <c r="D251">
        <v>2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P251" t="s">
        <v>452</v>
      </c>
      <c r="Q251" t="s">
        <v>455</v>
      </c>
    </row>
    <row r="252" spans="1:17">
      <c r="A252" t="s">
        <v>484</v>
      </c>
      <c r="B252" t="s">
        <v>105</v>
      </c>
      <c r="C252" t="s">
        <v>24</v>
      </c>
      <c r="D252">
        <v>2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P252" t="s">
        <v>452</v>
      </c>
      <c r="Q252" t="s">
        <v>455</v>
      </c>
    </row>
    <row r="253" spans="1:17">
      <c r="A253" t="s">
        <v>484</v>
      </c>
      <c r="B253" t="s">
        <v>442</v>
      </c>
      <c r="C253" t="s">
        <v>24</v>
      </c>
      <c r="D253">
        <v>2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P253" t="s">
        <v>452</v>
      </c>
      <c r="Q253" t="s">
        <v>455</v>
      </c>
    </row>
    <row r="254" spans="1:17">
      <c r="A254" t="s">
        <v>484</v>
      </c>
      <c r="B254" t="s">
        <v>440</v>
      </c>
      <c r="C254" t="s">
        <v>24</v>
      </c>
      <c r="D254">
        <v>2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P254" t="s">
        <v>452</v>
      </c>
      <c r="Q254" t="s">
        <v>455</v>
      </c>
    </row>
    <row r="255" spans="1:17">
      <c r="A255" t="s">
        <v>484</v>
      </c>
      <c r="B255" t="s">
        <v>444</v>
      </c>
      <c r="C255" t="s">
        <v>24</v>
      </c>
      <c r="D255">
        <v>2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P255" t="s">
        <v>452</v>
      </c>
      <c r="Q255" t="s">
        <v>455</v>
      </c>
    </row>
    <row r="256" spans="1:17">
      <c r="A256" t="s">
        <v>484</v>
      </c>
      <c r="B256" t="s">
        <v>437</v>
      </c>
      <c r="C256" t="s">
        <v>24</v>
      </c>
      <c r="D256">
        <v>2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P256" t="s">
        <v>452</v>
      </c>
      <c r="Q256" t="s">
        <v>455</v>
      </c>
    </row>
    <row r="257" spans="1:19">
      <c r="A257" t="s">
        <v>484</v>
      </c>
      <c r="B257" t="s">
        <v>438</v>
      </c>
      <c r="C257" t="s">
        <v>24</v>
      </c>
      <c r="D257">
        <v>2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P257" t="s">
        <v>452</v>
      </c>
      <c r="Q257" t="s">
        <v>455</v>
      </c>
    </row>
    <row r="258" spans="1:19">
      <c r="A258" t="s">
        <v>484</v>
      </c>
      <c r="B258" t="s">
        <v>439</v>
      </c>
      <c r="C258" t="s">
        <v>24</v>
      </c>
      <c r="D258">
        <v>2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P258" t="s">
        <v>452</v>
      </c>
      <c r="Q258" t="s">
        <v>455</v>
      </c>
    </row>
    <row r="259" spans="1:19">
      <c r="A259" t="s">
        <v>484</v>
      </c>
      <c r="B259" t="s">
        <v>443</v>
      </c>
      <c r="C259" t="s">
        <v>24</v>
      </c>
      <c r="D259">
        <v>2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P259" t="s">
        <v>452</v>
      </c>
      <c r="Q259" t="s">
        <v>455</v>
      </c>
    </row>
    <row r="260" spans="1:19">
      <c r="A260" t="s">
        <v>484</v>
      </c>
      <c r="B260" t="s">
        <v>441</v>
      </c>
      <c r="C260" t="s">
        <v>24</v>
      </c>
      <c r="D260">
        <v>2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P260" t="s">
        <v>452</v>
      </c>
      <c r="Q260" t="s">
        <v>455</v>
      </c>
    </row>
    <row r="261" spans="1:19">
      <c r="A261" t="s">
        <v>484</v>
      </c>
      <c r="B261" t="s">
        <v>445</v>
      </c>
      <c r="C261" t="s">
        <v>24</v>
      </c>
      <c r="D261">
        <v>2</v>
      </c>
      <c r="E261">
        <v>0.5</v>
      </c>
      <c r="F261">
        <v>0.5</v>
      </c>
      <c r="G261">
        <v>0.5</v>
      </c>
      <c r="H261">
        <v>0.5</v>
      </c>
      <c r="I261">
        <v>0.5</v>
      </c>
      <c r="J261">
        <v>0.5</v>
      </c>
      <c r="K261">
        <v>0.5</v>
      </c>
      <c r="L261">
        <v>0.5</v>
      </c>
      <c r="P261" t="s">
        <v>456</v>
      </c>
      <c r="Q261" t="s">
        <v>455</v>
      </c>
    </row>
    <row r="262" spans="1:19">
      <c r="A262" t="s">
        <v>484</v>
      </c>
      <c r="B262" t="s">
        <v>436</v>
      </c>
      <c r="C262" t="s">
        <v>434</v>
      </c>
      <c r="D262">
        <v>2</v>
      </c>
      <c r="E262">
        <v>2.5680000000000001</v>
      </c>
      <c r="F262">
        <v>2.5680000000000001</v>
      </c>
      <c r="G262">
        <v>2.5680000000000001</v>
      </c>
      <c r="H262">
        <v>2.5680000000000001</v>
      </c>
      <c r="I262">
        <v>2.5680000000000001</v>
      </c>
      <c r="J262">
        <v>2.5680000000000001</v>
      </c>
      <c r="K262">
        <v>2.5680000000000001</v>
      </c>
      <c r="L262">
        <v>2.5680000000000001</v>
      </c>
      <c r="P262" t="s">
        <v>452</v>
      </c>
      <c r="Q262" t="s">
        <v>455</v>
      </c>
      <c r="R262">
        <v>2.5680000000000001</v>
      </c>
      <c r="S262" t="s">
        <v>459</v>
      </c>
    </row>
    <row r="263" spans="1:19">
      <c r="A263" t="s">
        <v>484</v>
      </c>
      <c r="B263" t="s">
        <v>104</v>
      </c>
      <c r="C263" t="s">
        <v>434</v>
      </c>
      <c r="D263">
        <v>2</v>
      </c>
      <c r="E263">
        <v>1.5309999999999999</v>
      </c>
      <c r="F263">
        <v>1.5309999999999999</v>
      </c>
      <c r="G263">
        <v>1.5309999999999999</v>
      </c>
      <c r="H263">
        <v>1.5309999999999999</v>
      </c>
      <c r="I263">
        <v>1.5309999999999999</v>
      </c>
      <c r="J263">
        <v>1.5309999999999999</v>
      </c>
      <c r="K263">
        <v>1.5309999999999999</v>
      </c>
      <c r="L263">
        <v>1.5309999999999999</v>
      </c>
      <c r="P263" t="s">
        <v>452</v>
      </c>
      <c r="Q263" t="s">
        <v>455</v>
      </c>
      <c r="R263">
        <v>1.5309999999999999</v>
      </c>
      <c r="S263" t="s">
        <v>459</v>
      </c>
    </row>
    <row r="264" spans="1:19">
      <c r="A264" t="s">
        <v>484</v>
      </c>
      <c r="B264" t="s">
        <v>105</v>
      </c>
      <c r="C264" t="s">
        <v>434</v>
      </c>
      <c r="D264">
        <v>2</v>
      </c>
      <c r="E264">
        <v>1.651</v>
      </c>
      <c r="F264">
        <v>1.651</v>
      </c>
      <c r="G264">
        <v>1.651</v>
      </c>
      <c r="H264">
        <v>1.651</v>
      </c>
      <c r="I264">
        <v>1.651</v>
      </c>
      <c r="J264">
        <v>1.651</v>
      </c>
      <c r="K264">
        <v>1.651</v>
      </c>
      <c r="L264">
        <v>1.651</v>
      </c>
      <c r="P264" t="s">
        <v>452</v>
      </c>
      <c r="Q264" t="s">
        <v>455</v>
      </c>
      <c r="R264">
        <v>1.651</v>
      </c>
      <c r="S264" t="s">
        <v>459</v>
      </c>
    </row>
    <row r="265" spans="1:19">
      <c r="A265" t="s">
        <v>484</v>
      </c>
      <c r="B265" t="s">
        <v>442</v>
      </c>
      <c r="C265" t="s">
        <v>434</v>
      </c>
      <c r="D265">
        <v>2</v>
      </c>
      <c r="E265">
        <v>1.006</v>
      </c>
      <c r="F265">
        <v>1.006</v>
      </c>
      <c r="G265">
        <v>1.006</v>
      </c>
      <c r="H265">
        <v>1.006</v>
      </c>
      <c r="I265">
        <v>1.006</v>
      </c>
      <c r="J265">
        <v>1.006</v>
      </c>
      <c r="K265">
        <v>1.006</v>
      </c>
      <c r="L265">
        <v>1.006</v>
      </c>
      <c r="P265" t="s">
        <v>452</v>
      </c>
      <c r="Q265" t="s">
        <v>455</v>
      </c>
      <c r="R265">
        <v>1.006</v>
      </c>
      <c r="S265" t="s">
        <v>459</v>
      </c>
    </row>
    <row r="266" spans="1:19">
      <c r="A266" t="s">
        <v>484</v>
      </c>
      <c r="B266" t="s">
        <v>440</v>
      </c>
      <c r="C266" t="s">
        <v>434</v>
      </c>
      <c r="D266">
        <v>2</v>
      </c>
      <c r="E266">
        <v>1.006</v>
      </c>
      <c r="F266">
        <v>1.006</v>
      </c>
      <c r="G266">
        <v>1.006</v>
      </c>
      <c r="H266">
        <v>1.006</v>
      </c>
      <c r="I266">
        <v>1.006</v>
      </c>
      <c r="J266">
        <v>1.006</v>
      </c>
      <c r="K266">
        <v>1.006</v>
      </c>
      <c r="L266">
        <v>1.006</v>
      </c>
      <c r="P266" t="s">
        <v>452</v>
      </c>
      <c r="Q266" t="s">
        <v>455</v>
      </c>
      <c r="R266">
        <v>1.006</v>
      </c>
      <c r="S266" t="s">
        <v>459</v>
      </c>
    </row>
    <row r="267" spans="1:19">
      <c r="A267" t="s">
        <v>484</v>
      </c>
      <c r="B267" t="s">
        <v>444</v>
      </c>
      <c r="C267" t="s">
        <v>434</v>
      </c>
      <c r="D267">
        <v>2</v>
      </c>
      <c r="E267">
        <v>1.006</v>
      </c>
      <c r="F267">
        <v>1.006</v>
      </c>
      <c r="G267">
        <v>1.006</v>
      </c>
      <c r="H267">
        <v>1.006</v>
      </c>
      <c r="I267">
        <v>1.006</v>
      </c>
      <c r="J267">
        <v>1.006</v>
      </c>
      <c r="K267">
        <v>1.006</v>
      </c>
      <c r="L267">
        <v>1.006</v>
      </c>
      <c r="P267" t="s">
        <v>452</v>
      </c>
      <c r="Q267" t="s">
        <v>455</v>
      </c>
      <c r="R267">
        <v>1.006</v>
      </c>
      <c r="S267" t="s">
        <v>459</v>
      </c>
    </row>
    <row r="268" spans="1:19">
      <c r="A268" t="s">
        <v>484</v>
      </c>
      <c r="B268" t="s">
        <v>437</v>
      </c>
      <c r="C268" t="s">
        <v>434</v>
      </c>
      <c r="D268">
        <v>2</v>
      </c>
      <c r="E268">
        <v>2.5680000000000001</v>
      </c>
      <c r="F268">
        <v>2.5680000000000001</v>
      </c>
      <c r="G268">
        <v>2.5680000000000001</v>
      </c>
      <c r="H268">
        <v>2.5680000000000001</v>
      </c>
      <c r="I268">
        <v>2.5680000000000001</v>
      </c>
      <c r="J268">
        <v>2.5680000000000001</v>
      </c>
      <c r="K268">
        <v>2.5680000000000001</v>
      </c>
      <c r="L268">
        <v>2.5680000000000001</v>
      </c>
      <c r="P268" t="s">
        <v>452</v>
      </c>
      <c r="Q268" t="s">
        <v>455</v>
      </c>
      <c r="R268">
        <v>2.5680000000000001</v>
      </c>
      <c r="S268" t="s">
        <v>459</v>
      </c>
    </row>
    <row r="269" spans="1:19">
      <c r="A269" t="s">
        <v>484</v>
      </c>
      <c r="B269" t="s">
        <v>438</v>
      </c>
      <c r="C269" t="s">
        <v>434</v>
      </c>
      <c r="D269">
        <v>2</v>
      </c>
      <c r="E269">
        <v>1.8320000000000001</v>
      </c>
      <c r="F269">
        <v>1.8320000000000001</v>
      </c>
      <c r="G269">
        <v>1.8320000000000001</v>
      </c>
      <c r="H269">
        <v>1.8320000000000001</v>
      </c>
      <c r="I269">
        <v>1.8320000000000001</v>
      </c>
      <c r="J269">
        <v>1.8320000000000001</v>
      </c>
      <c r="K269">
        <v>1.8320000000000001</v>
      </c>
      <c r="L269">
        <v>1.8320000000000001</v>
      </c>
      <c r="P269" t="s">
        <v>452</v>
      </c>
      <c r="Q269" t="s">
        <v>455</v>
      </c>
      <c r="R269">
        <v>1.8320000000000001</v>
      </c>
      <c r="S269" t="s">
        <v>459</v>
      </c>
    </row>
    <row r="270" spans="1:19">
      <c r="A270" t="s">
        <v>484</v>
      </c>
      <c r="B270" t="s">
        <v>439</v>
      </c>
      <c r="C270" t="s">
        <v>434</v>
      </c>
      <c r="D270">
        <v>2</v>
      </c>
      <c r="E270">
        <v>1.006</v>
      </c>
      <c r="F270">
        <v>1.006</v>
      </c>
      <c r="G270">
        <v>1.006</v>
      </c>
      <c r="H270">
        <v>1.006</v>
      </c>
      <c r="I270">
        <v>1.006</v>
      </c>
      <c r="J270">
        <v>1.006</v>
      </c>
      <c r="K270">
        <v>1.006</v>
      </c>
      <c r="L270">
        <v>1.006</v>
      </c>
      <c r="P270" t="s">
        <v>452</v>
      </c>
      <c r="Q270" t="s">
        <v>455</v>
      </c>
      <c r="R270">
        <v>1.006</v>
      </c>
      <c r="S270" t="s">
        <v>459</v>
      </c>
    </row>
    <row r="271" spans="1:19">
      <c r="A271" t="s">
        <v>484</v>
      </c>
      <c r="B271" t="s">
        <v>443</v>
      </c>
      <c r="C271" t="s">
        <v>434</v>
      </c>
      <c r="D271">
        <v>2</v>
      </c>
      <c r="E271">
        <v>1.006</v>
      </c>
      <c r="F271">
        <v>1.006</v>
      </c>
      <c r="G271">
        <v>1.006</v>
      </c>
      <c r="H271">
        <v>1.006</v>
      </c>
      <c r="I271">
        <v>1.006</v>
      </c>
      <c r="J271">
        <v>1.006</v>
      </c>
      <c r="K271">
        <v>1.006</v>
      </c>
      <c r="L271">
        <v>1.006</v>
      </c>
      <c r="P271" t="s">
        <v>452</v>
      </c>
      <c r="Q271" t="s">
        <v>455</v>
      </c>
      <c r="R271">
        <v>1.006</v>
      </c>
      <c r="S271" t="s">
        <v>459</v>
      </c>
    </row>
    <row r="272" spans="1:19">
      <c r="A272" t="s">
        <v>484</v>
      </c>
      <c r="B272" t="s">
        <v>441</v>
      </c>
      <c r="C272" t="s">
        <v>434</v>
      </c>
      <c r="D272">
        <v>2</v>
      </c>
      <c r="E272">
        <v>1.006</v>
      </c>
      <c r="F272">
        <v>1.006</v>
      </c>
      <c r="G272">
        <v>1.006</v>
      </c>
      <c r="H272">
        <v>1.006</v>
      </c>
      <c r="I272">
        <v>1.006</v>
      </c>
      <c r="J272">
        <v>1.006</v>
      </c>
      <c r="K272">
        <v>1.006</v>
      </c>
      <c r="L272">
        <v>1.006</v>
      </c>
      <c r="P272" t="s">
        <v>452</v>
      </c>
      <c r="Q272" t="s">
        <v>455</v>
      </c>
      <c r="R272">
        <v>1.006</v>
      </c>
      <c r="S272" t="s">
        <v>459</v>
      </c>
    </row>
    <row r="273" spans="1:17">
      <c r="A273" t="s">
        <v>484</v>
      </c>
      <c r="B273" t="s">
        <v>445</v>
      </c>
      <c r="C273" t="s">
        <v>434</v>
      </c>
      <c r="D273">
        <v>2</v>
      </c>
      <c r="E273">
        <v>0.4</v>
      </c>
      <c r="F273">
        <v>0.4</v>
      </c>
      <c r="G273">
        <v>0.4</v>
      </c>
      <c r="H273">
        <v>0.4</v>
      </c>
      <c r="I273">
        <v>0.4</v>
      </c>
      <c r="J273">
        <v>0.4</v>
      </c>
      <c r="K273">
        <v>0.4</v>
      </c>
      <c r="L273">
        <v>0.4</v>
      </c>
      <c r="P273" t="s">
        <v>456</v>
      </c>
      <c r="Q273" t="s">
        <v>455</v>
      </c>
    </row>
    <row r="274" spans="1:17">
      <c r="A274" t="s">
        <v>484</v>
      </c>
      <c r="B274" t="s">
        <v>447</v>
      </c>
      <c r="C274" t="s">
        <v>207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</row>
    <row r="275" spans="1:17">
      <c r="A275" t="s">
        <v>484</v>
      </c>
      <c r="B275" t="s">
        <v>448</v>
      </c>
      <c r="C275" t="s">
        <v>271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</row>
    <row r="276" spans="1:17">
      <c r="A276" t="s">
        <v>484</v>
      </c>
      <c r="B276" t="s">
        <v>446</v>
      </c>
      <c r="C276" t="s">
        <v>24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P276" t="s">
        <v>457</v>
      </c>
    </row>
    <row r="277" spans="1:17">
      <c r="A277" t="s">
        <v>484</v>
      </c>
      <c r="B277" t="s">
        <v>446</v>
      </c>
      <c r="C277" t="s">
        <v>24</v>
      </c>
      <c r="D277">
        <v>2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P277" t="s">
        <v>457</v>
      </c>
    </row>
    <row r="278" spans="1:17">
      <c r="A278" t="s">
        <v>484</v>
      </c>
      <c r="B278" t="s">
        <v>446</v>
      </c>
      <c r="C278" t="s">
        <v>434</v>
      </c>
      <c r="D278">
        <v>2</v>
      </c>
      <c r="E278">
        <v>1.651</v>
      </c>
      <c r="F278">
        <v>1.651</v>
      </c>
      <c r="G278">
        <v>1.651</v>
      </c>
      <c r="H278">
        <v>1.651</v>
      </c>
      <c r="I278">
        <v>1.651</v>
      </c>
      <c r="J278">
        <v>1.651</v>
      </c>
      <c r="K278">
        <v>1.651</v>
      </c>
      <c r="L278">
        <v>1.651</v>
      </c>
      <c r="P278" t="s">
        <v>457</v>
      </c>
    </row>
    <row r="279" spans="1:17">
      <c r="A279" t="s">
        <v>484</v>
      </c>
      <c r="B279" t="s">
        <v>460</v>
      </c>
      <c r="C279" t="s">
        <v>24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</row>
    <row r="280" spans="1:17">
      <c r="A280" t="s">
        <v>484</v>
      </c>
      <c r="B280" t="s">
        <v>449</v>
      </c>
      <c r="C280" t="s">
        <v>24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</row>
    <row r="281" spans="1:17">
      <c r="A281" t="s">
        <v>484</v>
      </c>
      <c r="B281" t="s">
        <v>451</v>
      </c>
      <c r="C281" t="s">
        <v>24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</row>
    <row r="282" spans="1:17">
      <c r="A282" t="s">
        <v>484</v>
      </c>
      <c r="B282" t="s">
        <v>450</v>
      </c>
      <c r="C282" t="s">
        <v>24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</row>
    <row r="283" spans="1:17">
      <c r="A283" t="s">
        <v>484</v>
      </c>
      <c r="B283" t="s">
        <v>449</v>
      </c>
      <c r="C283" t="s">
        <v>24</v>
      </c>
      <c r="D283">
        <v>2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</row>
    <row r="284" spans="1:17">
      <c r="A284" t="s">
        <v>484</v>
      </c>
      <c r="B284" t="s">
        <v>451</v>
      </c>
      <c r="C284" t="s">
        <v>24</v>
      </c>
      <c r="D284">
        <v>2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</row>
    <row r="285" spans="1:17">
      <c r="A285" t="s">
        <v>484</v>
      </c>
      <c r="B285" t="s">
        <v>450</v>
      </c>
      <c r="C285" t="s">
        <v>24</v>
      </c>
      <c r="D285">
        <v>2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</row>
    <row r="286" spans="1:17">
      <c r="A286" t="s">
        <v>484</v>
      </c>
      <c r="B286" t="s">
        <v>449</v>
      </c>
      <c r="C286" t="s">
        <v>24</v>
      </c>
      <c r="D286">
        <v>3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</row>
    <row r="287" spans="1:17">
      <c r="A287" t="s">
        <v>484</v>
      </c>
      <c r="B287" t="s">
        <v>451</v>
      </c>
      <c r="C287" t="s">
        <v>24</v>
      </c>
      <c r="D287">
        <v>3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</row>
    <row r="288" spans="1:17">
      <c r="A288" t="s">
        <v>484</v>
      </c>
      <c r="B288" t="s">
        <v>450</v>
      </c>
      <c r="C288" t="s">
        <v>24</v>
      </c>
      <c r="D288">
        <v>3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</row>
  </sheetData>
  <dataValidations count="2">
    <dataValidation type="list" allowBlank="1" showInputMessage="1" showErrorMessage="1" sqref="B23 B25:B27 B210" xr:uid="{00000000-0002-0000-1A00-000000000000}">
      <formula1>Technologies</formula1>
    </dataValidation>
    <dataValidation type="list" allowBlank="1" showInputMessage="1" showErrorMessage="1" sqref="A181:A183 A232" xr:uid="{00000000-0002-0000-1A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Tabelle13"/>
  <dimension ref="A1:Y145"/>
  <sheetViews>
    <sheetView zoomScale="85" zoomScaleNormal="85" zoomScalePageLayoutView="85" workbookViewId="0">
      <selection activeCell="E4" sqref="E4"/>
    </sheetView>
  </sheetViews>
  <sheetFormatPr defaultColWidth="11.42578125" defaultRowHeight="15"/>
  <cols>
    <col min="1" max="1" width="18" customWidth="1"/>
    <col min="2" max="2" width="25.5703125" customWidth="1"/>
    <col min="3" max="9" width="15.42578125" customWidth="1"/>
    <col min="10" max="10" width="13.5703125" bestFit="1" customWidth="1"/>
    <col min="11" max="11" width="2" customWidth="1"/>
    <col min="12" max="12" width="20.42578125" bestFit="1" customWidth="1"/>
    <col min="13" max="13" width="30" bestFit="1" customWidth="1"/>
    <col min="14" max="14" width="26.42578125" bestFit="1" customWidth="1"/>
  </cols>
  <sheetData>
    <row r="1" spans="1:15">
      <c r="A1" t="s">
        <v>399</v>
      </c>
    </row>
    <row r="2" spans="1:15">
      <c r="A2" t="s">
        <v>4</v>
      </c>
    </row>
    <row r="3" spans="1:15">
      <c r="A3" t="s">
        <v>371</v>
      </c>
    </row>
    <row r="5" spans="1:15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  <row r="6" spans="1:15">
      <c r="A6" t="s">
        <v>484</v>
      </c>
      <c r="B6" t="s">
        <v>300</v>
      </c>
      <c r="C6" s="16">
        <v>947</v>
      </c>
      <c r="D6" s="16">
        <v>947</v>
      </c>
      <c r="E6" s="16">
        <v>947</v>
      </c>
      <c r="F6" s="16">
        <v>947</v>
      </c>
      <c r="G6" s="16">
        <v>947</v>
      </c>
      <c r="H6" s="16">
        <v>852.3</v>
      </c>
      <c r="I6" s="16">
        <v>852.3</v>
      </c>
      <c r="J6" s="16">
        <v>852.3</v>
      </c>
      <c r="N6" t="s">
        <v>461</v>
      </c>
      <c r="O6" t="s">
        <v>462</v>
      </c>
    </row>
    <row r="7" spans="1:15">
      <c r="A7" t="s">
        <v>484</v>
      </c>
      <c r="B7" t="s">
        <v>301</v>
      </c>
      <c r="C7" s="16">
        <v>0.01</v>
      </c>
      <c r="D7" s="16">
        <v>0.01</v>
      </c>
      <c r="E7" s="16">
        <v>0.01</v>
      </c>
      <c r="F7" s="16">
        <v>0.01</v>
      </c>
      <c r="G7" s="16">
        <v>0.01</v>
      </c>
      <c r="H7" s="16">
        <v>0.01</v>
      </c>
      <c r="I7" s="16">
        <v>0.01</v>
      </c>
      <c r="J7" s="16">
        <v>0.01</v>
      </c>
      <c r="N7" t="s">
        <v>461</v>
      </c>
      <c r="O7" t="s">
        <v>462</v>
      </c>
    </row>
    <row r="8" spans="1:15">
      <c r="A8" t="s">
        <v>484</v>
      </c>
      <c r="B8" t="s">
        <v>302</v>
      </c>
      <c r="C8" s="16">
        <v>0.01</v>
      </c>
      <c r="D8" s="16">
        <v>0.01</v>
      </c>
      <c r="E8" s="16">
        <v>0.01</v>
      </c>
      <c r="F8" s="16">
        <v>0.01</v>
      </c>
      <c r="G8" s="16">
        <v>0.01</v>
      </c>
      <c r="H8" s="16">
        <v>0.01</v>
      </c>
      <c r="I8" s="16">
        <v>0.01</v>
      </c>
      <c r="J8" s="16">
        <v>0.01</v>
      </c>
      <c r="N8" t="s">
        <v>461</v>
      </c>
      <c r="O8" t="s">
        <v>462</v>
      </c>
    </row>
    <row r="9" spans="1:15">
      <c r="A9" t="s">
        <v>484</v>
      </c>
      <c r="B9" t="s">
        <v>303</v>
      </c>
      <c r="C9" s="16">
        <v>0.01</v>
      </c>
      <c r="D9" s="16">
        <v>0.01</v>
      </c>
      <c r="E9" s="16">
        <v>0.01</v>
      </c>
      <c r="F9" s="16">
        <v>0.01</v>
      </c>
      <c r="G9" s="16">
        <v>0.01</v>
      </c>
      <c r="H9" s="16">
        <v>0.01</v>
      </c>
      <c r="I9" s="16">
        <v>0.01</v>
      </c>
      <c r="J9" s="16">
        <v>0.01</v>
      </c>
      <c r="N9" t="s">
        <v>461</v>
      </c>
      <c r="O9" t="s">
        <v>462</v>
      </c>
    </row>
    <row r="10" spans="1:15">
      <c r="A10" t="s">
        <v>484</v>
      </c>
      <c r="B10" t="s">
        <v>304</v>
      </c>
      <c r="C10" s="16">
        <v>0.01</v>
      </c>
      <c r="D10" s="16">
        <v>0.01</v>
      </c>
      <c r="E10" s="16">
        <v>0.01</v>
      </c>
      <c r="F10" s="16">
        <v>0.01</v>
      </c>
      <c r="G10" s="16">
        <v>0.01</v>
      </c>
      <c r="H10" s="16">
        <v>0.01</v>
      </c>
      <c r="I10" s="16">
        <v>0.01</v>
      </c>
      <c r="J10" s="16">
        <v>0.01</v>
      </c>
      <c r="N10" t="s">
        <v>461</v>
      </c>
      <c r="O10" t="s">
        <v>462</v>
      </c>
    </row>
    <row r="11" spans="1:15">
      <c r="A11" t="s">
        <v>484</v>
      </c>
      <c r="B11" t="s">
        <v>305</v>
      </c>
      <c r="C11" s="16">
        <v>0.01</v>
      </c>
      <c r="D11" s="16">
        <v>0.01</v>
      </c>
      <c r="E11" s="16">
        <v>0.01</v>
      </c>
      <c r="F11" s="16">
        <v>0.01</v>
      </c>
      <c r="G11" s="16">
        <v>0.01</v>
      </c>
      <c r="H11" s="16">
        <v>0.01</v>
      </c>
      <c r="I11" s="16">
        <v>0.01</v>
      </c>
      <c r="J11" s="16">
        <v>0.01</v>
      </c>
      <c r="N11" t="s">
        <v>461</v>
      </c>
      <c r="O11" t="s">
        <v>462</v>
      </c>
    </row>
    <row r="12" spans="1:15">
      <c r="A12" t="s">
        <v>484</v>
      </c>
      <c r="B12" t="s">
        <v>306</v>
      </c>
      <c r="C12" s="16">
        <v>771</v>
      </c>
      <c r="D12" s="16">
        <v>731</v>
      </c>
      <c r="E12" s="16">
        <v>706</v>
      </c>
      <c r="F12" s="16">
        <v>680</v>
      </c>
      <c r="G12" s="16">
        <v>653</v>
      </c>
      <c r="H12" s="16">
        <v>632</v>
      </c>
      <c r="I12" s="16">
        <v>609</v>
      </c>
      <c r="J12" s="16">
        <v>589</v>
      </c>
      <c r="N12" t="s">
        <v>463</v>
      </c>
      <c r="O12" t="s">
        <v>464</v>
      </c>
    </row>
    <row r="13" spans="1:15">
      <c r="A13" t="s">
        <v>484</v>
      </c>
      <c r="B13" t="s">
        <v>310</v>
      </c>
      <c r="C13" s="16">
        <v>1</v>
      </c>
      <c r="D13" s="16">
        <v>1</v>
      </c>
      <c r="E13" s="16">
        <v>1</v>
      </c>
      <c r="F13" s="16">
        <v>1</v>
      </c>
      <c r="G13" s="16">
        <v>1</v>
      </c>
      <c r="H13" s="16">
        <v>1</v>
      </c>
      <c r="I13" s="16">
        <v>1</v>
      </c>
      <c r="J13" s="16">
        <v>1</v>
      </c>
      <c r="N13" t="s">
        <v>463</v>
      </c>
      <c r="O13" t="s">
        <v>464</v>
      </c>
    </row>
    <row r="14" spans="1:15">
      <c r="A14" t="s">
        <v>484</v>
      </c>
      <c r="B14" t="s">
        <v>311</v>
      </c>
      <c r="C14" s="16">
        <v>1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N14" t="s">
        <v>463</v>
      </c>
      <c r="O14" t="s">
        <v>464</v>
      </c>
    </row>
    <row r="15" spans="1:15">
      <c r="A15" t="s">
        <v>484</v>
      </c>
      <c r="B15" t="s">
        <v>316</v>
      </c>
      <c r="C15" s="16">
        <v>6.1224489795918364</v>
      </c>
      <c r="D15" s="16">
        <v>6.3240316534777179</v>
      </c>
      <c r="E15" s="16">
        <v>6.5206164098292376</v>
      </c>
      <c r="F15" s="16">
        <v>6.7122032486463974</v>
      </c>
      <c r="G15" s="16">
        <v>6.8987921699291963</v>
      </c>
      <c r="H15" s="16">
        <v>7.0803831736776344</v>
      </c>
      <c r="I15" s="16">
        <v>7.2569762598917125</v>
      </c>
      <c r="J15" s="16">
        <v>7.4285714285714288</v>
      </c>
      <c r="N15" t="s">
        <v>463</v>
      </c>
      <c r="O15" t="s">
        <v>464</v>
      </c>
    </row>
    <row r="16" spans="1:15">
      <c r="A16" t="s">
        <v>484</v>
      </c>
      <c r="B16" t="s">
        <v>497</v>
      </c>
      <c r="C16" s="16">
        <v>10.303617571059432</v>
      </c>
      <c r="D16" s="16">
        <v>10.46610504666983</v>
      </c>
      <c r="E16" s="16">
        <v>10.605653113958761</v>
      </c>
      <c r="F16" s="16">
        <v>10.722261772926224</v>
      </c>
      <c r="G16" s="16">
        <v>10.815931023572221</v>
      </c>
      <c r="H16" s="16">
        <v>10.886660865896749</v>
      </c>
      <c r="I16" s="16">
        <v>10.934451299899804</v>
      </c>
      <c r="J16" s="16">
        <v>10.959302325581396</v>
      </c>
      <c r="N16" t="s">
        <v>463</v>
      </c>
      <c r="O16" t="s">
        <v>464</v>
      </c>
    </row>
    <row r="17" spans="1:25">
      <c r="A17" t="s">
        <v>484</v>
      </c>
      <c r="B17" t="s">
        <v>317</v>
      </c>
      <c r="C17" s="16">
        <v>48</v>
      </c>
      <c r="D17" s="16">
        <v>45.888268221574343</v>
      </c>
      <c r="E17" s="16">
        <v>43.433889212827985</v>
      </c>
      <c r="F17" s="16">
        <v>40.636862973760934</v>
      </c>
      <c r="G17" s="16">
        <v>37.497189504373175</v>
      </c>
      <c r="H17" s="16">
        <v>34.014868804664729</v>
      </c>
      <c r="I17" s="16">
        <v>30.189900874635569</v>
      </c>
      <c r="J17" s="16">
        <v>26.022285714285715</v>
      </c>
      <c r="N17" t="s">
        <v>463</v>
      </c>
      <c r="O17" t="s">
        <v>456</v>
      </c>
      <c r="P17" t="s">
        <v>455</v>
      </c>
    </row>
    <row r="18" spans="1:25">
      <c r="A18" t="s">
        <v>484</v>
      </c>
      <c r="B18" t="s">
        <v>327</v>
      </c>
      <c r="C18" s="16">
        <v>516</v>
      </c>
      <c r="D18" s="16">
        <v>516</v>
      </c>
      <c r="E18" s="16">
        <v>473.00000000000006</v>
      </c>
      <c r="F18" s="16">
        <v>473.00000000000006</v>
      </c>
      <c r="G18" s="16">
        <v>451.5</v>
      </c>
      <c r="H18" s="16">
        <v>451.5</v>
      </c>
      <c r="I18" s="16">
        <v>451.5</v>
      </c>
      <c r="J18" s="16">
        <v>451.5</v>
      </c>
      <c r="N18" t="s">
        <v>465</v>
      </c>
    </row>
    <row r="19" spans="1:25">
      <c r="A19" t="s">
        <v>484</v>
      </c>
      <c r="B19" t="s">
        <v>329</v>
      </c>
      <c r="C19" s="16">
        <v>730</v>
      </c>
      <c r="D19" s="16">
        <v>730</v>
      </c>
      <c r="E19" s="16">
        <v>534</v>
      </c>
      <c r="F19" s="16">
        <v>338</v>
      </c>
      <c r="G19" s="16">
        <v>287.5</v>
      </c>
      <c r="H19" s="16">
        <v>237</v>
      </c>
      <c r="I19" s="16">
        <v>218</v>
      </c>
      <c r="J19" s="16">
        <v>199</v>
      </c>
      <c r="N19" t="s">
        <v>465</v>
      </c>
    </row>
    <row r="20" spans="1:25">
      <c r="A20" t="s">
        <v>484</v>
      </c>
      <c r="B20" t="s">
        <v>330</v>
      </c>
      <c r="C20" s="16">
        <v>815</v>
      </c>
      <c r="D20" s="16">
        <v>815</v>
      </c>
      <c r="E20" s="16">
        <v>596.5</v>
      </c>
      <c r="F20" s="16">
        <v>378</v>
      </c>
      <c r="G20" s="16">
        <v>321.5</v>
      </c>
      <c r="H20" s="16">
        <v>265</v>
      </c>
      <c r="I20" s="16">
        <v>243.5</v>
      </c>
      <c r="J20" s="16">
        <v>222</v>
      </c>
      <c r="N20" t="s">
        <v>466</v>
      </c>
    </row>
    <row r="21" spans="1:25">
      <c r="A21" t="s">
        <v>484</v>
      </c>
      <c r="B21" t="s">
        <v>436</v>
      </c>
      <c r="C21" s="16">
        <v>2200</v>
      </c>
      <c r="D21" s="16">
        <v>2090</v>
      </c>
      <c r="E21" s="16">
        <v>1980.0000000000002</v>
      </c>
      <c r="F21" s="16">
        <v>1925.0000000000002</v>
      </c>
      <c r="G21" s="16">
        <v>1870.0000000000002</v>
      </c>
      <c r="H21" s="16">
        <v>1870.0000000000002</v>
      </c>
      <c r="I21" s="16">
        <v>1870.0000000000002</v>
      </c>
      <c r="J21" s="16">
        <v>1870.0000000000002</v>
      </c>
      <c r="N21" t="s">
        <v>461</v>
      </c>
      <c r="O21" t="s">
        <v>462</v>
      </c>
    </row>
    <row r="22" spans="1:25" s="33" customFormat="1">
      <c r="A22" t="s">
        <v>484</v>
      </c>
      <c r="B22" t="s">
        <v>104</v>
      </c>
      <c r="C22" s="16">
        <v>2750</v>
      </c>
      <c r="D22" s="16">
        <v>2750</v>
      </c>
      <c r="E22" s="16">
        <v>2750</v>
      </c>
      <c r="F22" s="16">
        <v>2750</v>
      </c>
      <c r="G22" s="16">
        <v>2750</v>
      </c>
      <c r="H22" s="16">
        <v>2750</v>
      </c>
      <c r="I22" s="16">
        <v>2750</v>
      </c>
      <c r="J22" s="16">
        <v>2750</v>
      </c>
      <c r="K22"/>
      <c r="L22"/>
      <c r="M22"/>
      <c r="N22" t="s">
        <v>461</v>
      </c>
      <c r="O22" t="s">
        <v>462</v>
      </c>
      <c r="P22"/>
      <c r="Q22"/>
      <c r="R22"/>
      <c r="S22"/>
      <c r="T22"/>
      <c r="U22"/>
      <c r="V22"/>
      <c r="W22"/>
      <c r="X22"/>
      <c r="Y22"/>
    </row>
    <row r="23" spans="1:25" s="33" customFormat="1">
      <c r="A23" t="s">
        <v>484</v>
      </c>
      <c r="B23" t="s">
        <v>105</v>
      </c>
      <c r="C23" s="16">
        <v>2200</v>
      </c>
      <c r="D23" s="16">
        <v>2200</v>
      </c>
      <c r="E23" s="16">
        <v>2200</v>
      </c>
      <c r="F23" s="16">
        <v>2200</v>
      </c>
      <c r="G23" s="16">
        <v>2200</v>
      </c>
      <c r="H23" s="16">
        <v>2200</v>
      </c>
      <c r="I23" s="16">
        <v>2200</v>
      </c>
      <c r="J23" s="16">
        <v>2200</v>
      </c>
      <c r="K23"/>
      <c r="L23"/>
      <c r="M23"/>
      <c r="N23" t="s">
        <v>461</v>
      </c>
      <c r="O23" t="s">
        <v>462</v>
      </c>
      <c r="P23"/>
      <c r="Q23"/>
      <c r="R23"/>
      <c r="S23"/>
      <c r="T23"/>
      <c r="U23"/>
      <c r="V23"/>
      <c r="W23"/>
      <c r="X23"/>
      <c r="Y23"/>
    </row>
    <row r="24" spans="1:25" s="33" customFormat="1">
      <c r="A24" t="s">
        <v>484</v>
      </c>
      <c r="B24" t="s">
        <v>442</v>
      </c>
      <c r="C24" s="16">
        <v>935.00000000000011</v>
      </c>
      <c r="D24" s="16">
        <v>858.00000000000011</v>
      </c>
      <c r="E24" s="16">
        <v>847.00000000000011</v>
      </c>
      <c r="F24" s="16">
        <v>836.00000000000011</v>
      </c>
      <c r="G24" s="16">
        <v>825.00000000000011</v>
      </c>
      <c r="H24" s="16">
        <v>814.00000000000011</v>
      </c>
      <c r="I24" s="16">
        <v>814.00000000000011</v>
      </c>
      <c r="J24" s="16">
        <v>814.00000000000011</v>
      </c>
      <c r="K24"/>
      <c r="L24"/>
      <c r="M24"/>
      <c r="N24" t="s">
        <v>461</v>
      </c>
      <c r="O24" t="s">
        <v>462</v>
      </c>
      <c r="P24"/>
      <c r="Q24"/>
      <c r="R24"/>
      <c r="S24"/>
      <c r="T24"/>
      <c r="U24"/>
      <c r="V24"/>
      <c r="W24"/>
      <c r="X24"/>
      <c r="Y24"/>
    </row>
    <row r="25" spans="1:25">
      <c r="A25" t="s">
        <v>484</v>
      </c>
      <c r="B25" t="s">
        <v>440</v>
      </c>
      <c r="C25" s="16">
        <v>935.00000000000011</v>
      </c>
      <c r="D25" s="16">
        <v>858.00000000000011</v>
      </c>
      <c r="E25" s="16">
        <v>847.00000000000011</v>
      </c>
      <c r="F25" s="16">
        <v>836.00000000000011</v>
      </c>
      <c r="G25" s="16">
        <v>825.00000000000011</v>
      </c>
      <c r="H25" s="16">
        <v>814.00000000000011</v>
      </c>
      <c r="I25" s="16">
        <v>814.00000000000011</v>
      </c>
      <c r="J25" s="16">
        <v>814.00000000000011</v>
      </c>
      <c r="N25" t="s">
        <v>461</v>
      </c>
      <c r="O25" t="s">
        <v>462</v>
      </c>
    </row>
    <row r="26" spans="1:25">
      <c r="A26" t="s">
        <v>484</v>
      </c>
      <c r="B26" t="s">
        <v>444</v>
      </c>
      <c r="C26" s="16">
        <v>935.00000000000011</v>
      </c>
      <c r="D26" s="16">
        <v>858.00000000000011</v>
      </c>
      <c r="E26" s="16">
        <v>847.00000000000011</v>
      </c>
      <c r="F26" s="16">
        <v>836.00000000000011</v>
      </c>
      <c r="G26" s="16">
        <v>825.00000000000011</v>
      </c>
      <c r="H26" s="16">
        <v>814.00000000000011</v>
      </c>
      <c r="I26" s="16">
        <v>814.00000000000011</v>
      </c>
      <c r="J26" s="16">
        <v>814.00000000000011</v>
      </c>
      <c r="N26" t="s">
        <v>461</v>
      </c>
      <c r="O26" t="s">
        <v>462</v>
      </c>
    </row>
    <row r="27" spans="1:25">
      <c r="A27" t="s">
        <v>484</v>
      </c>
      <c r="B27" t="s">
        <v>437</v>
      </c>
      <c r="C27" s="16">
        <v>6342.1050000000005</v>
      </c>
      <c r="D27" s="16">
        <v>6342.1050000000005</v>
      </c>
      <c r="E27" s="16">
        <v>6342.1050000000005</v>
      </c>
      <c r="F27" s="16">
        <v>6342.1050000000005</v>
      </c>
      <c r="G27" s="16">
        <v>6342.1050000000005</v>
      </c>
      <c r="H27" s="16">
        <v>6342.1050000000005</v>
      </c>
      <c r="I27" s="16">
        <v>6342.1050000000005</v>
      </c>
      <c r="J27" s="16">
        <v>6342.1050000000005</v>
      </c>
      <c r="N27" t="s">
        <v>463</v>
      </c>
      <c r="O27" t="s">
        <v>464</v>
      </c>
    </row>
    <row r="28" spans="1:25">
      <c r="A28" t="s">
        <v>484</v>
      </c>
      <c r="B28" t="s">
        <v>438</v>
      </c>
      <c r="C28" s="16">
        <v>4125</v>
      </c>
      <c r="D28" s="16">
        <v>4125</v>
      </c>
      <c r="E28" s="16">
        <v>4125</v>
      </c>
      <c r="F28" s="16">
        <v>4125</v>
      </c>
      <c r="G28" s="16">
        <v>4125</v>
      </c>
      <c r="H28" s="16">
        <v>4125</v>
      </c>
      <c r="I28" s="16">
        <v>4125</v>
      </c>
      <c r="J28" s="16">
        <v>4125</v>
      </c>
      <c r="N28" t="s">
        <v>463</v>
      </c>
      <c r="O28" t="s">
        <v>464</v>
      </c>
    </row>
    <row r="29" spans="1:25">
      <c r="A29" t="s">
        <v>484</v>
      </c>
      <c r="B29" t="s">
        <v>439</v>
      </c>
      <c r="C29" s="16">
        <v>3300</v>
      </c>
      <c r="D29" s="16">
        <v>3300</v>
      </c>
      <c r="E29" s="16">
        <v>3300</v>
      </c>
      <c r="F29" s="16">
        <v>3300</v>
      </c>
      <c r="G29" s="16">
        <v>3300</v>
      </c>
      <c r="H29" s="16">
        <v>3300</v>
      </c>
      <c r="I29" s="16">
        <v>3300</v>
      </c>
      <c r="J29" s="16">
        <v>3300</v>
      </c>
      <c r="N29" t="s">
        <v>463</v>
      </c>
      <c r="O29" t="s">
        <v>464</v>
      </c>
    </row>
    <row r="30" spans="1:25">
      <c r="A30" t="s">
        <v>484</v>
      </c>
      <c r="B30" t="s">
        <v>443</v>
      </c>
      <c r="C30" s="16">
        <v>1402.5000000000002</v>
      </c>
      <c r="D30" s="16">
        <v>1287.0000000000002</v>
      </c>
      <c r="E30" s="16">
        <v>1270.5000000000002</v>
      </c>
      <c r="F30" s="16">
        <v>1254.0000000000002</v>
      </c>
      <c r="G30" s="16">
        <v>1237.5000000000002</v>
      </c>
      <c r="H30" s="16">
        <v>1221.0000000000002</v>
      </c>
      <c r="I30" s="16">
        <v>1221.0000000000002</v>
      </c>
      <c r="J30" s="16">
        <v>1221.0000000000002</v>
      </c>
      <c r="N30" t="s">
        <v>463</v>
      </c>
      <c r="O30" t="s">
        <v>464</v>
      </c>
    </row>
    <row r="31" spans="1:25">
      <c r="A31" t="s">
        <v>484</v>
      </c>
      <c r="B31" t="s">
        <v>441</v>
      </c>
      <c r="C31" s="16">
        <v>1402.5000000000002</v>
      </c>
      <c r="D31" s="16">
        <v>1287.0000000000002</v>
      </c>
      <c r="E31" s="16">
        <v>1270.5000000000002</v>
      </c>
      <c r="F31" s="16">
        <v>1254.0000000000002</v>
      </c>
      <c r="G31" s="16">
        <v>1237.5000000000002</v>
      </c>
      <c r="H31" s="16">
        <v>1221.0000000000002</v>
      </c>
      <c r="I31" s="16">
        <v>1221.0000000000002</v>
      </c>
      <c r="J31" s="16">
        <v>1221.0000000000002</v>
      </c>
      <c r="N31" t="s">
        <v>463</v>
      </c>
      <c r="O31" t="s">
        <v>464</v>
      </c>
    </row>
    <row r="32" spans="1:25">
      <c r="A32" t="s">
        <v>484</v>
      </c>
      <c r="B32" t="s">
        <v>445</v>
      </c>
      <c r="C32" s="16">
        <v>1100</v>
      </c>
      <c r="D32" s="16">
        <v>1081.25</v>
      </c>
      <c r="E32" s="16">
        <v>1034.375</v>
      </c>
      <c r="F32" s="16">
        <v>987.5</v>
      </c>
      <c r="G32" s="16">
        <v>940.625</v>
      </c>
      <c r="H32" s="16">
        <v>893.75</v>
      </c>
      <c r="I32" s="16">
        <v>846.875</v>
      </c>
      <c r="J32" s="16">
        <v>800</v>
      </c>
      <c r="N32" t="s">
        <v>463</v>
      </c>
      <c r="O32" t="s">
        <v>456</v>
      </c>
      <c r="P32" t="s">
        <v>455</v>
      </c>
    </row>
    <row r="33" spans="1:14">
      <c r="A33" t="s">
        <v>484</v>
      </c>
      <c r="B33" t="s">
        <v>447</v>
      </c>
      <c r="C33" s="16">
        <v>1</v>
      </c>
      <c r="D33" s="16">
        <v>1</v>
      </c>
      <c r="E33" s="16">
        <v>1</v>
      </c>
      <c r="F33" s="16">
        <v>1</v>
      </c>
      <c r="G33" s="16">
        <v>1</v>
      </c>
      <c r="H33" s="16">
        <v>1</v>
      </c>
      <c r="I33" s="16">
        <v>1</v>
      </c>
      <c r="J33" s="16">
        <v>1</v>
      </c>
      <c r="N33" t="s">
        <v>465</v>
      </c>
    </row>
    <row r="34" spans="1:14">
      <c r="A34" t="s">
        <v>484</v>
      </c>
      <c r="B34" t="s">
        <v>448</v>
      </c>
      <c r="C34" s="16">
        <v>1</v>
      </c>
      <c r="D34" s="16">
        <v>1</v>
      </c>
      <c r="E34" s="16">
        <v>1</v>
      </c>
      <c r="F34" s="16">
        <v>1</v>
      </c>
      <c r="G34" s="16">
        <v>1</v>
      </c>
      <c r="H34" s="16">
        <v>1</v>
      </c>
      <c r="I34" s="16">
        <v>1</v>
      </c>
      <c r="J34" s="16">
        <v>1</v>
      </c>
      <c r="N34" t="s">
        <v>465</v>
      </c>
    </row>
    <row r="35" spans="1:14">
      <c r="A35" t="s">
        <v>484</v>
      </c>
      <c r="B35" t="s">
        <v>446</v>
      </c>
      <c r="C35" s="16">
        <v>930</v>
      </c>
      <c r="D35" s="16">
        <v>930</v>
      </c>
      <c r="E35" s="16">
        <v>930</v>
      </c>
      <c r="F35" s="16">
        <v>930</v>
      </c>
      <c r="G35" s="16">
        <v>930</v>
      </c>
      <c r="H35" s="16">
        <v>930</v>
      </c>
      <c r="I35" s="16">
        <v>930</v>
      </c>
      <c r="J35" s="16">
        <v>930</v>
      </c>
      <c r="N35" t="s">
        <v>466</v>
      </c>
    </row>
    <row r="36" spans="1:14">
      <c r="A36" t="s">
        <v>484</v>
      </c>
      <c r="B36" t="s">
        <v>460</v>
      </c>
      <c r="C36" s="16">
        <v>1200</v>
      </c>
      <c r="D36" s="16">
        <v>612</v>
      </c>
      <c r="E36" s="16">
        <v>444</v>
      </c>
      <c r="F36" s="16">
        <v>360</v>
      </c>
      <c r="G36" s="16">
        <v>312</v>
      </c>
      <c r="H36" s="16">
        <v>276</v>
      </c>
      <c r="I36" s="16">
        <v>252</v>
      </c>
      <c r="J36" s="16">
        <v>228</v>
      </c>
    </row>
    <row r="37" spans="1:14">
      <c r="A37" t="s">
        <v>484</v>
      </c>
      <c r="B37" t="s">
        <v>449</v>
      </c>
      <c r="C37" s="16">
        <v>700</v>
      </c>
      <c r="D37" s="16">
        <v>642.35294117647061</v>
      </c>
      <c r="E37" s="16">
        <v>634.11764705882354</v>
      </c>
      <c r="F37" s="16">
        <v>625.88235294117646</v>
      </c>
      <c r="G37" s="16">
        <v>617.64705882352939</v>
      </c>
      <c r="H37" s="16">
        <v>609.41176470588232</v>
      </c>
      <c r="I37" s="16">
        <v>609.41176470588232</v>
      </c>
      <c r="J37" s="16">
        <v>609.41176470588232</v>
      </c>
      <c r="N37" t="s">
        <v>476</v>
      </c>
    </row>
    <row r="38" spans="1:14">
      <c r="A38" t="s">
        <v>484</v>
      </c>
      <c r="B38" t="s">
        <v>451</v>
      </c>
      <c r="C38" s="36">
        <v>400</v>
      </c>
      <c r="D38" s="36">
        <v>381.39534883720933</v>
      </c>
      <c r="E38" s="36">
        <v>372.09302325581399</v>
      </c>
      <c r="F38" s="36">
        <v>372.09302325581399</v>
      </c>
      <c r="G38" s="36">
        <v>372.09302325581399</v>
      </c>
      <c r="H38" s="36">
        <v>372.09302325581399</v>
      </c>
      <c r="I38" s="36">
        <v>372.09302325581399</v>
      </c>
      <c r="J38" s="36">
        <v>372.09302325581399</v>
      </c>
      <c r="N38" t="s">
        <v>476</v>
      </c>
    </row>
    <row r="39" spans="1:14">
      <c r="A39" t="s">
        <v>484</v>
      </c>
      <c r="B39" t="s">
        <v>450</v>
      </c>
      <c r="C39" s="36">
        <v>620</v>
      </c>
      <c r="D39" s="36">
        <v>590</v>
      </c>
      <c r="E39" s="36">
        <v>580</v>
      </c>
      <c r="F39" s="36">
        <v>570</v>
      </c>
      <c r="G39" s="36">
        <v>560</v>
      </c>
      <c r="H39" s="36">
        <v>560</v>
      </c>
      <c r="I39" s="36">
        <v>560</v>
      </c>
      <c r="J39" s="36">
        <v>560</v>
      </c>
      <c r="N39" t="s">
        <v>476</v>
      </c>
    </row>
    <row r="40" spans="1:14">
      <c r="C40" s="16"/>
      <c r="D40" s="16"/>
      <c r="E40" s="16"/>
      <c r="F40" s="16"/>
      <c r="G40" s="16"/>
      <c r="H40" s="16"/>
      <c r="I40" s="16"/>
      <c r="J40" s="16"/>
    </row>
    <row r="41" spans="1:14">
      <c r="C41" s="16"/>
      <c r="D41" s="16"/>
      <c r="E41" s="16"/>
      <c r="F41" s="16"/>
      <c r="G41" s="16"/>
      <c r="H41" s="16"/>
      <c r="I41" s="16"/>
      <c r="J41" s="16"/>
    </row>
    <row r="42" spans="1:14">
      <c r="C42" s="16"/>
      <c r="D42" s="16"/>
      <c r="E42" s="16"/>
      <c r="F42" s="16"/>
      <c r="G42" s="16"/>
      <c r="H42" s="16"/>
      <c r="I42" s="16"/>
      <c r="J42" s="16"/>
    </row>
    <row r="43" spans="1:14">
      <c r="B43" s="2"/>
      <c r="C43" s="16"/>
      <c r="D43" s="16"/>
      <c r="E43" s="16"/>
      <c r="F43" s="16"/>
      <c r="G43" s="16"/>
      <c r="H43" s="16"/>
      <c r="I43" s="16"/>
      <c r="J43" s="16"/>
    </row>
    <row r="44" spans="1:14">
      <c r="B44" s="2"/>
      <c r="C44" s="16"/>
      <c r="D44" s="16"/>
      <c r="E44" s="16"/>
      <c r="F44" s="16"/>
      <c r="G44" s="16"/>
      <c r="H44" s="16"/>
      <c r="I44" s="16"/>
      <c r="J44" s="16"/>
    </row>
    <row r="45" spans="1:14">
      <c r="B45" s="2"/>
      <c r="C45" s="16"/>
      <c r="D45" s="16"/>
      <c r="E45" s="16"/>
      <c r="F45" s="16"/>
      <c r="G45" s="16"/>
      <c r="H45" s="16"/>
      <c r="I45" s="16"/>
      <c r="J45" s="16"/>
    </row>
    <row r="46" spans="1:14">
      <c r="B46" s="2"/>
      <c r="C46" s="16"/>
      <c r="D46" s="16"/>
      <c r="E46" s="16"/>
      <c r="F46" s="16"/>
      <c r="G46" s="16"/>
      <c r="H46" s="16"/>
      <c r="I46" s="16"/>
      <c r="J46" s="16"/>
    </row>
    <row r="47" spans="1:14">
      <c r="B47" s="2"/>
      <c r="C47" s="16"/>
      <c r="D47" s="16"/>
      <c r="E47" s="16"/>
      <c r="F47" s="16"/>
      <c r="G47" s="16"/>
      <c r="H47" s="16"/>
      <c r="I47" s="16"/>
      <c r="J47" s="16"/>
    </row>
    <row r="48" spans="1:14">
      <c r="B48" s="2"/>
      <c r="C48" s="16"/>
      <c r="D48" s="16"/>
      <c r="E48" s="16"/>
      <c r="F48" s="16"/>
      <c r="G48" s="16"/>
      <c r="H48" s="16"/>
      <c r="I48" s="16"/>
      <c r="J48" s="16"/>
    </row>
    <row r="49" spans="2:10">
      <c r="B49" s="2"/>
      <c r="C49" s="16"/>
      <c r="D49" s="16"/>
      <c r="E49" s="16"/>
      <c r="F49" s="16"/>
      <c r="G49" s="16"/>
      <c r="H49" s="16"/>
      <c r="I49" s="16"/>
      <c r="J49" s="16"/>
    </row>
    <row r="50" spans="2:10">
      <c r="B50" s="2"/>
      <c r="C50" s="16"/>
      <c r="D50" s="16"/>
      <c r="E50" s="16"/>
      <c r="F50" s="16"/>
      <c r="G50" s="16"/>
      <c r="H50" s="16"/>
      <c r="I50" s="16"/>
      <c r="J50" s="16"/>
    </row>
    <row r="51" spans="2:10">
      <c r="B51" s="2"/>
      <c r="C51" s="16"/>
      <c r="D51" s="16"/>
      <c r="E51" s="16"/>
      <c r="F51" s="16"/>
      <c r="G51" s="16"/>
      <c r="H51" s="16"/>
      <c r="I51" s="16"/>
      <c r="J51" s="16"/>
    </row>
    <row r="52" spans="2:10">
      <c r="C52" s="43"/>
      <c r="D52" s="43"/>
      <c r="E52" s="43"/>
      <c r="F52" s="43"/>
      <c r="G52" s="43"/>
      <c r="H52" s="43"/>
      <c r="I52" s="43"/>
      <c r="J52" s="43"/>
    </row>
    <row r="53" spans="2:10">
      <c r="C53" s="16"/>
      <c r="D53" s="16"/>
      <c r="E53" s="16"/>
      <c r="F53" s="16"/>
      <c r="G53" s="16"/>
      <c r="H53" s="16"/>
      <c r="I53" s="16"/>
      <c r="J53" s="16"/>
    </row>
    <row r="59" spans="2:10">
      <c r="C59" s="44"/>
      <c r="F59" s="44"/>
      <c r="H59" s="44"/>
      <c r="J59" s="44"/>
    </row>
    <row r="60" spans="2:10">
      <c r="C60" s="44"/>
      <c r="D60" s="44"/>
      <c r="E60" s="44"/>
      <c r="F60" s="44"/>
      <c r="G60" s="44"/>
      <c r="H60" s="44"/>
      <c r="I60" s="44"/>
      <c r="J60" s="44"/>
    </row>
    <row r="65" spans="3:10">
      <c r="C65" s="45"/>
      <c r="D65" s="45"/>
      <c r="E65" s="45"/>
      <c r="F65" s="45"/>
      <c r="G65" s="45"/>
      <c r="H65" s="45"/>
      <c r="I65" s="45"/>
      <c r="J65" s="45"/>
    </row>
    <row r="66" spans="3:10">
      <c r="C66" s="16"/>
      <c r="D66" s="16"/>
      <c r="E66" s="16"/>
      <c r="F66" s="16"/>
      <c r="G66" s="16"/>
      <c r="H66" s="16"/>
      <c r="I66" s="16"/>
      <c r="J66" s="16"/>
    </row>
    <row r="67" spans="3:10">
      <c r="C67" s="16"/>
      <c r="D67" s="16"/>
      <c r="E67" s="16"/>
      <c r="F67" s="16"/>
      <c r="G67" s="16"/>
      <c r="H67" s="16"/>
      <c r="I67" s="16"/>
      <c r="J67" s="16"/>
    </row>
    <row r="68" spans="3:10">
      <c r="C68" s="16"/>
      <c r="D68" s="16"/>
      <c r="E68" s="16"/>
      <c r="F68" s="16"/>
      <c r="G68" s="16"/>
      <c r="H68" s="16"/>
      <c r="I68" s="16"/>
      <c r="J68" s="16"/>
    </row>
    <row r="69" spans="3:10">
      <c r="C69" s="16"/>
      <c r="D69" s="16"/>
      <c r="E69" s="16"/>
      <c r="F69" s="16"/>
      <c r="G69" s="16"/>
      <c r="H69" s="16"/>
      <c r="I69" s="16"/>
      <c r="J69" s="16"/>
    </row>
    <row r="70" spans="3:10">
      <c r="C70" s="16"/>
      <c r="D70" s="16"/>
      <c r="E70" s="16"/>
      <c r="F70" s="16"/>
      <c r="G70" s="16"/>
      <c r="H70" s="16"/>
      <c r="I70" s="16"/>
      <c r="J70" s="16"/>
    </row>
    <row r="71" spans="3:10">
      <c r="C71" s="16"/>
      <c r="D71" s="16"/>
      <c r="E71" s="16"/>
      <c r="F71" s="16"/>
      <c r="G71" s="16"/>
      <c r="H71" s="16"/>
      <c r="I71" s="16"/>
      <c r="J71" s="16"/>
    </row>
    <row r="72" spans="3:10">
      <c r="C72" s="16"/>
      <c r="D72" s="16"/>
      <c r="E72" s="16"/>
      <c r="F72" s="16"/>
      <c r="G72" s="16"/>
      <c r="H72" s="16"/>
      <c r="I72" s="16"/>
      <c r="J72" s="16"/>
    </row>
    <row r="73" spans="3:10">
      <c r="C73" s="45"/>
      <c r="D73" s="45"/>
      <c r="E73" s="45"/>
      <c r="F73" s="45"/>
      <c r="G73" s="45"/>
      <c r="H73" s="45"/>
      <c r="I73" s="45"/>
      <c r="J73" s="45"/>
    </row>
    <row r="74" spans="3:10">
      <c r="C74" s="45"/>
      <c r="D74" s="45"/>
      <c r="E74" s="45"/>
      <c r="F74" s="45"/>
      <c r="G74" s="45"/>
      <c r="H74" s="45"/>
      <c r="I74" s="45"/>
      <c r="J74" s="45"/>
    </row>
    <row r="75" spans="3:10">
      <c r="C75" s="16"/>
      <c r="D75" s="16"/>
      <c r="E75" s="16"/>
      <c r="F75" s="16"/>
      <c r="G75" s="16"/>
      <c r="H75" s="16"/>
      <c r="I75" s="16"/>
      <c r="J75" s="16"/>
    </row>
    <row r="76" spans="3:10">
      <c r="C76" s="16"/>
      <c r="D76" s="16"/>
      <c r="E76" s="16"/>
      <c r="F76" s="16"/>
      <c r="G76" s="16"/>
      <c r="H76" s="16"/>
      <c r="I76" s="16"/>
      <c r="J76" s="16"/>
    </row>
    <row r="77" spans="3:10">
      <c r="C77" s="16"/>
      <c r="D77" s="16"/>
      <c r="E77" s="16"/>
      <c r="F77" s="16"/>
      <c r="G77" s="16"/>
      <c r="H77" s="16"/>
      <c r="I77" s="16"/>
      <c r="J77" s="16"/>
    </row>
    <row r="78" spans="3:10">
      <c r="C78" s="16"/>
      <c r="D78" s="16"/>
      <c r="E78" s="16"/>
      <c r="F78" s="16"/>
      <c r="G78" s="16"/>
      <c r="H78" s="16"/>
      <c r="I78" s="16"/>
      <c r="J78" s="16"/>
    </row>
    <row r="79" spans="3:10">
      <c r="C79" s="16"/>
      <c r="D79" s="16"/>
      <c r="E79" s="16"/>
      <c r="F79" s="16"/>
      <c r="G79" s="16"/>
      <c r="H79" s="16"/>
      <c r="I79" s="16"/>
      <c r="J79" s="16"/>
    </row>
    <row r="80" spans="3:10">
      <c r="C80" s="16"/>
      <c r="D80" s="16"/>
      <c r="E80" s="16"/>
      <c r="F80" s="16"/>
      <c r="G80" s="16"/>
      <c r="H80" s="16"/>
      <c r="I80" s="16"/>
      <c r="J80" s="16"/>
    </row>
    <row r="81" spans="3:10">
      <c r="C81" s="16"/>
      <c r="D81" s="16"/>
      <c r="E81" s="16"/>
      <c r="F81" s="16"/>
      <c r="G81" s="16"/>
      <c r="H81" s="16"/>
      <c r="I81" s="16"/>
      <c r="J81" s="16"/>
    </row>
    <row r="82" spans="3:10">
      <c r="C82" s="16"/>
      <c r="D82" s="16"/>
      <c r="E82" s="16"/>
      <c r="F82" s="16"/>
      <c r="G82" s="16"/>
      <c r="H82" s="16"/>
      <c r="I82" s="16"/>
      <c r="J82" s="16"/>
    </row>
    <row r="83" spans="3:10">
      <c r="C83" s="16"/>
      <c r="D83" s="16"/>
      <c r="E83" s="16"/>
      <c r="F83" s="16"/>
      <c r="G83" s="16"/>
      <c r="H83" s="16"/>
      <c r="I83" s="16"/>
      <c r="J83" s="16"/>
    </row>
    <row r="84" spans="3:10">
      <c r="C84" s="16"/>
      <c r="D84" s="16"/>
      <c r="E84" s="16"/>
      <c r="F84" s="16"/>
      <c r="G84" s="16"/>
      <c r="H84" s="16"/>
      <c r="I84" s="16"/>
      <c r="J84" s="16"/>
    </row>
    <row r="85" spans="3:10">
      <c r="C85" s="16"/>
      <c r="D85" s="16"/>
      <c r="E85" s="16"/>
      <c r="F85" s="16"/>
      <c r="G85" s="16"/>
      <c r="H85" s="16"/>
      <c r="I85" s="16"/>
      <c r="J85" s="16"/>
    </row>
    <row r="86" spans="3:10">
      <c r="C86" s="16"/>
      <c r="D86" s="16"/>
      <c r="E86" s="16"/>
      <c r="F86" s="16"/>
      <c r="G86" s="16"/>
      <c r="H86" s="16"/>
      <c r="I86" s="16"/>
      <c r="J86" s="16"/>
    </row>
    <row r="87" spans="3:10">
      <c r="C87" s="16"/>
      <c r="D87" s="16"/>
      <c r="E87" s="16"/>
      <c r="F87" s="16"/>
      <c r="G87" s="16"/>
      <c r="H87" s="16"/>
      <c r="I87" s="16"/>
      <c r="J87" s="16"/>
    </row>
    <row r="88" spans="3:10">
      <c r="C88" s="16"/>
      <c r="D88" s="16"/>
      <c r="E88" s="16"/>
      <c r="F88" s="16"/>
      <c r="G88" s="16"/>
      <c r="H88" s="16"/>
      <c r="I88" s="16"/>
      <c r="J88" s="16"/>
    </row>
    <row r="89" spans="3:10">
      <c r="C89" s="16"/>
      <c r="D89" s="16"/>
      <c r="E89" s="16"/>
      <c r="F89" s="16"/>
      <c r="G89" s="16"/>
      <c r="H89" s="16"/>
      <c r="I89" s="16"/>
      <c r="J89" s="16"/>
    </row>
    <row r="90" spans="3:10">
      <c r="C90" s="16"/>
      <c r="D90" s="16"/>
      <c r="E90" s="16"/>
      <c r="F90" s="16"/>
      <c r="G90" s="16"/>
      <c r="H90" s="16"/>
      <c r="I90" s="16"/>
      <c r="J90" s="16"/>
    </row>
    <row r="91" spans="3:10">
      <c r="C91" s="16"/>
      <c r="D91" s="16"/>
      <c r="E91" s="16"/>
      <c r="F91" s="16"/>
      <c r="G91" s="16"/>
      <c r="H91" s="16"/>
      <c r="I91" s="16"/>
      <c r="J91" s="16"/>
    </row>
    <row r="92" spans="3:10">
      <c r="C92" s="16"/>
      <c r="D92" s="16"/>
      <c r="E92" s="16"/>
      <c r="F92" s="16"/>
      <c r="G92" s="16"/>
      <c r="H92" s="16"/>
      <c r="I92" s="16"/>
      <c r="J92" s="16"/>
    </row>
    <row r="93" spans="3:10">
      <c r="C93" s="16"/>
      <c r="D93" s="16"/>
      <c r="E93" s="16"/>
      <c r="F93" s="16"/>
      <c r="G93" s="16"/>
      <c r="H93" s="16"/>
      <c r="I93" s="16"/>
      <c r="J93" s="16"/>
    </row>
    <row r="94" spans="3:10">
      <c r="C94" s="16"/>
      <c r="D94" s="16"/>
      <c r="E94" s="16"/>
      <c r="F94" s="16"/>
      <c r="G94" s="16"/>
      <c r="H94" s="16"/>
      <c r="I94" s="16"/>
      <c r="J94" s="16"/>
    </row>
    <row r="95" spans="3:10">
      <c r="C95" s="16"/>
      <c r="D95" s="16"/>
      <c r="E95" s="16"/>
      <c r="F95" s="16"/>
      <c r="G95" s="16"/>
      <c r="H95" s="16"/>
      <c r="I95" s="16"/>
      <c r="J95" s="16"/>
    </row>
    <row r="96" spans="3:10">
      <c r="C96" s="16"/>
      <c r="D96" s="16"/>
      <c r="E96" s="16"/>
      <c r="F96" s="16"/>
      <c r="G96" s="16"/>
      <c r="H96" s="16"/>
      <c r="I96" s="16"/>
      <c r="J96" s="16"/>
    </row>
    <row r="97" spans="2:10">
      <c r="C97" s="16"/>
      <c r="D97" s="16"/>
      <c r="E97" s="16"/>
      <c r="F97" s="16"/>
      <c r="G97" s="16"/>
      <c r="H97" s="16"/>
      <c r="I97" s="16"/>
      <c r="J97" s="16"/>
    </row>
    <row r="98" spans="2:10">
      <c r="C98" s="16"/>
      <c r="D98" s="16"/>
      <c r="E98" s="16"/>
      <c r="F98" s="16"/>
      <c r="G98" s="16"/>
      <c r="H98" s="16"/>
      <c r="I98" s="16"/>
      <c r="J98" s="16"/>
    </row>
    <row r="99" spans="2:10">
      <c r="C99" s="16"/>
      <c r="D99" s="16"/>
      <c r="E99" s="16"/>
      <c r="F99" s="16"/>
      <c r="G99" s="16"/>
      <c r="H99" s="16"/>
      <c r="I99" s="16"/>
      <c r="J99" s="16"/>
    </row>
    <row r="100" spans="2:10">
      <c r="C100" s="16"/>
      <c r="D100" s="16"/>
      <c r="E100" s="16"/>
      <c r="F100" s="16"/>
      <c r="G100" s="16"/>
      <c r="H100" s="16"/>
      <c r="I100" s="16"/>
      <c r="J100" s="16"/>
    </row>
    <row r="101" spans="2:10">
      <c r="C101" s="16"/>
      <c r="D101" s="16"/>
      <c r="E101" s="16"/>
      <c r="F101" s="16"/>
      <c r="G101" s="16"/>
      <c r="H101" s="16"/>
      <c r="I101" s="16"/>
      <c r="J101" s="16"/>
    </row>
    <row r="102" spans="2:10">
      <c r="C102" s="16"/>
      <c r="D102" s="16"/>
      <c r="E102" s="16"/>
      <c r="F102" s="16"/>
      <c r="G102" s="16"/>
      <c r="H102" s="16"/>
      <c r="I102" s="16"/>
      <c r="J102" s="16"/>
    </row>
    <row r="103" spans="2:10">
      <c r="B103" s="15"/>
      <c r="C103" s="16"/>
      <c r="D103" s="16"/>
      <c r="E103" s="16"/>
      <c r="F103" s="16"/>
      <c r="G103" s="16"/>
      <c r="H103" s="16"/>
      <c r="I103" s="16"/>
      <c r="J103" s="16"/>
    </row>
    <row r="104" spans="2:10">
      <c r="B104" s="15"/>
      <c r="C104" s="16"/>
      <c r="D104" s="16"/>
      <c r="E104" s="16"/>
      <c r="F104" s="16"/>
      <c r="G104" s="16"/>
      <c r="H104" s="16"/>
      <c r="I104" s="16"/>
      <c r="J104" s="16"/>
    </row>
    <row r="105" spans="2:10">
      <c r="B105" s="15"/>
      <c r="C105" s="16"/>
      <c r="D105" s="16"/>
      <c r="E105" s="16"/>
      <c r="F105" s="16"/>
      <c r="G105" s="16"/>
      <c r="H105" s="16"/>
      <c r="I105" s="16"/>
      <c r="J105" s="16"/>
    </row>
    <row r="106" spans="2:10">
      <c r="B106" s="15"/>
      <c r="C106" s="16"/>
      <c r="D106" s="16"/>
      <c r="E106" s="16"/>
      <c r="F106" s="16"/>
      <c r="G106" s="16"/>
      <c r="H106" s="16"/>
      <c r="I106" s="16"/>
      <c r="J106" s="16"/>
    </row>
    <row r="107" spans="2:10">
      <c r="B107" s="15"/>
      <c r="C107" s="16"/>
      <c r="D107" s="16"/>
      <c r="E107" s="16"/>
      <c r="F107" s="16"/>
      <c r="G107" s="16"/>
      <c r="H107" s="16"/>
      <c r="I107" s="16"/>
      <c r="J107" s="16"/>
    </row>
    <row r="108" spans="2:10">
      <c r="B108" s="15"/>
      <c r="C108" s="16"/>
      <c r="D108" s="16"/>
      <c r="E108" s="16"/>
      <c r="F108" s="16"/>
      <c r="G108" s="16"/>
      <c r="H108" s="16"/>
      <c r="I108" s="16"/>
      <c r="J108" s="16"/>
    </row>
    <row r="109" spans="2:10">
      <c r="C109" s="16"/>
      <c r="D109" s="16"/>
      <c r="E109" s="16"/>
      <c r="F109" s="16"/>
      <c r="G109" s="16"/>
      <c r="H109" s="16"/>
      <c r="I109" s="16"/>
      <c r="J109" s="16"/>
    </row>
    <row r="110" spans="2:10">
      <c r="C110" s="16"/>
      <c r="D110" s="16"/>
      <c r="E110" s="16"/>
      <c r="F110" s="16"/>
      <c r="G110" s="16"/>
      <c r="H110" s="16"/>
      <c r="I110" s="16"/>
      <c r="J110" s="16"/>
    </row>
    <row r="111" spans="2:10">
      <c r="C111" s="16"/>
      <c r="D111" s="16"/>
      <c r="E111" s="16"/>
      <c r="F111" s="16"/>
      <c r="G111" s="16"/>
      <c r="H111" s="16"/>
      <c r="I111" s="16"/>
      <c r="J111" s="16"/>
    </row>
    <row r="112" spans="2:10">
      <c r="C112" s="16"/>
      <c r="D112" s="16"/>
      <c r="E112" s="16"/>
      <c r="F112" s="16"/>
      <c r="G112" s="16"/>
      <c r="H112" s="16"/>
      <c r="I112" s="16"/>
      <c r="J112" s="16"/>
    </row>
    <row r="113" spans="3:10">
      <c r="C113" s="16"/>
      <c r="D113" s="16"/>
      <c r="E113" s="16"/>
      <c r="F113" s="16"/>
      <c r="G113" s="16"/>
      <c r="H113" s="16"/>
      <c r="I113" s="16"/>
      <c r="J113" s="16"/>
    </row>
    <row r="114" spans="3:10">
      <c r="C114" s="16"/>
      <c r="D114" s="16"/>
      <c r="E114" s="16"/>
      <c r="F114" s="16"/>
      <c r="G114" s="16"/>
      <c r="H114" s="16"/>
      <c r="I114" s="16"/>
      <c r="J114" s="16"/>
    </row>
    <row r="115" spans="3:10">
      <c r="C115" s="16"/>
      <c r="D115" s="16"/>
      <c r="E115" s="16"/>
      <c r="F115" s="16"/>
      <c r="G115" s="16"/>
      <c r="H115" s="16"/>
      <c r="I115" s="16"/>
      <c r="J115" s="16"/>
    </row>
    <row r="116" spans="3:10">
      <c r="C116" s="16"/>
      <c r="D116" s="16"/>
      <c r="E116" s="16"/>
      <c r="F116" s="16"/>
      <c r="G116" s="16"/>
      <c r="H116" s="16"/>
      <c r="I116" s="16"/>
      <c r="J116" s="16"/>
    </row>
    <row r="117" spans="3:10">
      <c r="C117" s="16"/>
      <c r="D117" s="16"/>
      <c r="E117" s="16"/>
      <c r="F117" s="16"/>
      <c r="G117" s="16"/>
      <c r="H117" s="16"/>
      <c r="I117" s="16"/>
      <c r="J117" s="16"/>
    </row>
    <row r="118" spans="3:10">
      <c r="C118" s="45"/>
      <c r="D118" s="45"/>
      <c r="E118" s="45"/>
      <c r="F118" s="45"/>
      <c r="G118" s="45"/>
      <c r="H118" s="45"/>
      <c r="I118" s="45"/>
      <c r="J118" s="45"/>
    </row>
    <row r="119" spans="3:10">
      <c r="C119" s="45"/>
      <c r="D119" s="45"/>
      <c r="E119" s="45"/>
      <c r="F119" s="45"/>
      <c r="G119" s="45"/>
      <c r="H119" s="45"/>
      <c r="I119" s="45"/>
      <c r="J119" s="45"/>
    </row>
    <row r="120" spans="3:10">
      <c r="C120" s="45"/>
      <c r="D120" s="45"/>
      <c r="E120" s="45"/>
      <c r="F120" s="45"/>
      <c r="G120" s="45"/>
      <c r="H120" s="45"/>
      <c r="I120" s="45"/>
      <c r="J120" s="45"/>
    </row>
    <row r="121" spans="3:10">
      <c r="C121" s="45"/>
      <c r="D121" s="45"/>
      <c r="E121" s="45"/>
      <c r="F121" s="45"/>
      <c r="G121" s="45"/>
      <c r="H121" s="45"/>
      <c r="I121" s="45"/>
      <c r="J121" s="45"/>
    </row>
    <row r="122" spans="3:10">
      <c r="C122" s="45"/>
      <c r="D122" s="45"/>
      <c r="E122" s="45"/>
      <c r="F122" s="45"/>
      <c r="G122" s="45"/>
      <c r="H122" s="45"/>
      <c r="I122" s="45"/>
      <c r="J122" s="45"/>
    </row>
    <row r="123" spans="3:10">
      <c r="C123" s="45"/>
      <c r="D123" s="45"/>
      <c r="E123" s="45"/>
      <c r="F123" s="45"/>
      <c r="G123" s="45"/>
      <c r="H123" s="45"/>
      <c r="I123" s="45"/>
      <c r="J123" s="45"/>
    </row>
    <row r="124" spans="3:10">
      <c r="C124" s="16"/>
      <c r="D124" s="16"/>
      <c r="E124" s="16"/>
      <c r="F124" s="16"/>
      <c r="G124" s="16"/>
      <c r="H124" s="16"/>
      <c r="I124" s="16"/>
      <c r="J124" s="16"/>
    </row>
    <row r="125" spans="3:10">
      <c r="C125" s="16"/>
      <c r="D125" s="16"/>
      <c r="E125" s="16"/>
      <c r="F125" s="16"/>
      <c r="G125" s="16"/>
      <c r="H125" s="16"/>
      <c r="I125" s="16"/>
      <c r="J125" s="16"/>
    </row>
    <row r="126" spans="3:10">
      <c r="C126" s="45"/>
      <c r="D126" s="16"/>
      <c r="E126" s="16"/>
      <c r="F126" s="16"/>
      <c r="G126" s="16"/>
      <c r="H126" s="16"/>
      <c r="I126" s="16"/>
      <c r="J126" s="45"/>
    </row>
    <row r="127" spans="3:10">
      <c r="C127" s="45"/>
      <c r="D127" s="45"/>
      <c r="E127" s="45"/>
      <c r="F127" s="45"/>
      <c r="G127" s="45"/>
      <c r="H127" s="45"/>
      <c r="I127" s="45"/>
      <c r="J127" s="45"/>
    </row>
    <row r="128" spans="3:10">
      <c r="C128" s="45"/>
      <c r="D128" s="45"/>
      <c r="E128" s="45"/>
      <c r="F128" s="45"/>
      <c r="G128" s="45"/>
      <c r="H128" s="45"/>
      <c r="I128" s="45"/>
      <c r="J128" s="45"/>
    </row>
    <row r="129" spans="1:10">
      <c r="C129" s="16"/>
      <c r="D129" s="16"/>
      <c r="E129" s="16"/>
      <c r="F129" s="16"/>
      <c r="G129" s="16"/>
      <c r="H129" s="16"/>
      <c r="I129" s="16"/>
      <c r="J129" s="16"/>
    </row>
    <row r="130" spans="1:10">
      <c r="C130" s="16"/>
      <c r="D130" s="16"/>
      <c r="E130" s="16"/>
      <c r="F130" s="16"/>
      <c r="G130" s="16"/>
      <c r="H130" s="16"/>
      <c r="I130" s="16"/>
      <c r="J130" s="16"/>
    </row>
    <row r="131" spans="1:10">
      <c r="C131" s="16"/>
      <c r="D131" s="16"/>
      <c r="E131" s="16"/>
      <c r="F131" s="16"/>
      <c r="G131" s="16"/>
      <c r="H131" s="16"/>
      <c r="I131" s="16"/>
      <c r="J131" s="16"/>
    </row>
    <row r="132" spans="1:10">
      <c r="C132" s="16"/>
      <c r="D132" s="16"/>
      <c r="E132" s="16"/>
      <c r="F132" s="16"/>
      <c r="G132" s="16"/>
      <c r="H132" s="16"/>
      <c r="I132" s="16"/>
      <c r="J132" s="16"/>
    </row>
    <row r="133" spans="1:10">
      <c r="A133" s="11"/>
      <c r="C133" s="16"/>
      <c r="D133" s="16"/>
      <c r="E133" s="16"/>
      <c r="F133" s="16"/>
      <c r="G133" s="16"/>
      <c r="H133" s="16"/>
      <c r="I133" s="16"/>
      <c r="J133" s="16"/>
    </row>
    <row r="134" spans="1:10">
      <c r="A134" s="11"/>
      <c r="C134" s="16"/>
      <c r="D134" s="16"/>
      <c r="E134" s="16"/>
      <c r="F134" s="16"/>
      <c r="G134" s="16"/>
      <c r="H134" s="16"/>
      <c r="I134" s="16"/>
      <c r="J134" s="16"/>
    </row>
    <row r="135" spans="1:10">
      <c r="A135" s="11"/>
      <c r="C135" s="16"/>
      <c r="D135" s="16"/>
      <c r="E135" s="16"/>
      <c r="F135" s="16"/>
      <c r="G135" s="16"/>
      <c r="H135" s="16"/>
      <c r="I135" s="16"/>
      <c r="J135" s="16"/>
    </row>
    <row r="136" spans="1:10">
      <c r="C136" s="16"/>
      <c r="D136" s="16"/>
      <c r="E136" s="16"/>
      <c r="F136" s="16"/>
      <c r="G136" s="16"/>
      <c r="H136" s="16"/>
      <c r="I136" s="16"/>
      <c r="J136" s="16"/>
    </row>
    <row r="137" spans="1:10">
      <c r="C137" s="16"/>
      <c r="D137" s="16"/>
      <c r="E137" s="16"/>
      <c r="F137" s="16"/>
      <c r="G137" s="16"/>
      <c r="H137" s="16"/>
      <c r="I137" s="16"/>
      <c r="J137" s="16"/>
    </row>
    <row r="138" spans="1:10">
      <c r="A138" s="5"/>
      <c r="B138" s="2"/>
      <c r="C138" s="46"/>
      <c r="D138" s="46"/>
      <c r="E138" s="46"/>
      <c r="F138" s="46"/>
      <c r="G138" s="46"/>
      <c r="H138" s="46"/>
      <c r="I138" s="46"/>
      <c r="J138" s="46"/>
    </row>
    <row r="139" spans="1:10">
      <c r="A139" s="5"/>
      <c r="B139" s="2"/>
      <c r="C139" s="46"/>
      <c r="D139" s="46"/>
      <c r="E139" s="46"/>
      <c r="F139" s="46"/>
      <c r="G139" s="46"/>
      <c r="H139" s="46"/>
      <c r="I139" s="46"/>
      <c r="J139" s="46"/>
    </row>
    <row r="140" spans="1:10">
      <c r="A140" s="5"/>
      <c r="B140" s="2"/>
      <c r="C140" s="46"/>
      <c r="D140" s="46"/>
      <c r="E140" s="46"/>
      <c r="F140" s="46"/>
      <c r="G140" s="46"/>
      <c r="H140" s="46"/>
      <c r="I140" s="46"/>
      <c r="J140" s="46"/>
    </row>
    <row r="141" spans="1:10">
      <c r="A141" s="5"/>
      <c r="B141" s="2"/>
      <c r="C141" s="46"/>
      <c r="D141" s="46"/>
      <c r="E141" s="46"/>
      <c r="F141" s="46"/>
      <c r="G141" s="46"/>
      <c r="H141" s="46"/>
      <c r="I141" s="46"/>
      <c r="J141" s="46"/>
    </row>
    <row r="142" spans="1:10">
      <c r="A142" s="5"/>
      <c r="B142" s="2"/>
      <c r="C142" s="46"/>
      <c r="D142" s="46"/>
      <c r="E142" s="46"/>
      <c r="F142" s="46"/>
      <c r="G142" s="46"/>
      <c r="H142" s="46"/>
      <c r="I142" s="46"/>
      <c r="J142" s="46"/>
    </row>
    <row r="144" spans="1:10">
      <c r="A144" s="5"/>
      <c r="B144" s="2"/>
      <c r="C144" s="45"/>
      <c r="D144" s="16"/>
      <c r="E144" s="16"/>
      <c r="F144" s="16"/>
      <c r="G144" s="16"/>
      <c r="H144" s="16"/>
      <c r="I144" s="16"/>
      <c r="J144" s="45"/>
    </row>
    <row r="145" spans="1:10">
      <c r="A145" s="5"/>
      <c r="B145" s="2"/>
      <c r="C145" s="16"/>
      <c r="D145" s="16"/>
      <c r="E145" s="16"/>
      <c r="F145" s="16"/>
      <c r="G145" s="16"/>
      <c r="H145" s="16"/>
      <c r="I145" s="16"/>
      <c r="J145" s="45"/>
    </row>
  </sheetData>
  <dataValidations count="2">
    <dataValidation type="list" allowBlank="1" showInputMessage="1" showErrorMessage="1" sqref="A133:A135" xr:uid="{EDAD1653-6226-488D-B14F-4088F54FD4CD}">
      <formula1>Regions</formula1>
    </dataValidation>
    <dataValidation type="list" allowBlank="1" showInputMessage="1" showErrorMessage="1" sqref="B141" xr:uid="{065FE212-E40F-47AA-8B13-0523AD71CD3B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Tabelle14"/>
  <dimension ref="A1:P221"/>
  <sheetViews>
    <sheetView workbookViewId="0">
      <selection activeCell="M89" sqref="M89"/>
    </sheetView>
  </sheetViews>
  <sheetFormatPr defaultColWidth="11.42578125" defaultRowHeight="15"/>
  <cols>
    <col min="2" max="2" width="20.42578125" customWidth="1"/>
    <col min="3" max="3" width="19.5703125" bestFit="1" customWidth="1"/>
    <col min="12" max="12" width="2.140625" customWidth="1"/>
  </cols>
  <sheetData>
    <row r="1" spans="1:11">
      <c r="A1" t="s">
        <v>400</v>
      </c>
    </row>
    <row r="2" spans="1:11">
      <c r="A2" t="s">
        <v>344</v>
      </c>
    </row>
    <row r="3" spans="1:11">
      <c r="A3" t="s">
        <v>363</v>
      </c>
    </row>
    <row r="5" spans="1:11">
      <c r="A5" t="s">
        <v>20</v>
      </c>
      <c r="B5" t="s">
        <v>26</v>
      </c>
      <c r="C5" t="s">
        <v>341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6" spans="1:11">
      <c r="A6" t="s">
        <v>484</v>
      </c>
      <c r="B6" t="s">
        <v>130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t="s">
        <v>484</v>
      </c>
      <c r="B7" t="s">
        <v>131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t="s">
        <v>484</v>
      </c>
      <c r="B8" t="s">
        <v>125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t="s">
        <v>484</v>
      </c>
      <c r="B9" t="s">
        <v>57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t="s">
        <v>484</v>
      </c>
      <c r="B10" t="s">
        <v>126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t="s">
        <v>484</v>
      </c>
      <c r="B11" t="s">
        <v>127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t="s">
        <v>484</v>
      </c>
      <c r="B12" t="s">
        <v>495</v>
      </c>
      <c r="C12">
        <v>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t="s">
        <v>484</v>
      </c>
      <c r="B13" t="s">
        <v>496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t="s">
        <v>484</v>
      </c>
      <c r="B14" t="s">
        <v>500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t="s">
        <v>484</v>
      </c>
      <c r="B15" t="s">
        <v>103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t="s">
        <v>484</v>
      </c>
      <c r="B16" t="s">
        <v>102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t="s">
        <v>484</v>
      </c>
      <c r="B17" t="s">
        <v>22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>
      <c r="A18" t="s">
        <v>484</v>
      </c>
      <c r="B18" t="s">
        <v>23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</row>
    <row r="19" spans="1:11">
      <c r="A19" t="s">
        <v>484</v>
      </c>
      <c r="B19" t="s">
        <v>56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</row>
    <row r="20" spans="1:11">
      <c r="A20" t="s">
        <v>484</v>
      </c>
      <c r="B20" t="s">
        <v>158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>
      <c r="A21" t="s">
        <v>484</v>
      </c>
      <c r="B21" t="s">
        <v>132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>
      <c r="A22" t="s">
        <v>484</v>
      </c>
      <c r="B22" t="s">
        <v>58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1:11">
      <c r="A23" t="s">
        <v>484</v>
      </c>
      <c r="B23" t="s">
        <v>133</v>
      </c>
      <c r="C23">
        <v>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1:11">
      <c r="A24" t="s">
        <v>484</v>
      </c>
      <c r="B24" t="s">
        <v>128</v>
      </c>
      <c r="C24">
        <v>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1:11">
      <c r="A25" t="s">
        <v>484</v>
      </c>
      <c r="B25" t="s">
        <v>129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>
      <c r="A26" t="s">
        <v>484</v>
      </c>
      <c r="B26" t="s">
        <v>60</v>
      </c>
      <c r="C26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1:11">
      <c r="A27" t="s">
        <v>484</v>
      </c>
      <c r="B27" t="s">
        <v>123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1:11">
      <c r="A28" t="s">
        <v>484</v>
      </c>
      <c r="B28" t="s">
        <v>59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>
      <c r="A29" t="s">
        <v>484</v>
      </c>
      <c r="B29" t="s">
        <v>124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>
      <c r="A30" t="s">
        <v>484</v>
      </c>
      <c r="B30" t="s">
        <v>84</v>
      </c>
      <c r="C30">
        <v>1</v>
      </c>
      <c r="D30">
        <v>7.8180481367633563</v>
      </c>
      <c r="E30">
        <v>6.6844311569326686</v>
      </c>
      <c r="F30">
        <v>6.3502095990860354</v>
      </c>
      <c r="G30">
        <v>6.032699119131733</v>
      </c>
      <c r="H30">
        <v>5.7310641631751462</v>
      </c>
      <c r="I30">
        <v>5.4445109550163888</v>
      </c>
      <c r="J30">
        <v>5.1722854072655693</v>
      </c>
      <c r="K30">
        <v>4.9136711369022903</v>
      </c>
    </row>
    <row r="31" spans="1:11">
      <c r="A31" t="s">
        <v>484</v>
      </c>
      <c r="B31" t="s">
        <v>87</v>
      </c>
      <c r="C31">
        <v>1</v>
      </c>
      <c r="D31">
        <v>0.81691686052009449</v>
      </c>
      <c r="E31">
        <v>0.73522517446808511</v>
      </c>
      <c r="F31">
        <v>0.73522517446808511</v>
      </c>
      <c r="G31">
        <v>0.73522517446808511</v>
      </c>
      <c r="H31">
        <v>0.73522517446808511</v>
      </c>
      <c r="I31">
        <v>0.73522517446808511</v>
      </c>
      <c r="J31">
        <v>0.73522517446808511</v>
      </c>
      <c r="K31">
        <v>0.73522517446808511</v>
      </c>
    </row>
    <row r="32" spans="1:11">
      <c r="A32" t="s">
        <v>484</v>
      </c>
      <c r="B32" t="s">
        <v>88</v>
      </c>
      <c r="C32">
        <v>1</v>
      </c>
      <c r="D32">
        <v>4.5255342133478447</v>
      </c>
      <c r="E32">
        <v>3.8693317524124069</v>
      </c>
      <c r="F32">
        <v>3.6758651647917859</v>
      </c>
      <c r="G32">
        <v>3.4920719065521961</v>
      </c>
      <c r="H32">
        <v>3.3174683112245864</v>
      </c>
      <c r="I32">
        <v>3.151594895663357</v>
      </c>
      <c r="J32">
        <v>2.9940151508801889</v>
      </c>
      <c r="K32">
        <v>2.8443143933361794</v>
      </c>
    </row>
    <row r="33" spans="1:11">
      <c r="A33" t="s">
        <v>484</v>
      </c>
      <c r="B33" t="s">
        <v>96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1:11">
      <c r="A34" t="s">
        <v>484</v>
      </c>
      <c r="B34" t="s">
        <v>97</v>
      </c>
      <c r="C34">
        <v>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1:11">
      <c r="A35" t="s">
        <v>484</v>
      </c>
      <c r="B35" t="s">
        <v>101</v>
      </c>
      <c r="C35">
        <v>1</v>
      </c>
      <c r="D35">
        <v>0.83333333400000009</v>
      </c>
      <c r="E35">
        <v>0.77083333395000009</v>
      </c>
      <c r="F35">
        <v>0.77083333395000009</v>
      </c>
      <c r="G35">
        <v>0.77083333395000009</v>
      </c>
      <c r="H35">
        <v>0.77083333395000009</v>
      </c>
      <c r="I35">
        <v>0.77083333395000009</v>
      </c>
      <c r="J35">
        <v>0.77083333395000009</v>
      </c>
      <c r="K35">
        <v>0.77083333395000009</v>
      </c>
    </row>
    <row r="36" spans="1:11">
      <c r="A36" t="s">
        <v>484</v>
      </c>
      <c r="B36" t="s">
        <v>98</v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1:11">
      <c r="A37" t="s">
        <v>484</v>
      </c>
      <c r="B37" t="s">
        <v>99</v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1:11">
      <c r="A38" t="s">
        <v>484</v>
      </c>
      <c r="B38" t="s">
        <v>100</v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1">
      <c r="A39" t="s">
        <v>484</v>
      </c>
      <c r="B39" t="s">
        <v>95</v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1:11">
      <c r="A40" t="s">
        <v>484</v>
      </c>
      <c r="B40" t="s">
        <v>90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>
      <c r="A41" t="s">
        <v>484</v>
      </c>
      <c r="B41" t="s">
        <v>89</v>
      </c>
      <c r="C41">
        <v>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>
      <c r="A42" t="s">
        <v>484</v>
      </c>
      <c r="B42" t="s">
        <v>91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1:11">
      <c r="A43" t="s">
        <v>484</v>
      </c>
      <c r="B43" t="s">
        <v>165</v>
      </c>
      <c r="C43">
        <v>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1:11">
      <c r="A44" t="s">
        <v>484</v>
      </c>
      <c r="B44" t="s">
        <v>166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>
      <c r="A45" t="s">
        <v>484</v>
      </c>
      <c r="B45" t="s">
        <v>167</v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>
      <c r="A46" t="s">
        <v>484</v>
      </c>
      <c r="B46" t="s">
        <v>93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1:11">
      <c r="A47" t="s">
        <v>484</v>
      </c>
      <c r="B47" t="s">
        <v>92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>
      <c r="A48" t="s">
        <v>484</v>
      </c>
      <c r="B48" t="s">
        <v>94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1:11">
      <c r="A49" t="s">
        <v>484</v>
      </c>
      <c r="B49" t="s">
        <v>153</v>
      </c>
      <c r="C49">
        <v>1</v>
      </c>
      <c r="D49">
        <v>3.91</v>
      </c>
      <c r="E49">
        <v>3.8480000000000003</v>
      </c>
      <c r="F49">
        <v>4.07925</v>
      </c>
      <c r="G49">
        <v>4.3105000000000002</v>
      </c>
      <c r="H49">
        <v>4.5417499999999995</v>
      </c>
      <c r="I49">
        <v>4.7730000000000006</v>
      </c>
      <c r="J49">
        <v>5.0042500000000008</v>
      </c>
      <c r="K49">
        <v>5.2355</v>
      </c>
    </row>
    <row r="50" spans="1:11">
      <c r="A50" t="s">
        <v>484</v>
      </c>
      <c r="B50" t="s">
        <v>121</v>
      </c>
      <c r="C50">
        <v>1</v>
      </c>
      <c r="D50">
        <v>1E-3</v>
      </c>
      <c r="E50">
        <v>8.25E-4</v>
      </c>
      <c r="F50">
        <v>8.25E-4</v>
      </c>
      <c r="G50">
        <v>8.25E-4</v>
      </c>
      <c r="H50">
        <v>8.25E-4</v>
      </c>
      <c r="I50">
        <v>8.25E-4</v>
      </c>
      <c r="J50">
        <v>8.25E-4</v>
      </c>
      <c r="K50">
        <v>8.25E-4</v>
      </c>
    </row>
    <row r="51" spans="1:11">
      <c r="A51" t="s">
        <v>484</v>
      </c>
      <c r="B51" t="s">
        <v>122</v>
      </c>
      <c r="C51">
        <v>1</v>
      </c>
      <c r="D51">
        <v>11.11111112</v>
      </c>
      <c r="E51">
        <v>5.7291666712500007</v>
      </c>
      <c r="F51">
        <v>5.5000000043999995</v>
      </c>
      <c r="G51">
        <v>5.2708333375500001</v>
      </c>
      <c r="H51">
        <v>4.4687500035749999</v>
      </c>
      <c r="I51">
        <v>3.6666666696000001</v>
      </c>
      <c r="J51">
        <v>3.6666666696000001</v>
      </c>
      <c r="K51">
        <v>3.6666666696000001</v>
      </c>
    </row>
    <row r="52" spans="1:11">
      <c r="A52" t="s">
        <v>484</v>
      </c>
      <c r="B52" t="s">
        <v>122</v>
      </c>
      <c r="C52">
        <v>2</v>
      </c>
      <c r="D52">
        <v>11.11111112</v>
      </c>
      <c r="E52">
        <v>5.7291666712500007</v>
      </c>
      <c r="F52">
        <v>5.5000000043999995</v>
      </c>
      <c r="G52">
        <v>5.2708333375500001</v>
      </c>
      <c r="H52">
        <v>4.4687500035749999</v>
      </c>
      <c r="I52">
        <v>3.6666666696000001</v>
      </c>
      <c r="J52">
        <v>3.6666666696000001</v>
      </c>
      <c r="K52">
        <v>3.6666666696000001</v>
      </c>
    </row>
    <row r="53" spans="1:11">
      <c r="A53" t="s">
        <v>484</v>
      </c>
      <c r="B53" t="s">
        <v>157</v>
      </c>
      <c r="C53">
        <v>1</v>
      </c>
      <c r="D53">
        <v>0.41666666700000005</v>
      </c>
      <c r="E53">
        <v>0.34375000027500002</v>
      </c>
      <c r="F53">
        <v>0.34375000027500002</v>
      </c>
      <c r="G53">
        <v>0.34375000027500002</v>
      </c>
      <c r="H53">
        <v>0.34375000027500002</v>
      </c>
      <c r="I53">
        <v>0.34375000027500002</v>
      </c>
      <c r="J53">
        <v>0.34375000027500002</v>
      </c>
      <c r="K53">
        <v>0.34375000027500002</v>
      </c>
    </row>
    <row r="54" spans="1:11">
      <c r="A54" t="s">
        <v>484</v>
      </c>
      <c r="B54" t="s">
        <v>157</v>
      </c>
      <c r="C54">
        <v>2</v>
      </c>
      <c r="D54">
        <v>1.2777777788</v>
      </c>
      <c r="E54">
        <v>1.0541666675099999</v>
      </c>
      <c r="F54">
        <v>1.0541666675099999</v>
      </c>
      <c r="G54">
        <v>1.0541666675099999</v>
      </c>
      <c r="H54">
        <v>1.0541666675099999</v>
      </c>
      <c r="I54">
        <v>1.0541666675099999</v>
      </c>
      <c r="J54">
        <v>1.0541666675099999</v>
      </c>
      <c r="K54">
        <v>1.0541666675099999</v>
      </c>
    </row>
    <row r="55" spans="1:11">
      <c r="A55" t="s">
        <v>484</v>
      </c>
      <c r="B55" t="s">
        <v>182</v>
      </c>
      <c r="C55">
        <v>1</v>
      </c>
      <c r="D55">
        <v>9.0735292557000022</v>
      </c>
      <c r="E55">
        <v>6.1323528357000008</v>
      </c>
      <c r="F55">
        <v>8.9705880810000007</v>
      </c>
      <c r="G55">
        <v>8.4117645612</v>
      </c>
      <c r="H55">
        <v>7.9911763331399994</v>
      </c>
      <c r="I55">
        <v>7.1920586998259992</v>
      </c>
      <c r="J55">
        <v>6.1132498948520988</v>
      </c>
      <c r="K55">
        <v>5.1962624106242838</v>
      </c>
    </row>
    <row r="56" spans="1:11">
      <c r="A56" t="s">
        <v>484</v>
      </c>
      <c r="B56" t="s">
        <v>181</v>
      </c>
      <c r="C56">
        <v>1</v>
      </c>
      <c r="D56">
        <v>2.4044955947999997</v>
      </c>
      <c r="E56">
        <v>1.8855176183999998</v>
      </c>
      <c r="F56">
        <v>2.3615033363999998</v>
      </c>
      <c r="G56">
        <v>1.7503990919999999</v>
      </c>
      <c r="H56">
        <v>1.4126027759999999</v>
      </c>
      <c r="I56">
        <v>1.1399704402320001</v>
      </c>
      <c r="J56">
        <v>0.91995614526722413</v>
      </c>
      <c r="K56">
        <v>0.74240460923064988</v>
      </c>
    </row>
    <row r="57" spans="1:11">
      <c r="A57" t="s">
        <v>484</v>
      </c>
      <c r="B57" t="s">
        <v>180</v>
      </c>
      <c r="C57">
        <v>1</v>
      </c>
      <c r="D57">
        <v>4.6746340373852817</v>
      </c>
      <c r="E57">
        <v>2.8150168473305519</v>
      </c>
      <c r="F57">
        <v>6.9095868070840831</v>
      </c>
      <c r="G57">
        <v>5.3741230721765083</v>
      </c>
      <c r="H57">
        <v>4.6916947455509206</v>
      </c>
      <c r="I57">
        <v>4.0817744286293012</v>
      </c>
      <c r="J57">
        <v>3.5511437529074921</v>
      </c>
      <c r="K57">
        <v>3.0894950650295181</v>
      </c>
    </row>
    <row r="58" spans="1:11">
      <c r="A58" t="s">
        <v>484</v>
      </c>
      <c r="B58" t="s">
        <v>22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1:11">
      <c r="A59" t="s">
        <v>484</v>
      </c>
      <c r="B59" t="s">
        <v>22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1:11">
      <c r="A60" t="s">
        <v>484</v>
      </c>
      <c r="B60" t="s">
        <v>193</v>
      </c>
      <c r="C60">
        <v>1</v>
      </c>
      <c r="D60">
        <v>0.55600000000000005</v>
      </c>
      <c r="E60">
        <v>0.51430000000000009</v>
      </c>
      <c r="F60">
        <v>0.51430000000000009</v>
      </c>
      <c r="G60">
        <v>0.51430000000000009</v>
      </c>
      <c r="H60">
        <v>0.51430000000000009</v>
      </c>
      <c r="I60">
        <v>0.51430000000000009</v>
      </c>
      <c r="J60">
        <v>0.51430000000000009</v>
      </c>
      <c r="K60">
        <v>0.51430000000000009</v>
      </c>
    </row>
    <row r="61" spans="1:11">
      <c r="A61" t="s">
        <v>484</v>
      </c>
      <c r="B61" t="s">
        <v>194</v>
      </c>
      <c r="C61">
        <v>1</v>
      </c>
      <c r="D61">
        <v>0.55600000000000005</v>
      </c>
      <c r="E61">
        <v>0.51430000000000009</v>
      </c>
      <c r="F61">
        <v>0.51430000000000009</v>
      </c>
      <c r="G61">
        <v>0.51430000000000009</v>
      </c>
      <c r="H61">
        <v>0.51430000000000009</v>
      </c>
      <c r="I61">
        <v>0.51430000000000009</v>
      </c>
      <c r="J61">
        <v>0.51430000000000009</v>
      </c>
      <c r="K61">
        <v>0.51430000000000009</v>
      </c>
    </row>
    <row r="62" spans="1:11">
      <c r="A62" t="s">
        <v>484</v>
      </c>
      <c r="B62" t="s">
        <v>195</v>
      </c>
      <c r="C62">
        <v>1</v>
      </c>
      <c r="D62">
        <v>0.5</v>
      </c>
      <c r="E62">
        <v>0.46250000000000002</v>
      </c>
      <c r="F62">
        <v>0.46250000000000002</v>
      </c>
      <c r="G62">
        <v>0.46250000000000002</v>
      </c>
      <c r="H62">
        <v>0.46250000000000002</v>
      </c>
      <c r="I62">
        <v>0.46250000000000002</v>
      </c>
      <c r="J62">
        <v>0.46250000000000002</v>
      </c>
      <c r="K62">
        <v>0.46250000000000002</v>
      </c>
    </row>
    <row r="63" spans="1:11">
      <c r="A63" t="s">
        <v>484</v>
      </c>
      <c r="B63" t="s">
        <v>265</v>
      </c>
      <c r="C63">
        <v>1</v>
      </c>
      <c r="D63">
        <v>0.5</v>
      </c>
      <c r="E63">
        <v>0.46250000000000002</v>
      </c>
      <c r="F63">
        <v>0.46250000000000002</v>
      </c>
      <c r="G63">
        <v>0.46250000000000002</v>
      </c>
      <c r="H63">
        <v>0.46250000000000002</v>
      </c>
      <c r="I63">
        <v>0.46250000000000002</v>
      </c>
      <c r="J63">
        <v>0.46250000000000002</v>
      </c>
      <c r="K63">
        <v>0.46250000000000002</v>
      </c>
    </row>
    <row r="64" spans="1:11">
      <c r="A64" t="s">
        <v>484</v>
      </c>
      <c r="B64" t="s">
        <v>249</v>
      </c>
      <c r="C64">
        <v>1</v>
      </c>
      <c r="D64">
        <v>1.44</v>
      </c>
      <c r="E64">
        <v>1.44</v>
      </c>
      <c r="F64">
        <v>1.44</v>
      </c>
      <c r="G64">
        <v>1.44</v>
      </c>
      <c r="H64">
        <v>1.44</v>
      </c>
      <c r="I64">
        <v>1.44</v>
      </c>
      <c r="J64">
        <v>1.44</v>
      </c>
      <c r="K64">
        <v>1.44</v>
      </c>
    </row>
    <row r="65" spans="1:11">
      <c r="A65" t="s">
        <v>484</v>
      </c>
      <c r="B65" t="s">
        <v>249</v>
      </c>
      <c r="C65">
        <v>2</v>
      </c>
      <c r="D65">
        <v>1.44</v>
      </c>
      <c r="E65">
        <v>1.44</v>
      </c>
      <c r="F65">
        <v>1.44</v>
      </c>
      <c r="G65">
        <v>1.44</v>
      </c>
      <c r="H65">
        <v>1.44</v>
      </c>
      <c r="I65">
        <v>1.44</v>
      </c>
      <c r="J65">
        <v>1.44</v>
      </c>
      <c r="K65">
        <v>1.44</v>
      </c>
    </row>
    <row r="66" spans="1:11">
      <c r="A66" t="s">
        <v>484</v>
      </c>
      <c r="B66" t="s">
        <v>249</v>
      </c>
      <c r="C66">
        <v>2</v>
      </c>
      <c r="D66">
        <v>1.44</v>
      </c>
      <c r="E66">
        <v>1.44</v>
      </c>
      <c r="F66">
        <v>1.44</v>
      </c>
      <c r="G66">
        <v>1.44</v>
      </c>
      <c r="H66">
        <v>1.44</v>
      </c>
      <c r="I66">
        <v>1.44</v>
      </c>
      <c r="J66">
        <v>1.44</v>
      </c>
      <c r="K66">
        <v>1.44</v>
      </c>
    </row>
    <row r="67" spans="1:11">
      <c r="A67" t="s">
        <v>484</v>
      </c>
      <c r="B67" t="s">
        <v>249</v>
      </c>
      <c r="C67">
        <v>3</v>
      </c>
      <c r="D67">
        <v>1.44</v>
      </c>
      <c r="E67">
        <v>1.44</v>
      </c>
      <c r="F67">
        <v>1.44</v>
      </c>
      <c r="G67">
        <v>1.44</v>
      </c>
      <c r="H67">
        <v>1.44</v>
      </c>
      <c r="I67">
        <v>1.44</v>
      </c>
      <c r="J67">
        <v>1.44</v>
      </c>
      <c r="K67">
        <v>1.44</v>
      </c>
    </row>
    <row r="68" spans="1:11">
      <c r="A68" t="s">
        <v>484</v>
      </c>
      <c r="B68" t="s">
        <v>249</v>
      </c>
      <c r="C68">
        <v>3</v>
      </c>
      <c r="D68">
        <v>1.44</v>
      </c>
      <c r="E68">
        <v>1.44</v>
      </c>
      <c r="F68">
        <v>1.44</v>
      </c>
      <c r="G68">
        <v>1.44</v>
      </c>
      <c r="H68">
        <v>1.44</v>
      </c>
      <c r="I68">
        <v>1.44</v>
      </c>
      <c r="J68">
        <v>1.44</v>
      </c>
      <c r="K68">
        <v>1.44</v>
      </c>
    </row>
    <row r="69" spans="1:11">
      <c r="A69" t="s">
        <v>484</v>
      </c>
      <c r="B69" t="s">
        <v>249</v>
      </c>
      <c r="C69">
        <v>4</v>
      </c>
      <c r="D69">
        <v>1.44</v>
      </c>
      <c r="E69">
        <v>1.44</v>
      </c>
      <c r="F69">
        <v>1.44</v>
      </c>
      <c r="G69">
        <v>1.44</v>
      </c>
      <c r="H69">
        <v>1.44</v>
      </c>
      <c r="I69">
        <v>1.44</v>
      </c>
      <c r="J69">
        <v>1.44</v>
      </c>
      <c r="K69">
        <v>1.44</v>
      </c>
    </row>
    <row r="70" spans="1:11">
      <c r="A70" t="s">
        <v>484</v>
      </c>
      <c r="B70" t="s">
        <v>250</v>
      </c>
      <c r="C70">
        <v>1</v>
      </c>
      <c r="D70">
        <v>1.44</v>
      </c>
      <c r="E70">
        <v>1.3320000000000001</v>
      </c>
      <c r="F70">
        <v>1.3320000000000001</v>
      </c>
      <c r="G70">
        <v>1.3320000000000001</v>
      </c>
      <c r="H70">
        <v>1.3320000000000001</v>
      </c>
      <c r="I70">
        <v>1.3320000000000001</v>
      </c>
      <c r="J70">
        <v>1.3320000000000001</v>
      </c>
      <c r="K70">
        <v>1.3320000000000001</v>
      </c>
    </row>
    <row r="71" spans="1:11">
      <c r="A71" t="s">
        <v>484</v>
      </c>
      <c r="B71" t="s">
        <v>262</v>
      </c>
      <c r="C71">
        <v>1</v>
      </c>
      <c r="D71">
        <v>1.44</v>
      </c>
      <c r="E71">
        <v>1.3320000000000001</v>
      </c>
      <c r="F71">
        <v>1.3320000000000001</v>
      </c>
      <c r="G71">
        <v>1.3320000000000001</v>
      </c>
      <c r="H71">
        <v>1.3320000000000001</v>
      </c>
      <c r="I71">
        <v>1.3320000000000001</v>
      </c>
      <c r="J71">
        <v>1.3320000000000001</v>
      </c>
      <c r="K71">
        <v>1.3320000000000001</v>
      </c>
    </row>
    <row r="72" spans="1:11">
      <c r="A72" t="s">
        <v>484</v>
      </c>
      <c r="B72" t="s">
        <v>256</v>
      </c>
      <c r="C72">
        <v>1</v>
      </c>
      <c r="D72">
        <v>1.44</v>
      </c>
      <c r="E72">
        <v>1.44</v>
      </c>
      <c r="F72">
        <v>1.44</v>
      </c>
      <c r="G72">
        <v>1.44</v>
      </c>
      <c r="H72">
        <v>1.44</v>
      </c>
      <c r="I72">
        <v>1.44</v>
      </c>
      <c r="J72">
        <v>1.44</v>
      </c>
      <c r="K72">
        <v>1.44</v>
      </c>
    </row>
    <row r="73" spans="1:11">
      <c r="A73" t="s">
        <v>484</v>
      </c>
      <c r="B73" t="s">
        <v>257</v>
      </c>
      <c r="C73">
        <v>1</v>
      </c>
      <c r="D73">
        <v>1.44</v>
      </c>
      <c r="E73">
        <v>1.44</v>
      </c>
      <c r="F73">
        <v>1.44</v>
      </c>
      <c r="G73">
        <v>1.44</v>
      </c>
      <c r="H73">
        <v>1.44</v>
      </c>
      <c r="I73">
        <v>1.44</v>
      </c>
      <c r="J73">
        <v>1.44</v>
      </c>
      <c r="K73">
        <v>1.44</v>
      </c>
    </row>
    <row r="74" spans="1:11">
      <c r="A74" t="s">
        <v>484</v>
      </c>
      <c r="B74" t="s">
        <v>263</v>
      </c>
      <c r="C74">
        <v>1</v>
      </c>
      <c r="D74">
        <v>1.44</v>
      </c>
      <c r="E74">
        <v>1.3320000000000001</v>
      </c>
      <c r="F74">
        <v>1.3320000000000001</v>
      </c>
      <c r="G74">
        <v>1.3320000000000001</v>
      </c>
      <c r="H74">
        <v>1.3320000000000001</v>
      </c>
      <c r="I74">
        <v>1.3320000000000001</v>
      </c>
      <c r="J74">
        <v>1.3320000000000001</v>
      </c>
      <c r="K74">
        <v>1.3320000000000001</v>
      </c>
    </row>
    <row r="75" spans="1:11">
      <c r="A75" t="s">
        <v>484</v>
      </c>
      <c r="B75" t="s">
        <v>254</v>
      </c>
      <c r="C75">
        <v>1</v>
      </c>
      <c r="D75">
        <v>1.44</v>
      </c>
      <c r="E75">
        <v>1.44</v>
      </c>
      <c r="F75">
        <v>1.44</v>
      </c>
      <c r="G75">
        <v>1.44</v>
      </c>
      <c r="H75">
        <v>1.44</v>
      </c>
      <c r="I75">
        <v>1.44</v>
      </c>
      <c r="J75">
        <v>1.44</v>
      </c>
      <c r="K75">
        <v>1.44</v>
      </c>
    </row>
    <row r="76" spans="1:11">
      <c r="A76" t="s">
        <v>484</v>
      </c>
      <c r="B76" t="s">
        <v>255</v>
      </c>
      <c r="C76">
        <v>1</v>
      </c>
      <c r="D76">
        <v>1.44</v>
      </c>
      <c r="E76">
        <v>1.44</v>
      </c>
      <c r="F76">
        <v>1.44</v>
      </c>
      <c r="G76">
        <v>1.44</v>
      </c>
      <c r="H76">
        <v>1.44</v>
      </c>
      <c r="I76">
        <v>1.44</v>
      </c>
      <c r="J76">
        <v>1.44</v>
      </c>
      <c r="K76">
        <v>1.44</v>
      </c>
    </row>
    <row r="77" spans="1:11">
      <c r="A77" t="s">
        <v>484</v>
      </c>
      <c r="B77" t="s">
        <v>258</v>
      </c>
      <c r="C77">
        <v>1</v>
      </c>
      <c r="D77">
        <v>1.44</v>
      </c>
      <c r="E77">
        <v>1.44</v>
      </c>
      <c r="F77">
        <v>1.44</v>
      </c>
      <c r="G77">
        <v>1.44</v>
      </c>
      <c r="H77">
        <v>1.44</v>
      </c>
      <c r="I77">
        <v>1.44</v>
      </c>
      <c r="J77">
        <v>1.44</v>
      </c>
      <c r="K77">
        <v>1.44</v>
      </c>
    </row>
    <row r="78" spans="1:11">
      <c r="A78" t="s">
        <v>484</v>
      </c>
      <c r="B78" t="s">
        <v>259</v>
      </c>
      <c r="C78">
        <v>1</v>
      </c>
      <c r="D78">
        <v>1.44</v>
      </c>
      <c r="E78">
        <v>1.44</v>
      </c>
      <c r="F78">
        <v>1.44</v>
      </c>
      <c r="G78">
        <v>1.44</v>
      </c>
      <c r="H78">
        <v>1.44</v>
      </c>
      <c r="I78">
        <v>1.44</v>
      </c>
      <c r="J78">
        <v>1.44</v>
      </c>
      <c r="K78">
        <v>1.44</v>
      </c>
    </row>
    <row r="79" spans="1:11">
      <c r="A79" t="s">
        <v>484</v>
      </c>
      <c r="B79" t="s">
        <v>251</v>
      </c>
      <c r="C79">
        <v>1</v>
      </c>
      <c r="D79">
        <v>1.44</v>
      </c>
      <c r="E79">
        <v>1.44</v>
      </c>
      <c r="F79">
        <v>1.44</v>
      </c>
      <c r="G79">
        <v>1.44</v>
      </c>
      <c r="H79">
        <v>1.44</v>
      </c>
      <c r="I79">
        <v>1.44</v>
      </c>
      <c r="J79">
        <v>1.44</v>
      </c>
      <c r="K79">
        <v>1.44</v>
      </c>
    </row>
    <row r="80" spans="1:11">
      <c r="A80" t="s">
        <v>484</v>
      </c>
      <c r="B80" t="s">
        <v>252</v>
      </c>
      <c r="C80">
        <v>1</v>
      </c>
      <c r="D80">
        <v>1.44</v>
      </c>
      <c r="E80">
        <v>1.44</v>
      </c>
      <c r="F80">
        <v>1.44</v>
      </c>
      <c r="G80">
        <v>1.44</v>
      </c>
      <c r="H80">
        <v>1.44</v>
      </c>
      <c r="I80">
        <v>1.44</v>
      </c>
      <c r="J80">
        <v>1.44</v>
      </c>
      <c r="K80">
        <v>1.44</v>
      </c>
    </row>
    <row r="81" spans="1:11">
      <c r="A81" t="s">
        <v>484</v>
      </c>
      <c r="B81" t="s">
        <v>253</v>
      </c>
      <c r="C81">
        <v>1</v>
      </c>
      <c r="D81">
        <v>1.44</v>
      </c>
      <c r="E81">
        <v>1.44</v>
      </c>
      <c r="F81">
        <v>1.44</v>
      </c>
      <c r="G81">
        <v>1.44</v>
      </c>
      <c r="H81">
        <v>1.44</v>
      </c>
      <c r="I81">
        <v>1.44</v>
      </c>
      <c r="J81">
        <v>1.44</v>
      </c>
      <c r="K81">
        <v>1.44</v>
      </c>
    </row>
    <row r="82" spans="1:11">
      <c r="A82" t="s">
        <v>484</v>
      </c>
      <c r="B82" t="s">
        <v>264</v>
      </c>
      <c r="C82">
        <v>1</v>
      </c>
      <c r="D82">
        <v>1.44</v>
      </c>
      <c r="E82">
        <v>1.296</v>
      </c>
      <c r="F82">
        <v>1.296</v>
      </c>
      <c r="G82">
        <v>1.296</v>
      </c>
      <c r="H82">
        <v>1.296</v>
      </c>
      <c r="I82">
        <v>1.296</v>
      </c>
      <c r="J82">
        <v>1.296</v>
      </c>
      <c r="K82">
        <v>1.296</v>
      </c>
    </row>
    <row r="83" spans="1:11">
      <c r="A83" t="s">
        <v>484</v>
      </c>
      <c r="B83" t="s">
        <v>261</v>
      </c>
      <c r="C83">
        <v>1</v>
      </c>
      <c r="D83">
        <v>1.44</v>
      </c>
      <c r="E83">
        <v>1.296</v>
      </c>
      <c r="F83">
        <v>1.296</v>
      </c>
      <c r="G83">
        <v>1.296</v>
      </c>
      <c r="H83">
        <v>1.296</v>
      </c>
      <c r="I83">
        <v>1.296</v>
      </c>
      <c r="J83">
        <v>1.296</v>
      </c>
      <c r="K83">
        <v>1.296</v>
      </c>
    </row>
    <row r="84" spans="1:11">
      <c r="A84" t="s">
        <v>484</v>
      </c>
      <c r="B84" t="s">
        <v>306</v>
      </c>
      <c r="C84">
        <v>1</v>
      </c>
      <c r="D84">
        <v>5.1769252737737244</v>
      </c>
      <c r="E84">
        <v>5.0948359216064691</v>
      </c>
      <c r="F84">
        <v>5.4010159649722418</v>
      </c>
      <c r="G84">
        <v>5.7071960083380162</v>
      </c>
      <c r="H84">
        <v>6.013376051703788</v>
      </c>
      <c r="I84">
        <v>6.3195560950695624</v>
      </c>
      <c r="J84">
        <v>6.6257361384353342</v>
      </c>
      <c r="K84">
        <v>6.9319161818011077</v>
      </c>
    </row>
    <row r="85" spans="1:11">
      <c r="A85" t="s">
        <v>484</v>
      </c>
      <c r="B85" t="s">
        <v>301</v>
      </c>
      <c r="C85">
        <v>1</v>
      </c>
      <c r="D85">
        <v>3.3849126790058968</v>
      </c>
      <c r="E85">
        <v>3.3312388718196146</v>
      </c>
      <c r="F85">
        <v>3.5314335155587737</v>
      </c>
      <c r="G85">
        <v>3.7316281592979328</v>
      </c>
      <c r="H85">
        <v>3.9318228030370914</v>
      </c>
      <c r="I85">
        <v>4.1320174467762518</v>
      </c>
      <c r="J85">
        <v>4.3322120905154105</v>
      </c>
      <c r="K85">
        <v>4.5324067342545709</v>
      </c>
    </row>
    <row r="86" spans="1:11">
      <c r="A86" t="s">
        <v>484</v>
      </c>
      <c r="B86" t="s">
        <v>304</v>
      </c>
      <c r="C86">
        <v>1</v>
      </c>
      <c r="D86">
        <v>9.2576370810399116</v>
      </c>
      <c r="E86">
        <v>9.1108407897293056</v>
      </c>
      <c r="F86">
        <v>9.6583672794966908</v>
      </c>
      <c r="G86">
        <v>10.20589376926408</v>
      </c>
      <c r="H86">
        <v>10.753420259031463</v>
      </c>
      <c r="I86">
        <v>11.30094674879885</v>
      </c>
      <c r="J86">
        <v>11.848473238566234</v>
      </c>
      <c r="K86">
        <v>12.395999728333623</v>
      </c>
    </row>
    <row r="87" spans="1:11">
      <c r="A87" t="s">
        <v>484</v>
      </c>
      <c r="B87" t="s">
        <v>303</v>
      </c>
      <c r="C87">
        <v>1</v>
      </c>
      <c r="D87">
        <v>3.9822502105951729</v>
      </c>
      <c r="E87">
        <v>3.9191045550818995</v>
      </c>
      <c r="F87">
        <v>4.1546276653632628</v>
      </c>
      <c r="G87">
        <v>4.390150775644627</v>
      </c>
      <c r="H87">
        <v>4.6256738859259903</v>
      </c>
      <c r="I87">
        <v>4.8611969962073553</v>
      </c>
      <c r="J87">
        <v>5.0967201064887178</v>
      </c>
      <c r="K87">
        <v>5.3322432167700828</v>
      </c>
    </row>
    <row r="88" spans="1:11">
      <c r="A88" t="s">
        <v>484</v>
      </c>
      <c r="B88" t="s">
        <v>305</v>
      </c>
      <c r="C88">
        <v>1</v>
      </c>
      <c r="D88">
        <v>14.68136062979276</v>
      </c>
      <c r="E88">
        <v>14.448561560982748</v>
      </c>
      <c r="F88">
        <v>15.316864539407193</v>
      </c>
      <c r="G88">
        <v>16.185167517831641</v>
      </c>
      <c r="H88">
        <v>17.053470496256079</v>
      </c>
      <c r="I88">
        <v>17.921773474680531</v>
      </c>
      <c r="J88">
        <v>18.79007645310497</v>
      </c>
      <c r="K88">
        <v>19.658379431529415</v>
      </c>
    </row>
    <row r="89" spans="1:11">
      <c r="A89" t="s">
        <v>484</v>
      </c>
      <c r="B89" t="s">
        <v>302</v>
      </c>
      <c r="C89">
        <v>1</v>
      </c>
      <c r="D89">
        <v>3.5840251895356556</v>
      </c>
      <c r="E89">
        <v>3.5271940995737099</v>
      </c>
      <c r="F89">
        <v>3.7391648988269366</v>
      </c>
      <c r="G89">
        <v>3.9511356980801646</v>
      </c>
      <c r="H89">
        <v>4.1631064973333913</v>
      </c>
      <c r="I89">
        <v>4.3750772965866203</v>
      </c>
      <c r="J89">
        <v>4.5870480958398456</v>
      </c>
      <c r="K89">
        <v>4.7990188950930746</v>
      </c>
    </row>
    <row r="90" spans="1:11">
      <c r="A90" t="s">
        <v>484</v>
      </c>
      <c r="B90" t="s">
        <v>309</v>
      </c>
      <c r="C90">
        <v>1</v>
      </c>
      <c r="D90">
        <v>6.6347195442440539</v>
      </c>
      <c r="E90">
        <v>3.9953603094900312</v>
      </c>
      <c r="F90">
        <v>9.8067934869300775</v>
      </c>
      <c r="G90">
        <v>7.6275060453900592</v>
      </c>
      <c r="H90">
        <v>6.6589338491500527</v>
      </c>
      <c r="I90">
        <v>5.793272448760546</v>
      </c>
      <c r="J90">
        <v>5.0401470304216751</v>
      </c>
      <c r="K90">
        <v>4.3849279164668573</v>
      </c>
    </row>
    <row r="91" spans="1:11">
      <c r="A91" t="s">
        <v>484</v>
      </c>
      <c r="B91" t="s">
        <v>85</v>
      </c>
      <c r="C91">
        <v>1</v>
      </c>
      <c r="D91">
        <v>2.3246656378600821</v>
      </c>
      <c r="E91">
        <v>1.7888302083333332</v>
      </c>
      <c r="F91">
        <v>1.6993886979166664</v>
      </c>
      <c r="G91">
        <v>1.6144192630208332</v>
      </c>
      <c r="H91">
        <v>1.5336982998697914</v>
      </c>
      <c r="I91">
        <v>1.4570133848763018</v>
      </c>
      <c r="J91">
        <v>1.3841627156324865</v>
      </c>
      <c r="K91">
        <v>1.3149545798508622</v>
      </c>
    </row>
    <row r="92" spans="1:11">
      <c r="A92" t="s">
        <v>280</v>
      </c>
      <c r="B92" t="s">
        <v>85</v>
      </c>
      <c r="C92">
        <v>1</v>
      </c>
      <c r="D92">
        <v>2.3246656378600821</v>
      </c>
      <c r="E92">
        <v>1.7888302083333332</v>
      </c>
      <c r="F92">
        <v>1.6993886979166664</v>
      </c>
      <c r="G92">
        <v>1.6144192630208332</v>
      </c>
      <c r="H92">
        <v>1.5336982998697914</v>
      </c>
      <c r="I92">
        <v>1.4570133848763018</v>
      </c>
      <c r="J92">
        <v>1.3841627156324865</v>
      </c>
      <c r="K92">
        <v>1.3149545798508622</v>
      </c>
    </row>
    <row r="93" spans="1:11">
      <c r="A93" t="s">
        <v>278</v>
      </c>
      <c r="B93" t="s">
        <v>85</v>
      </c>
      <c r="C93">
        <v>1</v>
      </c>
      <c r="D93">
        <v>2.3246656378600821</v>
      </c>
      <c r="E93">
        <v>1.7888302083333332</v>
      </c>
      <c r="F93">
        <v>1.6993886979166664</v>
      </c>
      <c r="G93">
        <v>1.6144192630208332</v>
      </c>
      <c r="H93">
        <v>1.5336982998697914</v>
      </c>
      <c r="I93">
        <v>1.4570133848763018</v>
      </c>
      <c r="J93">
        <v>1.3841627156324865</v>
      </c>
      <c r="K93">
        <v>1.3149545798508622</v>
      </c>
    </row>
    <row r="94" spans="1:11">
      <c r="A94" t="s">
        <v>274</v>
      </c>
      <c r="B94" t="s">
        <v>85</v>
      </c>
      <c r="C94">
        <v>1</v>
      </c>
      <c r="D94">
        <v>2.3246656378600821</v>
      </c>
      <c r="E94">
        <v>1.7888302083333332</v>
      </c>
      <c r="F94">
        <v>1.6993886979166664</v>
      </c>
      <c r="G94">
        <v>1.6144192630208332</v>
      </c>
      <c r="H94">
        <v>1.5336982998697914</v>
      </c>
      <c r="I94">
        <v>1.4570133848763018</v>
      </c>
      <c r="J94">
        <v>1.3841627156324865</v>
      </c>
      <c r="K94">
        <v>1.3149545798508622</v>
      </c>
    </row>
    <row r="95" spans="1:11">
      <c r="A95" t="s">
        <v>275</v>
      </c>
      <c r="B95" t="s">
        <v>85</v>
      </c>
      <c r="C95">
        <v>1</v>
      </c>
      <c r="D95">
        <v>2.3246656378600821</v>
      </c>
      <c r="E95">
        <v>1.7888302083333332</v>
      </c>
      <c r="F95">
        <v>1.6993886979166664</v>
      </c>
      <c r="G95">
        <v>1.6144192630208332</v>
      </c>
      <c r="H95">
        <v>1.5336982998697914</v>
      </c>
      <c r="I95">
        <v>1.4570133848763018</v>
      </c>
      <c r="J95">
        <v>1.3841627156324865</v>
      </c>
      <c r="K95">
        <v>1.3149545798508622</v>
      </c>
    </row>
    <row r="96" spans="1:11">
      <c r="A96" t="s">
        <v>484</v>
      </c>
      <c r="B96" t="s">
        <v>86</v>
      </c>
      <c r="C96">
        <v>1</v>
      </c>
      <c r="D96">
        <v>3.1104681069958846</v>
      </c>
      <c r="E96">
        <v>2.393505208333333</v>
      </c>
      <c r="F96">
        <v>2.2738299479166661</v>
      </c>
      <c r="G96">
        <v>2.160138450520833</v>
      </c>
      <c r="H96">
        <v>2.0521315279947916</v>
      </c>
      <c r="I96">
        <v>1.9495249515950519</v>
      </c>
      <c r="J96">
        <v>1.8520487040152989</v>
      </c>
      <c r="K96">
        <v>1.759446268814534</v>
      </c>
    </row>
    <row r="97" spans="1:16">
      <c r="A97" t="s">
        <v>282</v>
      </c>
      <c r="B97" t="s">
        <v>86</v>
      </c>
      <c r="C97">
        <v>1</v>
      </c>
      <c r="D97">
        <v>3.1104681069958846</v>
      </c>
      <c r="E97">
        <v>2.393505208333333</v>
      </c>
      <c r="F97">
        <v>2.2738299479166661</v>
      </c>
      <c r="G97">
        <v>2.160138450520833</v>
      </c>
      <c r="H97">
        <v>2.0521315279947916</v>
      </c>
      <c r="I97">
        <v>1.9495249515950519</v>
      </c>
      <c r="J97">
        <v>1.8520487040152989</v>
      </c>
      <c r="K97">
        <v>1.759446268814534</v>
      </c>
    </row>
    <row r="98" spans="1:16">
      <c r="A98" t="s">
        <v>281</v>
      </c>
      <c r="B98" t="s">
        <v>86</v>
      </c>
      <c r="C98">
        <v>1</v>
      </c>
      <c r="D98">
        <v>3.1104681069958846</v>
      </c>
      <c r="E98">
        <v>2.393505208333333</v>
      </c>
      <c r="F98">
        <v>2.2738299479166661</v>
      </c>
      <c r="G98">
        <v>2.160138450520833</v>
      </c>
      <c r="H98">
        <v>2.0521315279947916</v>
      </c>
      <c r="I98">
        <v>1.9495249515950519</v>
      </c>
      <c r="J98">
        <v>1.8520487040152989</v>
      </c>
      <c r="K98">
        <v>1.759446268814534</v>
      </c>
    </row>
    <row r="99" spans="1:16">
      <c r="A99" t="s">
        <v>280</v>
      </c>
      <c r="B99" t="s">
        <v>86</v>
      </c>
      <c r="C99">
        <v>1</v>
      </c>
      <c r="D99">
        <v>3.1104681069958846</v>
      </c>
      <c r="E99">
        <v>2.393505208333333</v>
      </c>
      <c r="F99">
        <v>2.2738299479166661</v>
      </c>
      <c r="G99">
        <v>2.160138450520833</v>
      </c>
      <c r="H99">
        <v>2.0521315279947916</v>
      </c>
      <c r="I99">
        <v>1.9495249515950519</v>
      </c>
      <c r="J99">
        <v>1.8520487040152989</v>
      </c>
      <c r="K99">
        <v>1.759446268814534</v>
      </c>
    </row>
    <row r="100" spans="1:16">
      <c r="A100" t="s">
        <v>274</v>
      </c>
      <c r="B100" t="s">
        <v>86</v>
      </c>
      <c r="C100">
        <v>1</v>
      </c>
      <c r="D100">
        <v>3.1104681069958846</v>
      </c>
      <c r="E100">
        <v>2.393505208333333</v>
      </c>
      <c r="F100">
        <v>2.2738299479166661</v>
      </c>
      <c r="G100">
        <v>2.160138450520833</v>
      </c>
      <c r="H100">
        <v>2.0521315279947916</v>
      </c>
      <c r="I100">
        <v>1.9495249515950519</v>
      </c>
      <c r="J100">
        <v>1.8520487040152989</v>
      </c>
      <c r="K100">
        <v>1.759446268814534</v>
      </c>
    </row>
    <row r="101" spans="1:16">
      <c r="A101" s="5" t="s">
        <v>484</v>
      </c>
      <c r="B101" s="2" t="s">
        <v>329</v>
      </c>
      <c r="C101">
        <v>1</v>
      </c>
      <c r="D101">
        <v>1.44</v>
      </c>
      <c r="E101">
        <v>1.296</v>
      </c>
      <c r="F101">
        <v>1.296</v>
      </c>
      <c r="G101">
        <v>1.296</v>
      </c>
      <c r="H101">
        <v>1.296</v>
      </c>
      <c r="I101">
        <v>1.296</v>
      </c>
      <c r="J101">
        <v>1.296</v>
      </c>
      <c r="K101">
        <v>1.296</v>
      </c>
    </row>
    <row r="102" spans="1:16">
      <c r="A102" s="5" t="s">
        <v>484</v>
      </c>
      <c r="B102" s="2" t="s">
        <v>330</v>
      </c>
      <c r="C102">
        <v>1</v>
      </c>
      <c r="D102">
        <v>1.44</v>
      </c>
      <c r="E102">
        <v>1.296</v>
      </c>
      <c r="F102">
        <v>1.296</v>
      </c>
      <c r="G102">
        <v>1.296</v>
      </c>
      <c r="H102">
        <v>1.296</v>
      </c>
      <c r="I102">
        <v>1.296</v>
      </c>
      <c r="J102">
        <v>1.296</v>
      </c>
      <c r="K102">
        <v>1.296</v>
      </c>
    </row>
    <row r="103" spans="1:16">
      <c r="A103" t="s">
        <v>484</v>
      </c>
      <c r="B103" t="s">
        <v>331</v>
      </c>
      <c r="C103">
        <v>1</v>
      </c>
      <c r="D103">
        <v>99</v>
      </c>
      <c r="E103">
        <v>48.75</v>
      </c>
      <c r="F103">
        <v>33.25</v>
      </c>
      <c r="G103">
        <v>26.825000000000003</v>
      </c>
      <c r="H103">
        <v>20.7</v>
      </c>
      <c r="I103">
        <v>14.875</v>
      </c>
      <c r="J103">
        <v>14.45</v>
      </c>
      <c r="K103">
        <v>14.024999999999999</v>
      </c>
    </row>
    <row r="104" spans="1:16">
      <c r="A104" t="s">
        <v>484</v>
      </c>
      <c r="B104" t="s">
        <v>447</v>
      </c>
      <c r="C104">
        <v>1</v>
      </c>
      <c r="D104">
        <v>1E-3</v>
      </c>
      <c r="E104">
        <v>1E-3</v>
      </c>
      <c r="F104">
        <v>1E-3</v>
      </c>
      <c r="G104">
        <v>1E-3</v>
      </c>
      <c r="H104">
        <v>1E-3</v>
      </c>
      <c r="I104">
        <v>1E-3</v>
      </c>
      <c r="J104">
        <v>1E-3</v>
      </c>
      <c r="K104">
        <v>1E-3</v>
      </c>
      <c r="O104" t="s">
        <v>467</v>
      </c>
      <c r="P104">
        <v>1.4733516980271617</v>
      </c>
    </row>
    <row r="105" spans="1:16">
      <c r="A105" t="s">
        <v>484</v>
      </c>
      <c r="B105" t="s">
        <v>448</v>
      </c>
      <c r="C105">
        <v>1</v>
      </c>
      <c r="D105">
        <v>1E-3</v>
      </c>
      <c r="E105">
        <v>1E-3</v>
      </c>
      <c r="F105">
        <v>1E-3</v>
      </c>
      <c r="G105">
        <v>1E-3</v>
      </c>
      <c r="H105">
        <v>1E-3</v>
      </c>
      <c r="I105">
        <v>1E-3</v>
      </c>
      <c r="J105">
        <v>1E-3</v>
      </c>
      <c r="K105">
        <v>1E-3</v>
      </c>
    </row>
    <row r="174" spans="4:11">
      <c r="D174" s="16"/>
      <c r="E174" s="16"/>
      <c r="F174" s="16"/>
      <c r="G174" s="16"/>
      <c r="H174" s="16"/>
      <c r="I174" s="16"/>
      <c r="J174" s="16"/>
      <c r="K174" s="16"/>
    </row>
    <row r="175" spans="4:11">
      <c r="D175" s="16"/>
      <c r="E175" s="16"/>
      <c r="F175" s="16"/>
      <c r="G175" s="16"/>
      <c r="H175" s="16"/>
      <c r="I175" s="16"/>
      <c r="J175" s="16"/>
      <c r="K175" s="16"/>
    </row>
    <row r="176" spans="4:11">
      <c r="D176" s="16"/>
      <c r="E176" s="16"/>
      <c r="F176" s="16"/>
      <c r="G176" s="16"/>
      <c r="H176" s="16"/>
      <c r="I176" s="16"/>
      <c r="J176" s="16"/>
      <c r="K176" s="16"/>
    </row>
    <row r="209" spans="1:11">
      <c r="D209" s="16"/>
      <c r="E209" s="16"/>
      <c r="F209" s="16"/>
      <c r="G209" s="16"/>
      <c r="H209" s="16"/>
      <c r="I209" s="16"/>
      <c r="J209" s="16"/>
      <c r="K209" s="16"/>
    </row>
    <row r="220" spans="1:11">
      <c r="A220" s="5"/>
      <c r="B220" s="2"/>
    </row>
    <row r="221" spans="1:11">
      <c r="A221" s="5"/>
      <c r="B221" s="2"/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Tabelle12"/>
  <dimension ref="A1:O139"/>
  <sheetViews>
    <sheetView zoomScale="90" zoomScaleNormal="90" zoomScalePageLayoutView="90" workbookViewId="0">
      <selection activeCell="D23" sqref="D23"/>
    </sheetView>
  </sheetViews>
  <sheetFormatPr defaultColWidth="11.42578125" defaultRowHeight="15"/>
  <cols>
    <col min="1" max="1" width="11.42578125" style="5"/>
    <col min="2" max="2" width="24.140625" style="5" customWidth="1"/>
    <col min="3" max="3" width="11.42578125" style="5"/>
    <col min="4" max="9" width="15.5703125" style="5" customWidth="1"/>
    <col min="10" max="10" width="11.42578125" style="5"/>
    <col min="11" max="11" width="2" style="5" customWidth="1"/>
    <col min="12" max="12" width="23.42578125" style="5" customWidth="1"/>
    <col min="13" max="13" width="46.85546875" style="5" customWidth="1"/>
    <col min="14" max="14" width="26.140625" style="5" bestFit="1" customWidth="1"/>
    <col min="15" max="16384" width="11.42578125" style="5"/>
  </cols>
  <sheetData>
    <row r="1" spans="1:15">
      <c r="A1" t="s">
        <v>401</v>
      </c>
    </row>
    <row r="2" spans="1:15">
      <c r="A2" s="5" t="s">
        <v>3</v>
      </c>
    </row>
    <row r="3" spans="1:15">
      <c r="A3" t="s">
        <v>371</v>
      </c>
    </row>
    <row r="5" spans="1:15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  <c r="N5"/>
      <c r="O5"/>
    </row>
    <row r="6" spans="1:15">
      <c r="A6" s="5" t="s">
        <v>484</v>
      </c>
      <c r="B6" s="5" t="s">
        <v>300</v>
      </c>
      <c r="C6" s="5">
        <v>28.41</v>
      </c>
      <c r="D6" s="5">
        <v>28.41</v>
      </c>
      <c r="E6" s="5">
        <v>28.41</v>
      </c>
      <c r="F6" s="5">
        <v>28.41</v>
      </c>
      <c r="G6" s="5">
        <v>28.41</v>
      </c>
      <c r="H6" s="5">
        <v>25.568999999999999</v>
      </c>
      <c r="I6" s="5">
        <v>25.568999999999999</v>
      </c>
      <c r="J6" s="5">
        <v>25.568999999999999</v>
      </c>
    </row>
    <row r="7" spans="1:15">
      <c r="A7" s="5" t="s">
        <v>484</v>
      </c>
      <c r="B7" s="5" t="s">
        <v>301</v>
      </c>
      <c r="C7" s="5">
        <v>0.01</v>
      </c>
      <c r="D7" s="5">
        <v>0.01</v>
      </c>
      <c r="E7" s="5">
        <v>0.01</v>
      </c>
      <c r="F7" s="5">
        <v>0.01</v>
      </c>
      <c r="G7" s="5">
        <v>0.01</v>
      </c>
      <c r="H7" s="5">
        <v>0.01</v>
      </c>
      <c r="I7" s="5">
        <v>0.01</v>
      </c>
      <c r="J7" s="5">
        <v>0.01</v>
      </c>
    </row>
    <row r="8" spans="1:15">
      <c r="A8" s="5" t="s">
        <v>484</v>
      </c>
      <c r="B8" s="5" t="s">
        <v>302</v>
      </c>
      <c r="C8" s="5">
        <v>0.01</v>
      </c>
      <c r="D8" s="5">
        <v>0.01</v>
      </c>
      <c r="E8" s="5">
        <v>0.01</v>
      </c>
      <c r="F8" s="5">
        <v>0.01</v>
      </c>
      <c r="G8" s="5">
        <v>0.01</v>
      </c>
      <c r="H8" s="5">
        <v>0.01</v>
      </c>
      <c r="I8" s="5">
        <v>0.01</v>
      </c>
      <c r="J8" s="5">
        <v>0.01</v>
      </c>
    </row>
    <row r="9" spans="1:15">
      <c r="A9" s="5" t="s">
        <v>484</v>
      </c>
      <c r="B9" s="5" t="s">
        <v>303</v>
      </c>
      <c r="C9" s="5">
        <v>0.01</v>
      </c>
      <c r="D9" s="5">
        <v>0.01</v>
      </c>
      <c r="E9" s="5">
        <v>0.01</v>
      </c>
      <c r="F9" s="5">
        <v>0.01</v>
      </c>
      <c r="G9" s="5">
        <v>0.01</v>
      </c>
      <c r="H9" s="5">
        <v>0.01</v>
      </c>
      <c r="I9" s="5">
        <v>0.01</v>
      </c>
      <c r="J9" s="5">
        <v>0.01</v>
      </c>
    </row>
    <row r="10" spans="1:15">
      <c r="A10" s="5" t="s">
        <v>484</v>
      </c>
      <c r="B10" s="5" t="s">
        <v>304</v>
      </c>
      <c r="C10" s="5">
        <v>0.01</v>
      </c>
      <c r="D10" s="5">
        <v>0.01</v>
      </c>
      <c r="E10" s="5">
        <v>0.01</v>
      </c>
      <c r="F10" s="5">
        <v>0.01</v>
      </c>
      <c r="G10" s="5">
        <v>0.01</v>
      </c>
      <c r="H10" s="5">
        <v>0.01</v>
      </c>
      <c r="I10" s="5">
        <v>0.01</v>
      </c>
      <c r="J10" s="5">
        <v>0.01</v>
      </c>
    </row>
    <row r="11" spans="1:15">
      <c r="A11" s="5" t="s">
        <v>484</v>
      </c>
      <c r="B11" s="5" t="s">
        <v>305</v>
      </c>
      <c r="C11" s="5">
        <v>0.01</v>
      </c>
      <c r="D11" s="5">
        <v>0.01</v>
      </c>
      <c r="E11" s="5">
        <v>0.01</v>
      </c>
      <c r="F11" s="5">
        <v>0.01</v>
      </c>
      <c r="G11" s="5">
        <v>0.01</v>
      </c>
      <c r="H11" s="5">
        <v>0.01</v>
      </c>
      <c r="I11" s="5">
        <v>0.01</v>
      </c>
      <c r="J11" s="5">
        <v>0.01</v>
      </c>
    </row>
    <row r="12" spans="1:15">
      <c r="A12" s="5" t="s">
        <v>484</v>
      </c>
      <c r="B12" s="5" t="s">
        <v>306</v>
      </c>
      <c r="C12" s="5">
        <v>23.13</v>
      </c>
      <c r="D12" s="5">
        <v>21.93</v>
      </c>
      <c r="E12" s="5">
        <v>21.18</v>
      </c>
      <c r="F12" s="5">
        <v>20.399999999999999</v>
      </c>
      <c r="G12" s="5">
        <v>19.59</v>
      </c>
      <c r="H12" s="5">
        <v>18.96</v>
      </c>
      <c r="I12" s="5">
        <v>18.27</v>
      </c>
      <c r="J12" s="5">
        <v>17.669999999999998</v>
      </c>
    </row>
    <row r="13" spans="1:15">
      <c r="A13" s="5" t="s">
        <v>484</v>
      </c>
      <c r="B13" s="5" t="s">
        <v>310</v>
      </c>
      <c r="C13" s="5">
        <v>1</v>
      </c>
      <c r="D13" s="5">
        <v>0.95714285714285718</v>
      </c>
      <c r="E13" s="5">
        <v>0.91428571428571426</v>
      </c>
      <c r="F13" s="5">
        <v>0.87142857142857144</v>
      </c>
      <c r="G13" s="5">
        <v>0.82857142857142851</v>
      </c>
      <c r="H13" s="5">
        <v>0.7857142857142857</v>
      </c>
      <c r="I13" s="5">
        <v>0.74285714285714288</v>
      </c>
      <c r="J13" s="5">
        <v>0.7</v>
      </c>
    </row>
    <row r="14" spans="1:15">
      <c r="A14" s="5" t="s">
        <v>484</v>
      </c>
      <c r="B14" s="5" t="s">
        <v>311</v>
      </c>
      <c r="C14" s="5">
        <v>1</v>
      </c>
      <c r="D14" s="5">
        <v>0.95714285714285718</v>
      </c>
      <c r="E14" s="5">
        <v>0.91428571428571426</v>
      </c>
      <c r="F14" s="5">
        <v>0.87142857142857144</v>
      </c>
      <c r="G14" s="5">
        <v>0.82857142857142851</v>
      </c>
      <c r="H14" s="5">
        <v>0.7857142857142857</v>
      </c>
      <c r="I14" s="5">
        <v>0.74285714285714288</v>
      </c>
      <c r="J14" s="5">
        <v>0.7</v>
      </c>
    </row>
    <row r="15" spans="1:15">
      <c r="A15" s="5" t="s">
        <v>484</v>
      </c>
      <c r="B15" s="5" t="s">
        <v>316</v>
      </c>
      <c r="C15" s="5">
        <v>6.1224489795918364</v>
      </c>
      <c r="D15" s="5">
        <v>6.0641399416909616</v>
      </c>
      <c r="E15" s="5">
        <v>6.0058309037900877</v>
      </c>
      <c r="F15" s="5">
        <v>5.9475218658892128</v>
      </c>
      <c r="G15" s="5">
        <v>5.889212827988338</v>
      </c>
      <c r="H15" s="5">
        <v>5.8309037900874632</v>
      </c>
      <c r="I15" s="5">
        <v>5.7725947521865892</v>
      </c>
      <c r="J15" s="5">
        <v>5.7142857142857144</v>
      </c>
    </row>
    <row r="16" spans="1:15">
      <c r="A16" s="5" t="s">
        <v>484</v>
      </c>
      <c r="B16" s="5" t="s">
        <v>497</v>
      </c>
      <c r="C16" s="5">
        <v>10.303617571059432</v>
      </c>
      <c r="D16" s="5">
        <v>10.035991140642302</v>
      </c>
      <c r="E16" s="5">
        <v>9.7683647102251747</v>
      </c>
      <c r="F16" s="5">
        <v>9.5007382798080471</v>
      </c>
      <c r="G16" s="5">
        <v>9.2331118493909194</v>
      </c>
      <c r="H16" s="5">
        <v>8.9654854189737918</v>
      </c>
      <c r="I16" s="5">
        <v>8.6978589885566624</v>
      </c>
      <c r="J16" s="5">
        <v>8.4302325581395348</v>
      </c>
    </row>
    <row r="17" spans="1:14">
      <c r="A17" s="5" t="s">
        <v>484</v>
      </c>
      <c r="B17" s="5" t="s">
        <v>317</v>
      </c>
      <c r="C17" s="5">
        <v>48</v>
      </c>
      <c r="D17" s="5">
        <v>44.002448979591833</v>
      </c>
      <c r="E17" s="5">
        <v>40.004897959183673</v>
      </c>
      <c r="F17" s="5">
        <v>36.007346938775513</v>
      </c>
      <c r="G17" s="5">
        <v>32.009795918367345</v>
      </c>
      <c r="H17" s="5">
        <v>28.012244897959185</v>
      </c>
      <c r="I17" s="5">
        <v>24.014693877551021</v>
      </c>
      <c r="J17" s="5">
        <v>20.017142857142858</v>
      </c>
    </row>
    <row r="18" spans="1:14">
      <c r="A18" s="5" t="s">
        <v>484</v>
      </c>
      <c r="B18" s="5" t="s">
        <v>327</v>
      </c>
      <c r="C18" s="30">
        <v>15.479999999999999</v>
      </c>
      <c r="D18" s="30">
        <v>14.706</v>
      </c>
      <c r="E18" s="30">
        <v>12.771000000000001</v>
      </c>
      <c r="F18" s="30">
        <v>12.061500000000001</v>
      </c>
      <c r="G18" s="30">
        <v>10.836</v>
      </c>
      <c r="H18" s="30">
        <v>10.15875</v>
      </c>
      <c r="I18" s="30">
        <v>9.4814999999999987</v>
      </c>
      <c r="J18" s="30">
        <v>8.8042499999999997</v>
      </c>
    </row>
    <row r="19" spans="1:14">
      <c r="A19" s="5" t="s">
        <v>484</v>
      </c>
      <c r="B19" s="5" t="s">
        <v>329</v>
      </c>
      <c r="C19" s="30">
        <v>21.9</v>
      </c>
      <c r="D19" s="30">
        <v>21.274285714285714</v>
      </c>
      <c r="E19" s="30">
        <v>15.104571428571427</v>
      </c>
      <c r="F19" s="30">
        <v>9.2708571428571442</v>
      </c>
      <c r="G19" s="30">
        <v>7.6392857142857151</v>
      </c>
      <c r="H19" s="30">
        <v>6.0942857142857152</v>
      </c>
      <c r="I19" s="30">
        <v>5.418857142857143</v>
      </c>
      <c r="J19" s="30">
        <v>4.7760000000000007</v>
      </c>
    </row>
    <row r="20" spans="1:14">
      <c r="A20" s="5" t="s">
        <v>484</v>
      </c>
      <c r="B20" s="5" t="s">
        <v>330</v>
      </c>
      <c r="C20" s="5">
        <v>24.45</v>
      </c>
      <c r="D20" s="5">
        <v>23.751428571428569</v>
      </c>
      <c r="E20" s="5">
        <v>16.872428571428571</v>
      </c>
      <c r="F20" s="5">
        <v>10.368</v>
      </c>
      <c r="G20" s="5">
        <v>8.5427142857142861</v>
      </c>
      <c r="H20" s="5">
        <v>6.8142857142857149</v>
      </c>
      <c r="I20" s="5">
        <v>6.0527142857142859</v>
      </c>
      <c r="J20" s="5">
        <v>5.3280000000000003</v>
      </c>
    </row>
    <row r="21" spans="1:14">
      <c r="A21" s="5" t="s">
        <v>484</v>
      </c>
      <c r="B21" s="5" t="s">
        <v>449</v>
      </c>
      <c r="C21" s="5">
        <v>26</v>
      </c>
      <c r="D21" s="5">
        <v>26</v>
      </c>
      <c r="E21" s="5">
        <v>17</v>
      </c>
      <c r="F21" s="5">
        <v>17</v>
      </c>
      <c r="G21" s="5">
        <v>17</v>
      </c>
      <c r="H21" s="5">
        <v>17</v>
      </c>
      <c r="I21" s="5">
        <v>17</v>
      </c>
      <c r="J21" s="5">
        <v>17</v>
      </c>
    </row>
    <row r="22" spans="1:14">
      <c r="A22" s="5" t="s">
        <v>484</v>
      </c>
      <c r="B22" s="5" t="s">
        <v>451</v>
      </c>
      <c r="C22" s="5">
        <v>12</v>
      </c>
      <c r="D22" s="5">
        <v>12</v>
      </c>
      <c r="E22" s="5">
        <v>8</v>
      </c>
      <c r="F22" s="5">
        <v>8</v>
      </c>
      <c r="G22" s="5">
        <v>8</v>
      </c>
      <c r="H22" s="5">
        <v>8</v>
      </c>
      <c r="I22" s="5">
        <v>8</v>
      </c>
      <c r="J22" s="5">
        <v>8</v>
      </c>
    </row>
    <row r="23" spans="1:14">
      <c r="A23" s="5" t="s">
        <v>484</v>
      </c>
      <c r="B23" s="5" t="s">
        <v>450</v>
      </c>
      <c r="C23" s="5">
        <v>13</v>
      </c>
      <c r="D23" s="5">
        <v>13</v>
      </c>
      <c r="E23" s="5">
        <v>9</v>
      </c>
      <c r="F23" s="5">
        <v>9</v>
      </c>
      <c r="G23" s="5">
        <v>9</v>
      </c>
      <c r="H23" s="5">
        <v>9</v>
      </c>
      <c r="I23" s="5">
        <v>9</v>
      </c>
      <c r="J23" s="5">
        <v>9</v>
      </c>
    </row>
    <row r="24" spans="1:14">
      <c r="A24" s="5" t="s">
        <v>484</v>
      </c>
      <c r="B24" s="5" t="s">
        <v>436</v>
      </c>
      <c r="C24" s="5">
        <v>50.6</v>
      </c>
      <c r="D24" s="5">
        <v>48.07</v>
      </c>
      <c r="E24" s="5">
        <v>45.54</v>
      </c>
      <c r="F24" s="5">
        <v>44.275000000000006</v>
      </c>
      <c r="G24" s="5">
        <v>43.010000000000005</v>
      </c>
      <c r="H24" s="5">
        <v>43.010000000000005</v>
      </c>
      <c r="I24" s="5">
        <v>43.010000000000005</v>
      </c>
      <c r="J24" s="5">
        <v>43.010000000000005</v>
      </c>
    </row>
    <row r="25" spans="1:14">
      <c r="A25" s="5" t="s">
        <v>484</v>
      </c>
      <c r="B25" s="5" t="s">
        <v>104</v>
      </c>
      <c r="C25" s="5">
        <v>44</v>
      </c>
      <c r="D25" s="5">
        <v>44</v>
      </c>
      <c r="E25" s="5">
        <v>44</v>
      </c>
      <c r="F25" s="5">
        <v>44</v>
      </c>
      <c r="G25" s="5">
        <v>44</v>
      </c>
      <c r="H25" s="5">
        <v>44</v>
      </c>
      <c r="I25" s="5">
        <v>44</v>
      </c>
      <c r="J25" s="5">
        <v>44</v>
      </c>
    </row>
    <row r="26" spans="1:14">
      <c r="A26" s="5" t="s">
        <v>484</v>
      </c>
      <c r="B26" s="5" t="s">
        <v>105</v>
      </c>
      <c r="C26" s="5">
        <v>41.800000000000004</v>
      </c>
      <c r="D26" s="5">
        <v>41.800000000000004</v>
      </c>
      <c r="E26" s="5">
        <v>41.800000000000004</v>
      </c>
      <c r="F26" s="5">
        <v>41.800000000000004</v>
      </c>
      <c r="G26" s="5">
        <v>41.800000000000004</v>
      </c>
      <c r="H26" s="5">
        <v>41.800000000000004</v>
      </c>
      <c r="I26" s="5">
        <v>41.800000000000004</v>
      </c>
      <c r="J26" s="5">
        <v>41.800000000000004</v>
      </c>
    </row>
    <row r="27" spans="1:14">
      <c r="A27" s="5" t="s">
        <v>484</v>
      </c>
      <c r="B27" s="5" t="s">
        <v>442</v>
      </c>
      <c r="C27" s="5">
        <v>28.6</v>
      </c>
      <c r="D27" s="5">
        <v>28.6</v>
      </c>
      <c r="E27" s="5">
        <v>18.700000000000003</v>
      </c>
      <c r="F27" s="5">
        <v>18.700000000000003</v>
      </c>
      <c r="G27" s="5">
        <v>18.700000000000003</v>
      </c>
      <c r="H27" s="5">
        <v>18.700000000000003</v>
      </c>
      <c r="I27" s="5">
        <v>18.700000000000003</v>
      </c>
      <c r="J27" s="5">
        <v>18.700000000000003</v>
      </c>
    </row>
    <row r="28" spans="1:14">
      <c r="A28" s="5" t="s">
        <v>484</v>
      </c>
      <c r="B28" s="5" t="s">
        <v>440</v>
      </c>
      <c r="C28" s="5">
        <v>28.6</v>
      </c>
      <c r="D28" s="5">
        <v>28.6</v>
      </c>
      <c r="E28" s="5">
        <v>18.700000000000003</v>
      </c>
      <c r="F28" s="5">
        <v>18.700000000000003</v>
      </c>
      <c r="G28" s="5">
        <v>18.700000000000003</v>
      </c>
      <c r="H28" s="5">
        <v>18.700000000000003</v>
      </c>
      <c r="I28" s="5">
        <v>18.700000000000003</v>
      </c>
      <c r="J28" s="5">
        <v>18.700000000000003</v>
      </c>
    </row>
    <row r="29" spans="1:14">
      <c r="A29" s="5" t="s">
        <v>484</v>
      </c>
      <c r="B29" s="5" t="s">
        <v>444</v>
      </c>
      <c r="C29" s="5">
        <v>28.6</v>
      </c>
      <c r="D29" s="5">
        <v>28.6</v>
      </c>
      <c r="E29" s="5">
        <v>18.700000000000003</v>
      </c>
      <c r="F29" s="5">
        <v>18.700000000000003</v>
      </c>
      <c r="G29" s="5">
        <v>18.700000000000003</v>
      </c>
      <c r="H29" s="5">
        <v>18.700000000000003</v>
      </c>
      <c r="I29" s="5">
        <v>18.700000000000003</v>
      </c>
      <c r="J29" s="5">
        <v>18.700000000000003</v>
      </c>
    </row>
    <row r="30" spans="1:14">
      <c r="A30" s="5" t="s">
        <v>484</v>
      </c>
      <c r="B30" s="5" t="s">
        <v>437</v>
      </c>
      <c r="C30" s="5">
        <v>55.000000000000007</v>
      </c>
      <c r="D30" s="5">
        <v>45.1</v>
      </c>
      <c r="E30" s="5">
        <v>42.900000000000006</v>
      </c>
      <c r="F30" s="5">
        <v>41.800000000000004</v>
      </c>
      <c r="G30" s="5">
        <v>40.700000000000003</v>
      </c>
      <c r="H30" s="5">
        <v>40.700000000000003</v>
      </c>
      <c r="I30" s="5">
        <v>40.700000000000003</v>
      </c>
      <c r="J30" s="5">
        <v>40.700000000000003</v>
      </c>
      <c r="N30" s="5" t="s">
        <v>461</v>
      </c>
    </row>
    <row r="31" spans="1:14">
      <c r="A31" s="5" t="s">
        <v>484</v>
      </c>
      <c r="B31" s="5" t="s">
        <v>438</v>
      </c>
      <c r="C31" s="5">
        <v>66</v>
      </c>
      <c r="D31" s="5">
        <v>66</v>
      </c>
      <c r="E31" s="5">
        <v>66</v>
      </c>
      <c r="F31" s="5">
        <v>66</v>
      </c>
      <c r="G31" s="5">
        <v>66</v>
      </c>
      <c r="H31" s="5">
        <v>66</v>
      </c>
      <c r="I31" s="5">
        <v>66</v>
      </c>
      <c r="J31" s="5">
        <v>66</v>
      </c>
      <c r="N31" s="5" t="s">
        <v>461</v>
      </c>
    </row>
    <row r="32" spans="1:14">
      <c r="A32" s="5" t="s">
        <v>484</v>
      </c>
      <c r="B32" s="5" t="s">
        <v>439</v>
      </c>
      <c r="C32" s="5">
        <v>62.7</v>
      </c>
      <c r="D32" s="5">
        <v>62.7</v>
      </c>
      <c r="E32" s="5">
        <v>62.7</v>
      </c>
      <c r="F32" s="5">
        <v>62.7</v>
      </c>
      <c r="G32" s="5">
        <v>62.7</v>
      </c>
      <c r="H32" s="5">
        <v>62.7</v>
      </c>
      <c r="I32" s="5">
        <v>62.7</v>
      </c>
      <c r="J32" s="5">
        <v>62.7</v>
      </c>
      <c r="N32" s="5" t="s">
        <v>461</v>
      </c>
    </row>
    <row r="33" spans="1:14">
      <c r="A33" s="5" t="s">
        <v>484</v>
      </c>
      <c r="B33" s="5" t="s">
        <v>443</v>
      </c>
      <c r="C33" s="5">
        <v>42.900000000000006</v>
      </c>
      <c r="D33" s="5">
        <v>42.900000000000006</v>
      </c>
      <c r="E33" s="5">
        <v>28.050000000000004</v>
      </c>
      <c r="F33" s="5">
        <v>28.050000000000004</v>
      </c>
      <c r="G33" s="5">
        <v>28.050000000000004</v>
      </c>
      <c r="H33" s="5">
        <v>28.050000000000004</v>
      </c>
      <c r="I33" s="5">
        <v>28.050000000000004</v>
      </c>
      <c r="J33" s="5">
        <v>28.050000000000004</v>
      </c>
      <c r="N33" s="5" t="s">
        <v>461</v>
      </c>
    </row>
    <row r="34" spans="1:14">
      <c r="A34" s="5" t="s">
        <v>484</v>
      </c>
      <c r="B34" s="5" t="s">
        <v>441</v>
      </c>
      <c r="C34" s="5">
        <v>42.900000000000006</v>
      </c>
      <c r="D34" s="5">
        <v>42.900000000000006</v>
      </c>
      <c r="E34" s="5">
        <v>28.050000000000004</v>
      </c>
      <c r="F34" s="5">
        <v>28.050000000000004</v>
      </c>
      <c r="G34" s="5">
        <v>28.050000000000004</v>
      </c>
      <c r="H34" s="5">
        <v>28.050000000000004</v>
      </c>
      <c r="I34" s="5">
        <v>28.050000000000004</v>
      </c>
      <c r="J34" s="5">
        <v>28.050000000000004</v>
      </c>
      <c r="N34" s="5" t="s">
        <v>461</v>
      </c>
    </row>
    <row r="35" spans="1:14">
      <c r="A35" s="5" t="s">
        <v>484</v>
      </c>
      <c r="B35" s="5" t="s">
        <v>445</v>
      </c>
      <c r="C35" s="5">
        <v>22</v>
      </c>
      <c r="D35" s="5">
        <v>21.14285714</v>
      </c>
      <c r="E35" s="5">
        <v>20.285714290000001</v>
      </c>
      <c r="F35" s="5">
        <v>19.428571430000002</v>
      </c>
      <c r="G35" s="5">
        <v>18.571428569999998</v>
      </c>
      <c r="H35" s="5">
        <v>17.714285709999999</v>
      </c>
      <c r="I35" s="5">
        <v>16.85714286</v>
      </c>
      <c r="J35" s="5">
        <v>16</v>
      </c>
      <c r="N35" s="5" t="s">
        <v>461</v>
      </c>
    </row>
    <row r="36" spans="1:14">
      <c r="A36" s="5" t="s">
        <v>484</v>
      </c>
      <c r="B36" s="5" t="s">
        <v>447</v>
      </c>
      <c r="C36" s="5">
        <v>1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>
        <v>1</v>
      </c>
      <c r="J36" s="5">
        <v>1</v>
      </c>
      <c r="N36" s="5" t="s">
        <v>463</v>
      </c>
    </row>
    <row r="37" spans="1:14">
      <c r="A37" s="5" t="s">
        <v>484</v>
      </c>
      <c r="B37" s="5" t="s">
        <v>448</v>
      </c>
      <c r="C37" s="5">
        <v>1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>
        <v>1</v>
      </c>
      <c r="J37" s="5">
        <v>1</v>
      </c>
      <c r="N37" s="5" t="s">
        <v>463</v>
      </c>
    </row>
    <row r="38" spans="1:14">
      <c r="A38" s="5" t="s">
        <v>484</v>
      </c>
      <c r="B38" s="5" t="s">
        <v>446</v>
      </c>
      <c r="C38" s="5">
        <v>32.550000000000004</v>
      </c>
      <c r="D38" s="5">
        <v>32.550000000000004</v>
      </c>
      <c r="E38" s="5">
        <v>32.550000000000004</v>
      </c>
      <c r="F38" s="5">
        <v>32.550000000000004</v>
      </c>
      <c r="G38" s="5">
        <v>32.550000000000004</v>
      </c>
      <c r="H38" s="5">
        <v>32.550000000000004</v>
      </c>
      <c r="I38" s="5">
        <v>32.550000000000004</v>
      </c>
      <c r="J38" s="5">
        <v>32.550000000000004</v>
      </c>
      <c r="N38" s="5" t="s">
        <v>468</v>
      </c>
    </row>
    <row r="39" spans="1:14">
      <c r="A39" s="5" t="s">
        <v>484</v>
      </c>
      <c r="B39" s="5" t="s">
        <v>460</v>
      </c>
      <c r="C39" s="5">
        <v>18</v>
      </c>
      <c r="D39" s="5">
        <v>16.8</v>
      </c>
      <c r="E39" s="5">
        <v>13.2</v>
      </c>
      <c r="F39" s="5">
        <v>12</v>
      </c>
      <c r="G39" s="5">
        <v>10.799999999999999</v>
      </c>
      <c r="H39" s="5">
        <v>10.799999999999999</v>
      </c>
      <c r="I39" s="5">
        <v>9.6</v>
      </c>
      <c r="J39" s="5">
        <v>8.8800000000000008</v>
      </c>
    </row>
    <row r="131" spans="1:10">
      <c r="A131"/>
      <c r="B131"/>
      <c r="C131"/>
      <c r="D131"/>
      <c r="E131"/>
      <c r="F131"/>
      <c r="G131"/>
      <c r="H131"/>
      <c r="I131"/>
      <c r="J131"/>
    </row>
    <row r="132" spans="1:10">
      <c r="A132"/>
      <c r="B132" s="2"/>
      <c r="C132"/>
      <c r="D132"/>
      <c r="E132"/>
      <c r="F132"/>
      <c r="G132"/>
      <c r="H132"/>
      <c r="I132"/>
      <c r="J132"/>
    </row>
    <row r="133" spans="1:10">
      <c r="A133"/>
      <c r="B133" s="2"/>
      <c r="C133"/>
      <c r="D133"/>
      <c r="E133"/>
      <c r="F133"/>
      <c r="G133"/>
      <c r="H133"/>
      <c r="I133"/>
      <c r="J133"/>
    </row>
    <row r="134" spans="1:10">
      <c r="A134"/>
      <c r="B134" s="2"/>
    </row>
    <row r="135" spans="1:10">
      <c r="A135"/>
      <c r="B135" s="2"/>
    </row>
    <row r="136" spans="1:10">
      <c r="A136"/>
      <c r="B136" s="2"/>
    </row>
    <row r="137" spans="1:10">
      <c r="A137"/>
      <c r="B137"/>
      <c r="C137"/>
      <c r="D137"/>
      <c r="E137"/>
      <c r="F137"/>
      <c r="G137"/>
      <c r="H137"/>
      <c r="I137"/>
      <c r="J137"/>
    </row>
    <row r="138" spans="1:10">
      <c r="B138" s="2"/>
    </row>
    <row r="139" spans="1:10">
      <c r="B139" s="2"/>
    </row>
  </sheetData>
  <dataValidations count="1">
    <dataValidation type="list" allowBlank="1" showInputMessage="1" showErrorMessage="1" sqref="B135" xr:uid="{E63582CD-CFB7-45F6-BE0E-ADEC76935844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Tabelle15">
    <tabColor theme="5" tint="0.79998168889431442"/>
  </sheetPr>
  <dimension ref="A1:AG1118"/>
  <sheetViews>
    <sheetView zoomScale="110" zoomScaleNormal="110" zoomScalePageLayoutView="90" workbookViewId="0">
      <selection activeCell="C25" sqref="C25"/>
    </sheetView>
  </sheetViews>
  <sheetFormatPr defaultColWidth="11.42578125" defaultRowHeight="15"/>
  <cols>
    <col min="1" max="1" width="19" customWidth="1"/>
    <col min="2" max="2" width="28.42578125" customWidth="1"/>
    <col min="3" max="3" width="9.5703125" bestFit="1" customWidth="1"/>
    <col min="11" max="11" width="2" bestFit="1" customWidth="1"/>
    <col min="12" max="12" width="13" bestFit="1" customWidth="1"/>
    <col min="13" max="13" width="17.42578125" bestFit="1" customWidth="1"/>
  </cols>
  <sheetData>
    <row r="1" spans="1:10">
      <c r="A1" t="s">
        <v>402</v>
      </c>
    </row>
    <row r="2" spans="1:10">
      <c r="A2" t="s">
        <v>5</v>
      </c>
    </row>
    <row r="3" spans="1:10">
      <c r="A3" t="s">
        <v>365</v>
      </c>
    </row>
    <row r="5" spans="1:10">
      <c r="C5" s="47">
        <v>2018</v>
      </c>
      <c r="D5" s="47">
        <v>2021</v>
      </c>
      <c r="E5" s="47">
        <v>2025</v>
      </c>
      <c r="F5" s="47">
        <v>2030</v>
      </c>
      <c r="G5" s="47">
        <v>2035</v>
      </c>
      <c r="H5" s="47">
        <v>2040</v>
      </c>
      <c r="I5" s="47">
        <v>2045</v>
      </c>
      <c r="J5" s="47">
        <v>2050</v>
      </c>
    </row>
    <row r="6" spans="1:10" ht="14.45" customHeight="1">
      <c r="A6" s="49" t="s">
        <v>479</v>
      </c>
      <c r="B6" s="49" t="s">
        <v>93</v>
      </c>
      <c r="C6" s="49">
        <f>0.00386</f>
        <v>3.8600000000000001E-3</v>
      </c>
      <c r="D6" s="49">
        <v>3.8999999999999998E-3</v>
      </c>
      <c r="E6">
        <f>D6*0.8</f>
        <v>3.1199999999999999E-3</v>
      </c>
      <c r="F6">
        <f>D6*0.5</f>
        <v>1.9499999999999999E-3</v>
      </c>
      <c r="G6">
        <f>D6*0.1</f>
        <v>3.8999999999999999E-4</v>
      </c>
    </row>
    <row r="7" spans="1:10" ht="14.45" customHeight="1">
      <c r="A7" s="49" t="s">
        <v>479</v>
      </c>
      <c r="B7" s="49" t="s">
        <v>90</v>
      </c>
      <c r="C7" s="49">
        <f>0.00222</f>
        <v>2.2200000000000002E-3</v>
      </c>
      <c r="D7" s="49">
        <v>2.1299999999999999E-3</v>
      </c>
      <c r="E7">
        <f t="shared" ref="E7:E33" si="0">D7*0.8</f>
        <v>1.704E-3</v>
      </c>
      <c r="F7">
        <f t="shared" ref="F7:F33" si="1">D7*0.5</f>
        <v>1.065E-3</v>
      </c>
      <c r="G7">
        <f t="shared" ref="G7:G33" si="2">D7*0.1</f>
        <v>2.13E-4</v>
      </c>
    </row>
    <row r="8" spans="1:10" ht="14.45" customHeight="1">
      <c r="A8" s="49" t="s">
        <v>479</v>
      </c>
      <c r="B8" s="49" t="s">
        <v>56</v>
      </c>
      <c r="C8" s="49">
        <v>7.1000000000000004E-3</v>
      </c>
      <c r="D8" s="49">
        <v>7.1000000000000004E-3</v>
      </c>
      <c r="E8">
        <f t="shared" si="0"/>
        <v>5.680000000000001E-3</v>
      </c>
      <c r="F8">
        <f t="shared" si="1"/>
        <v>3.5500000000000002E-3</v>
      </c>
      <c r="G8">
        <f t="shared" si="2"/>
        <v>7.1000000000000013E-4</v>
      </c>
    </row>
    <row r="9" spans="1:10" ht="14.45" customHeight="1">
      <c r="A9" s="49" t="s">
        <v>480</v>
      </c>
      <c r="B9" s="49" t="s">
        <v>93</v>
      </c>
      <c r="C9" s="49">
        <v>3.5999999999999999E-3</v>
      </c>
      <c r="D9" s="49">
        <v>8.8999999999999999E-3</v>
      </c>
      <c r="E9">
        <f t="shared" si="0"/>
        <v>7.1200000000000005E-3</v>
      </c>
      <c r="F9">
        <f t="shared" si="1"/>
        <v>4.45E-3</v>
      </c>
      <c r="G9">
        <f t="shared" si="2"/>
        <v>8.9000000000000006E-4</v>
      </c>
    </row>
    <row r="10" spans="1:10" ht="14.45" customHeight="1">
      <c r="A10" s="49" t="s">
        <v>480</v>
      </c>
      <c r="B10" s="49" t="s">
        <v>90</v>
      </c>
      <c r="C10" s="49">
        <v>0</v>
      </c>
      <c r="D10" s="49">
        <v>2.5699999999999998E-3</v>
      </c>
      <c r="E10">
        <f t="shared" si="0"/>
        <v>2.0560000000000001E-3</v>
      </c>
      <c r="F10">
        <f t="shared" si="1"/>
        <v>1.2849999999999999E-3</v>
      </c>
      <c r="G10">
        <f t="shared" si="2"/>
        <v>2.5700000000000001E-4</v>
      </c>
    </row>
    <row r="11" spans="1:10" ht="14.45" customHeight="1">
      <c r="A11" s="49" t="s">
        <v>481</v>
      </c>
      <c r="B11" s="49" t="s">
        <v>93</v>
      </c>
      <c r="C11" s="49">
        <v>1.9300000000000001E-3</v>
      </c>
      <c r="D11" s="49">
        <v>0</v>
      </c>
      <c r="E11">
        <f t="shared" si="0"/>
        <v>0</v>
      </c>
      <c r="F11">
        <f t="shared" si="1"/>
        <v>0</v>
      </c>
      <c r="G11">
        <f t="shared" si="2"/>
        <v>0</v>
      </c>
    </row>
    <row r="12" spans="1:10" ht="14.45" customHeight="1">
      <c r="A12" s="49" t="s">
        <v>481</v>
      </c>
      <c r="B12" s="49" t="s">
        <v>90</v>
      </c>
      <c r="C12" s="49">
        <v>0</v>
      </c>
      <c r="D12" s="49">
        <v>2.8600000000000001E-3</v>
      </c>
      <c r="E12">
        <f t="shared" si="0"/>
        <v>2.2880000000000001E-3</v>
      </c>
      <c r="F12">
        <f t="shared" si="1"/>
        <v>1.4300000000000001E-3</v>
      </c>
      <c r="G12">
        <f t="shared" si="2"/>
        <v>2.8600000000000001E-4</v>
      </c>
    </row>
    <row r="13" spans="1:10" ht="14.45" customHeight="1">
      <c r="A13" s="49" t="s">
        <v>481</v>
      </c>
      <c r="B13" s="49" t="s">
        <v>56</v>
      </c>
      <c r="C13" s="49">
        <v>1.5E-3</v>
      </c>
      <c r="D13" s="49">
        <v>1.5E-3</v>
      </c>
      <c r="E13">
        <f t="shared" si="0"/>
        <v>1.2000000000000001E-3</v>
      </c>
      <c r="F13">
        <f t="shared" si="1"/>
        <v>7.5000000000000002E-4</v>
      </c>
      <c r="G13">
        <f t="shared" si="2"/>
        <v>1.5000000000000001E-4</v>
      </c>
    </row>
    <row r="14" spans="1:10" ht="14.45" customHeight="1">
      <c r="A14" s="49" t="s">
        <v>487</v>
      </c>
      <c r="B14" s="49" t="s">
        <v>93</v>
      </c>
      <c r="C14" s="49">
        <v>0</v>
      </c>
      <c r="D14" s="49">
        <v>1.6E-2</v>
      </c>
      <c r="E14">
        <f t="shared" si="0"/>
        <v>1.2800000000000001E-2</v>
      </c>
      <c r="F14">
        <f t="shared" si="1"/>
        <v>8.0000000000000002E-3</v>
      </c>
      <c r="G14">
        <f t="shared" si="2"/>
        <v>1.6000000000000001E-3</v>
      </c>
    </row>
    <row r="15" spans="1:10" ht="14.45" customHeight="1">
      <c r="A15" s="49" t="s">
        <v>487</v>
      </c>
      <c r="B15" s="49" t="s">
        <v>90</v>
      </c>
      <c r="C15" s="53">
        <v>6.0099999999999997E-3</v>
      </c>
      <c r="D15" s="49">
        <v>7.8399999999999997E-3</v>
      </c>
      <c r="E15">
        <f t="shared" si="0"/>
        <v>6.2719999999999998E-3</v>
      </c>
      <c r="F15">
        <f t="shared" si="1"/>
        <v>3.9199999999999999E-3</v>
      </c>
      <c r="G15">
        <f t="shared" si="2"/>
        <v>7.8399999999999997E-4</v>
      </c>
      <c r="H15" s="5"/>
      <c r="I15" s="5"/>
      <c r="J15" s="5"/>
    </row>
    <row r="16" spans="1:10" ht="14.45" customHeight="1">
      <c r="A16" s="49" t="s">
        <v>487</v>
      </c>
      <c r="B16" s="49" t="s">
        <v>99</v>
      </c>
      <c r="C16" s="49">
        <v>2.3999999999999998E-3</v>
      </c>
      <c r="D16" s="49">
        <v>2.3999999999999998E-3</v>
      </c>
      <c r="E16">
        <f t="shared" si="0"/>
        <v>1.9199999999999998E-3</v>
      </c>
      <c r="F16">
        <f t="shared" si="1"/>
        <v>1.1999999999999999E-3</v>
      </c>
      <c r="G16">
        <f t="shared" si="2"/>
        <v>2.3999999999999998E-4</v>
      </c>
      <c r="H16" s="5"/>
      <c r="I16" s="5"/>
      <c r="J16" s="5"/>
    </row>
    <row r="17" spans="1:10" ht="14.45" customHeight="1">
      <c r="A17" s="49" t="s">
        <v>487</v>
      </c>
      <c r="B17" s="49" t="s">
        <v>158</v>
      </c>
      <c r="C17" s="49">
        <v>2.1199999999999999E-3</v>
      </c>
      <c r="D17" s="49">
        <v>1.4E-3</v>
      </c>
      <c r="E17">
        <f t="shared" si="0"/>
        <v>1.1200000000000001E-3</v>
      </c>
      <c r="F17">
        <f t="shared" si="1"/>
        <v>6.9999999999999999E-4</v>
      </c>
      <c r="G17">
        <f t="shared" si="2"/>
        <v>1.4000000000000001E-4</v>
      </c>
      <c r="H17" s="5"/>
      <c r="I17" s="5"/>
    </row>
    <row r="18" spans="1:10" ht="14.45" customHeight="1">
      <c r="A18" s="49" t="s">
        <v>486</v>
      </c>
      <c r="B18" s="49" t="s">
        <v>93</v>
      </c>
      <c r="C18" s="49">
        <v>5.7800000000000004E-3</v>
      </c>
      <c r="D18" s="49">
        <v>0</v>
      </c>
      <c r="E18">
        <f t="shared" si="0"/>
        <v>0</v>
      </c>
      <c r="F18">
        <f t="shared" si="1"/>
        <v>0</v>
      </c>
      <c r="G18">
        <f t="shared" si="2"/>
        <v>0</v>
      </c>
      <c r="H18" s="5"/>
      <c r="I18" s="5"/>
      <c r="J18" s="5"/>
    </row>
    <row r="19" spans="1:10" ht="14.45" customHeight="1">
      <c r="A19" s="49" t="s">
        <v>486</v>
      </c>
      <c r="B19" s="49" t="s">
        <v>90</v>
      </c>
      <c r="C19" s="49">
        <v>6.4000000000000003E-3</v>
      </c>
      <c r="D19" s="49">
        <v>6.3699999999999998E-3</v>
      </c>
      <c r="E19">
        <f t="shared" si="0"/>
        <v>5.0959999999999998E-3</v>
      </c>
      <c r="F19">
        <f t="shared" si="1"/>
        <v>3.1849999999999999E-3</v>
      </c>
      <c r="G19">
        <f t="shared" si="2"/>
        <v>6.3699999999999998E-4</v>
      </c>
      <c r="H19" s="5"/>
      <c r="I19" s="5"/>
      <c r="J19" s="5"/>
    </row>
    <row r="20" spans="1:10" ht="14.45" customHeight="1">
      <c r="A20" s="49" t="s">
        <v>486</v>
      </c>
      <c r="B20" s="49" t="s">
        <v>99</v>
      </c>
      <c r="C20" s="49">
        <v>7.9699999999999997E-3</v>
      </c>
      <c r="D20" s="49">
        <v>7.9699999999999997E-3</v>
      </c>
      <c r="E20">
        <f t="shared" si="0"/>
        <v>6.3759999999999997E-3</v>
      </c>
      <c r="F20">
        <f t="shared" si="1"/>
        <v>3.9849999999999998E-3</v>
      </c>
      <c r="G20">
        <f t="shared" si="2"/>
        <v>7.9699999999999997E-4</v>
      </c>
    </row>
    <row r="21" spans="1:10" ht="14.45" customHeight="1">
      <c r="A21" s="49" t="s">
        <v>486</v>
      </c>
      <c r="B21" s="49" t="s">
        <v>101</v>
      </c>
      <c r="C21" s="49">
        <v>1.4500000000000001E-2</v>
      </c>
      <c r="D21" s="49">
        <v>1.4500000000000001E-2</v>
      </c>
      <c r="E21">
        <f t="shared" si="0"/>
        <v>1.1600000000000001E-2</v>
      </c>
      <c r="F21">
        <f t="shared" si="1"/>
        <v>7.2500000000000004E-3</v>
      </c>
      <c r="G21">
        <f t="shared" si="2"/>
        <v>1.4500000000000001E-3</v>
      </c>
    </row>
    <row r="22" spans="1:10" ht="14.45" customHeight="1">
      <c r="A22" s="49" t="s">
        <v>486</v>
      </c>
      <c r="B22" s="49" t="s">
        <v>158</v>
      </c>
      <c r="C22" s="49">
        <v>7.7999999999999999E-4</v>
      </c>
      <c r="D22" s="49">
        <v>7.7999999999999999E-4</v>
      </c>
      <c r="E22">
        <f t="shared" si="0"/>
        <v>6.2399999999999999E-4</v>
      </c>
      <c r="F22">
        <f t="shared" si="1"/>
        <v>3.8999999999999999E-4</v>
      </c>
      <c r="G22">
        <f t="shared" si="2"/>
        <v>7.7999999999999999E-5</v>
      </c>
    </row>
    <row r="23" spans="1:10" ht="14.45" customHeight="1">
      <c r="A23" s="49" t="s">
        <v>483</v>
      </c>
      <c r="B23" s="49" t="s">
        <v>93</v>
      </c>
      <c r="C23" s="49">
        <v>0</v>
      </c>
      <c r="D23" s="49">
        <v>0</v>
      </c>
      <c r="E23">
        <f t="shared" si="0"/>
        <v>0</v>
      </c>
      <c r="F23">
        <f t="shared" si="1"/>
        <v>0</v>
      </c>
      <c r="G23">
        <f t="shared" si="2"/>
        <v>0</v>
      </c>
    </row>
    <row r="24" spans="1:10" ht="14.45" customHeight="1">
      <c r="A24" s="49" t="s">
        <v>483</v>
      </c>
      <c r="B24" s="49" t="s">
        <v>90</v>
      </c>
      <c r="C24" s="49">
        <v>2.1940000000000001E-2</v>
      </c>
      <c r="D24" s="49">
        <v>2.5649999999999999E-2</v>
      </c>
      <c r="E24">
        <f t="shared" si="0"/>
        <v>2.052E-2</v>
      </c>
      <c r="F24">
        <f t="shared" si="1"/>
        <v>1.2825E-2</v>
      </c>
      <c r="G24">
        <f t="shared" si="2"/>
        <v>2.565E-3</v>
      </c>
    </row>
    <row r="25" spans="1:10" ht="14.45" customHeight="1">
      <c r="A25" s="49" t="s">
        <v>483</v>
      </c>
      <c r="B25" s="49" t="s">
        <v>56</v>
      </c>
      <c r="C25" s="49">
        <v>0.3276</v>
      </c>
      <c r="D25" s="49">
        <v>0.29199999999999998</v>
      </c>
      <c r="E25">
        <f t="shared" si="0"/>
        <v>0.2336</v>
      </c>
      <c r="F25">
        <f t="shared" si="1"/>
        <v>0.14599999999999999</v>
      </c>
      <c r="G25">
        <f t="shared" si="2"/>
        <v>2.92E-2</v>
      </c>
    </row>
    <row r="26" spans="1:10" ht="14.45" customHeight="1">
      <c r="A26" s="49" t="s">
        <v>483</v>
      </c>
      <c r="B26" s="49" t="s">
        <v>158</v>
      </c>
      <c r="C26" s="49">
        <v>2.2599999999999999E-3</v>
      </c>
      <c r="D26" s="53">
        <v>2.3E-3</v>
      </c>
      <c r="E26">
        <f t="shared" si="0"/>
        <v>1.8400000000000001E-3</v>
      </c>
      <c r="F26">
        <f t="shared" si="1"/>
        <v>1.15E-3</v>
      </c>
      <c r="G26">
        <f t="shared" si="2"/>
        <v>2.3000000000000001E-4</v>
      </c>
      <c r="H26" s="5"/>
      <c r="I26" s="5"/>
      <c r="J26" s="5"/>
    </row>
    <row r="27" spans="1:10" ht="14.45" customHeight="1">
      <c r="A27" s="49" t="s">
        <v>484</v>
      </c>
      <c r="B27" s="49" t="s">
        <v>99</v>
      </c>
      <c r="C27" s="49">
        <v>2.0000000000000001E-4</v>
      </c>
      <c r="D27" s="49">
        <v>2.0000000000000001E-4</v>
      </c>
      <c r="E27">
        <f t="shared" si="0"/>
        <v>1.6000000000000001E-4</v>
      </c>
      <c r="F27">
        <f t="shared" si="1"/>
        <v>1E-4</v>
      </c>
      <c r="G27">
        <f t="shared" si="2"/>
        <v>2.0000000000000002E-5</v>
      </c>
    </row>
    <row r="28" spans="1:10" ht="14.45" customHeight="1">
      <c r="A28" s="49" t="s">
        <v>484</v>
      </c>
      <c r="B28" s="49" t="s">
        <v>93</v>
      </c>
      <c r="C28" s="49">
        <v>6.77E-3</v>
      </c>
      <c r="D28" s="49">
        <v>1.34E-2</v>
      </c>
      <c r="E28">
        <f t="shared" si="0"/>
        <v>1.072E-2</v>
      </c>
      <c r="F28">
        <f t="shared" si="1"/>
        <v>6.7000000000000002E-3</v>
      </c>
      <c r="G28">
        <f t="shared" si="2"/>
        <v>1.34E-3</v>
      </c>
    </row>
    <row r="29" spans="1:10" ht="14.45" customHeight="1">
      <c r="A29" s="49" t="s">
        <v>484</v>
      </c>
      <c r="B29" s="49" t="s">
        <v>90</v>
      </c>
      <c r="C29" s="49">
        <v>2.445E-2</v>
      </c>
      <c r="D29" s="49">
        <v>2.4639999999999999E-2</v>
      </c>
      <c r="E29">
        <f t="shared" si="0"/>
        <v>1.9712E-2</v>
      </c>
      <c r="F29">
        <f t="shared" si="1"/>
        <v>1.2319999999999999E-2</v>
      </c>
      <c r="G29">
        <f t="shared" si="2"/>
        <v>2.464E-3</v>
      </c>
    </row>
    <row r="30" spans="1:10" ht="14.45" customHeight="1">
      <c r="A30" s="49" t="s">
        <v>484</v>
      </c>
      <c r="B30" s="49" t="s">
        <v>103</v>
      </c>
      <c r="C30" s="42">
        <v>5.1700000000000003E-2</v>
      </c>
      <c r="D30" s="42">
        <v>5.1700000000000003E-2</v>
      </c>
      <c r="E30">
        <f t="shared" si="0"/>
        <v>4.1360000000000008E-2</v>
      </c>
      <c r="F30">
        <f t="shared" si="1"/>
        <v>2.5850000000000001E-2</v>
      </c>
      <c r="G30">
        <f t="shared" si="2"/>
        <v>5.170000000000001E-3</v>
      </c>
    </row>
    <row r="31" spans="1:10" ht="14.45" customHeight="1">
      <c r="A31" s="49" t="s">
        <v>484</v>
      </c>
      <c r="B31" s="49" t="s">
        <v>158</v>
      </c>
      <c r="C31" s="42">
        <v>4.1300000000000003E-2</v>
      </c>
      <c r="D31" s="42">
        <v>4.1300000000000003E-2</v>
      </c>
      <c r="E31">
        <f t="shared" si="0"/>
        <v>3.3040000000000007E-2</v>
      </c>
      <c r="F31">
        <f t="shared" si="1"/>
        <v>2.0650000000000002E-2</v>
      </c>
      <c r="G31">
        <f t="shared" si="2"/>
        <v>4.1300000000000009E-3</v>
      </c>
    </row>
    <row r="32" spans="1:10" ht="14.45" customHeight="1">
      <c r="A32" s="49" t="s">
        <v>485</v>
      </c>
      <c r="B32" s="49" t="s">
        <v>93</v>
      </c>
      <c r="C32" s="49">
        <v>4.3400000000000001E-3</v>
      </c>
      <c r="D32" s="49">
        <v>9.9000000000000008E-3</v>
      </c>
      <c r="E32">
        <f t="shared" si="0"/>
        <v>7.9200000000000017E-3</v>
      </c>
      <c r="F32">
        <f t="shared" si="1"/>
        <v>4.9500000000000004E-3</v>
      </c>
      <c r="G32">
        <f t="shared" si="2"/>
        <v>9.9000000000000021E-4</v>
      </c>
    </row>
    <row r="33" spans="1:12" ht="14.45" customHeight="1">
      <c r="A33" s="49" t="s">
        <v>485</v>
      </c>
      <c r="B33" s="49" t="s">
        <v>90</v>
      </c>
      <c r="C33" s="49">
        <v>9.3900000000000008E-3</v>
      </c>
      <c r="D33" s="49">
        <v>1.511E-2</v>
      </c>
      <c r="E33">
        <f t="shared" si="0"/>
        <v>1.2088000000000002E-2</v>
      </c>
      <c r="F33">
        <f t="shared" si="1"/>
        <v>7.5550000000000001E-3</v>
      </c>
      <c r="G33">
        <f t="shared" si="2"/>
        <v>1.5110000000000002E-3</v>
      </c>
    </row>
    <row r="34" spans="1:12" ht="14.45" customHeight="1"/>
    <row r="35" spans="1:12" ht="14.45" customHeight="1"/>
    <row r="36" spans="1:12" ht="14.45" customHeight="1">
      <c r="A36" s="29"/>
    </row>
    <row r="37" spans="1:12" ht="14.45" customHeight="1">
      <c r="A37" s="9"/>
    </row>
    <row r="38" spans="1:12" ht="14.45" customHeight="1">
      <c r="A38" s="9"/>
    </row>
    <row r="39" spans="1:12" ht="14.45" customHeight="1">
      <c r="A39" s="9"/>
      <c r="L39" s="16"/>
    </row>
    <row r="40" spans="1:12" ht="14.45" customHeight="1">
      <c r="A40" s="9"/>
    </row>
    <row r="41" spans="1:12" ht="14.45" customHeight="1"/>
    <row r="42" spans="1:12" ht="14.45" customHeight="1"/>
    <row r="43" spans="1:12" ht="14.45" customHeight="1"/>
    <row r="44" spans="1:12" ht="14.45" customHeight="1"/>
    <row r="45" spans="1:12" ht="14.45" customHeight="1">
      <c r="A45" s="9"/>
    </row>
    <row r="46" spans="1:12" ht="14.45" customHeight="1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2" ht="14.45" customHeight="1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2" ht="14.45" customHeight="1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2" ht="14.45" customHeight="1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2" ht="14.4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L50" s="16"/>
    </row>
    <row r="51" spans="1:12" ht="14.45" customHeight="1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2" ht="14.45" customHeight="1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2" ht="14.45" customHeight="1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2" ht="14.45" customHeight="1">
      <c r="A54" s="5"/>
      <c r="B54" s="5"/>
      <c r="C54" s="5"/>
      <c r="D54" s="5"/>
      <c r="E54" s="5"/>
      <c r="F54" s="5"/>
      <c r="G54" s="5"/>
      <c r="H54" s="5"/>
      <c r="I54" s="5"/>
    </row>
    <row r="55" spans="1:12" ht="14.45" customHeight="1">
      <c r="A55" s="38"/>
      <c r="B55" s="5"/>
      <c r="C55" s="5"/>
      <c r="D55" s="5"/>
      <c r="E55" s="5"/>
      <c r="F55" s="5"/>
      <c r="G55" s="5"/>
      <c r="H55" s="5"/>
      <c r="I55" s="5"/>
    </row>
    <row r="56" spans="1:12" ht="14.45" customHeight="1">
      <c r="A56" s="5"/>
      <c r="B56" s="5"/>
      <c r="C56" s="5"/>
      <c r="D56" s="5"/>
      <c r="E56" s="5"/>
      <c r="F56" s="5"/>
      <c r="G56" s="5"/>
      <c r="H56" s="5"/>
      <c r="I56" s="5"/>
    </row>
    <row r="57" spans="1:12" ht="14.45" customHeight="1">
      <c r="A57" s="5"/>
      <c r="B57" s="5"/>
      <c r="C57" s="5"/>
      <c r="D57" s="5"/>
      <c r="E57" s="5"/>
      <c r="F57" s="5"/>
      <c r="G57" s="5"/>
      <c r="H57" s="5"/>
      <c r="I57" s="5"/>
    </row>
    <row r="58" spans="1:12" ht="14.45" customHeight="1">
      <c r="A58" s="5"/>
      <c r="B58" s="5"/>
      <c r="C58" s="5"/>
      <c r="D58" s="5"/>
      <c r="E58" s="5"/>
      <c r="F58" s="5"/>
      <c r="G58" s="5"/>
      <c r="H58" s="5"/>
      <c r="I58" s="5"/>
    </row>
    <row r="59" spans="1:12" ht="14.45" customHeight="1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2" ht="14.45" customHeight="1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2" ht="14.45" customHeight="1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2" ht="14.45" customHeight="1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2" ht="14.45" customHeight="1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2" ht="14.45" customHeight="1">
      <c r="A64" s="9"/>
    </row>
    <row r="65" spans="1:12" ht="14.45" customHeight="1">
      <c r="A65" s="9"/>
    </row>
    <row r="66" spans="1:12" ht="14.45" customHeight="1">
      <c r="A66" s="9"/>
    </row>
    <row r="67" spans="1:12" ht="14.45" customHeight="1">
      <c r="A67" s="29"/>
    </row>
    <row r="68" spans="1:12" ht="14.45" customHeight="1"/>
    <row r="69" spans="1:12" ht="14.45" customHeight="1"/>
    <row r="70" spans="1:12" ht="14.45" customHeight="1">
      <c r="A70" s="9"/>
    </row>
    <row r="71" spans="1:12" ht="14.45" customHeight="1">
      <c r="A71" s="9"/>
    </row>
    <row r="72" spans="1:12" ht="14.45" customHeight="1">
      <c r="A72" s="38"/>
      <c r="B72" s="5"/>
      <c r="C72" s="5"/>
      <c r="D72" s="5"/>
      <c r="E72" s="5"/>
      <c r="F72" s="5"/>
      <c r="G72" s="5"/>
      <c r="H72" s="5"/>
      <c r="I72" s="5"/>
      <c r="J72" s="5"/>
    </row>
    <row r="73" spans="1:12" ht="14.45" customHeight="1">
      <c r="A73" s="9"/>
    </row>
    <row r="74" spans="1:12" ht="14.45" customHeight="1">
      <c r="A74" s="9"/>
      <c r="L74" s="16"/>
    </row>
    <row r="75" spans="1:12" ht="14.45" customHeight="1">
      <c r="A75" s="9"/>
    </row>
    <row r="76" spans="1:12" ht="14.45" customHeight="1">
      <c r="A76" s="9"/>
    </row>
    <row r="77" spans="1:12" ht="14.45" customHeight="1">
      <c r="A77" s="17"/>
      <c r="B77" s="2"/>
    </row>
    <row r="78" spans="1:12" ht="14.45" customHeight="1"/>
    <row r="79" spans="1:12" ht="14.45" customHeight="1"/>
    <row r="80" spans="1:12" ht="14.45" customHeight="1"/>
    <row r="81" spans="1:10" ht="14.45" customHeight="1"/>
    <row r="82" spans="1:10" ht="14.45" customHeight="1">
      <c r="A82" s="9"/>
    </row>
    <row r="83" spans="1:10" ht="14.45" customHeight="1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4.45" customHeight="1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4.45" customHeight="1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4.45" customHeight="1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4.45" customHeight="1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4.45" customHeight="1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4.45" customHeight="1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4.45" customHeight="1">
      <c r="A90" s="38"/>
      <c r="B90" s="5"/>
      <c r="C90" s="5"/>
      <c r="D90" s="5"/>
      <c r="E90" s="5"/>
      <c r="F90" s="5"/>
      <c r="G90" s="5"/>
      <c r="H90" s="5"/>
      <c r="I90" s="5"/>
      <c r="J90" s="5"/>
    </row>
    <row r="91" spans="1:10" ht="14.45" customHeight="1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4.45" customHeight="1">
      <c r="A92" s="5"/>
      <c r="B92" s="5"/>
      <c r="C92" s="5"/>
      <c r="D92" s="5"/>
      <c r="E92" s="5"/>
      <c r="F92" s="5"/>
      <c r="G92" s="5"/>
      <c r="H92" s="5"/>
      <c r="I92" s="5"/>
    </row>
    <row r="93" spans="1:10" ht="14.45" customHeight="1">
      <c r="A93" s="5"/>
      <c r="B93" s="5"/>
      <c r="C93" s="5"/>
      <c r="D93" s="5"/>
      <c r="E93" s="5"/>
      <c r="F93" s="5"/>
      <c r="G93" s="5"/>
      <c r="H93" s="5"/>
      <c r="I93" s="5"/>
    </row>
    <row r="94" spans="1:10" ht="14.45" customHeight="1">
      <c r="A94" s="5"/>
      <c r="B94" s="5"/>
      <c r="C94" s="5"/>
      <c r="D94" s="5"/>
      <c r="E94" s="5"/>
      <c r="F94" s="5"/>
      <c r="G94" s="5"/>
      <c r="H94" s="5"/>
      <c r="I94" s="5"/>
    </row>
    <row r="95" spans="1:10" ht="14.45" customHeight="1">
      <c r="A95" s="5"/>
      <c r="B95" s="5"/>
      <c r="C95" s="5"/>
      <c r="D95" s="5"/>
      <c r="E95" s="5"/>
      <c r="F95" s="5"/>
      <c r="G95" s="5"/>
      <c r="H95" s="5"/>
      <c r="I95" s="5"/>
    </row>
    <row r="96" spans="1:10" ht="14.45" customHeight="1">
      <c r="A96" s="5"/>
      <c r="B96" s="5"/>
      <c r="C96" s="5"/>
      <c r="D96" s="5"/>
      <c r="E96" s="5"/>
      <c r="F96" s="5"/>
      <c r="G96" s="5"/>
      <c r="H96" s="5"/>
      <c r="I96" s="5"/>
    </row>
    <row r="97" spans="1:12" ht="14.45" customHeight="1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2" ht="14.45" customHeight="1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2" ht="14.4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L99" s="16"/>
    </row>
    <row r="100" spans="1:12" ht="14.4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2" ht="14.45" customHeight="1">
      <c r="A101" s="38"/>
      <c r="B101" s="5"/>
      <c r="C101" s="5"/>
      <c r="D101" s="5"/>
      <c r="E101" s="5"/>
      <c r="F101" s="5"/>
      <c r="G101" s="5"/>
      <c r="H101" s="5"/>
      <c r="I101" s="5"/>
      <c r="J101" s="5"/>
    </row>
    <row r="102" spans="1:12" ht="14.45" customHeight="1">
      <c r="A102" s="9"/>
    </row>
    <row r="103" spans="1:12" ht="14.45" customHeight="1">
      <c r="A103" s="9"/>
    </row>
    <row r="104" spans="1:12" ht="14.45" customHeight="1">
      <c r="A104" s="9"/>
    </row>
    <row r="105" spans="1:12" ht="14.45" customHeight="1">
      <c r="A105" s="9"/>
    </row>
    <row r="106" spans="1:12" ht="14.45" customHeight="1"/>
    <row r="107" spans="1:12" ht="14.45" customHeight="1"/>
    <row r="108" spans="1:12" ht="14.45" customHeight="1">
      <c r="A108" s="9"/>
    </row>
    <row r="109" spans="1:12" ht="14.45" customHeight="1">
      <c r="A109" s="9"/>
    </row>
    <row r="110" spans="1:12" ht="14.4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2" ht="14.45" customHeight="1">
      <c r="A111" s="9"/>
    </row>
    <row r="112" spans="1:12" ht="14.45" customHeight="1">
      <c r="A112" s="9"/>
    </row>
    <row r="113" spans="1:10" ht="14.45" customHeight="1">
      <c r="A113" s="9"/>
    </row>
    <row r="114" spans="1:10" ht="14.45" customHeight="1">
      <c r="A114" s="9"/>
    </row>
    <row r="115" spans="1:10" ht="14.45" customHeight="1">
      <c r="A115" s="15"/>
      <c r="B115" s="15"/>
      <c r="C115" s="15"/>
    </row>
    <row r="116" spans="1:10" ht="14.45" customHeight="1">
      <c r="A116" s="9"/>
    </row>
    <row r="117" spans="1:10" ht="14.45" customHeight="1">
      <c r="A117" s="38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4.4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4.4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4.4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4.4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4.4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4.4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4.4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4.4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spans="1:10" ht="14.4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spans="1:10" ht="14.4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spans="1:10" ht="14.45" customHeight="1">
      <c r="A128" s="38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4.4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4.4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4.4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4.4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4.45" customHeight="1">
      <c r="A133" s="9"/>
    </row>
    <row r="134" spans="1:10" ht="14.45" customHeight="1">
      <c r="A134" s="9"/>
    </row>
    <row r="135" spans="1:10" ht="14.45" customHeight="1">
      <c r="A135" s="9"/>
    </row>
    <row r="136" spans="1:10" ht="14.45" customHeight="1">
      <c r="A136" s="9"/>
    </row>
    <row r="137" spans="1:10" ht="14.45" customHeight="1">
      <c r="A137" s="32"/>
    </row>
    <row r="138" spans="1:10" ht="14.45" customHeight="1">
      <c r="A138" s="9"/>
    </row>
    <row r="139" spans="1:10" ht="14.45" customHeight="1">
      <c r="A139" s="9"/>
    </row>
    <row r="140" spans="1:10" ht="14.4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4.45" customHeight="1">
      <c r="A141" s="9"/>
    </row>
    <row r="142" spans="1:10" ht="14.45" customHeight="1">
      <c r="A142" s="9"/>
    </row>
    <row r="143" spans="1:10" ht="14.45" customHeight="1">
      <c r="A143" s="9"/>
    </row>
    <row r="144" spans="1:10" ht="14.45" customHeight="1">
      <c r="A144" s="9"/>
    </row>
    <row r="145" spans="1:10" ht="14.45" customHeight="1">
      <c r="A145" s="9"/>
    </row>
    <row r="146" spans="1:10" ht="14.45" customHeight="1"/>
    <row r="147" spans="1:10" ht="14.45" customHeight="1"/>
    <row r="148" spans="1:10" ht="14.45" customHeight="1"/>
    <row r="149" spans="1:10" ht="14.45" customHeight="1">
      <c r="A149" s="32"/>
    </row>
    <row r="150" spans="1:10" ht="14.45" customHeight="1"/>
    <row r="151" spans="1:10" ht="14.45" customHeight="1">
      <c r="A151" s="9"/>
    </row>
    <row r="152" spans="1:10" ht="14.4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4.4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4.4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4.4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4.45" customHeight="1">
      <c r="A156" s="38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4.4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4.4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4.4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4.4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4.4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spans="1:10" ht="14.4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spans="1:10" ht="14.4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spans="1:10" ht="14.4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spans="1:10" ht="14.4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spans="1:10" ht="14.4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4.45" customHeight="1">
      <c r="A167" s="38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4.4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4.4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4.4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4.45" customHeight="1">
      <c r="A171" s="9"/>
    </row>
    <row r="172" spans="1:10" ht="14.45" customHeight="1">
      <c r="A172" s="9"/>
    </row>
    <row r="173" spans="1:10" ht="14.45" customHeight="1">
      <c r="A173" s="9"/>
    </row>
    <row r="174" spans="1:10" ht="14.45" customHeight="1">
      <c r="A174" s="9"/>
    </row>
    <row r="175" spans="1:10" ht="14.45" customHeight="1"/>
    <row r="176" spans="1:10" ht="14.45" customHeight="1"/>
    <row r="177" spans="1:10" ht="14.45" customHeight="1"/>
    <row r="178" spans="1:10" ht="14.45" customHeight="1"/>
    <row r="179" spans="1:10" ht="14.45" customHeight="1">
      <c r="A179" s="9"/>
    </row>
    <row r="180" spans="1:10" ht="14.45" customHeight="1">
      <c r="A180" s="9"/>
    </row>
    <row r="181" spans="1:10" ht="14.4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4.45" customHeight="1">
      <c r="A182" s="29"/>
    </row>
    <row r="183" spans="1:10" ht="14.45" customHeight="1">
      <c r="A183" s="9"/>
    </row>
    <row r="184" spans="1:10" ht="14.45" customHeight="1">
      <c r="A184" s="9"/>
    </row>
    <row r="185" spans="1:10" ht="14.45" customHeight="1">
      <c r="A185" s="9"/>
    </row>
    <row r="186" spans="1:10" ht="14.45" customHeight="1"/>
    <row r="187" spans="1:10" ht="14.45" customHeight="1"/>
    <row r="188" spans="1:10" ht="14.45" customHeight="1"/>
    <row r="189" spans="1:10" ht="14.45" customHeight="1"/>
    <row r="190" spans="1:10" ht="14.45" customHeight="1"/>
    <row r="191" spans="1:10" ht="14.45" customHeight="1">
      <c r="A191" s="9"/>
    </row>
    <row r="192" spans="1:10" ht="14.4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4.4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4.4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4.4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4.4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4.4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4.4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4.4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4.45" customHeight="1">
      <c r="A200" s="38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4.4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spans="1:10" ht="14.4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spans="1:10" ht="14.4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spans="1:10" ht="14.4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spans="1:10" ht="14.4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spans="1:10" ht="14.4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spans="1:10" ht="14.4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spans="1:10" ht="14.4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4.4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4.4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4.4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4.45" customHeight="1">
      <c r="A212" s="38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4.45" customHeight="1">
      <c r="A213" s="9"/>
      <c r="C213" s="5"/>
      <c r="D213" s="5"/>
      <c r="E213" s="5"/>
      <c r="F213" s="5"/>
      <c r="G213" s="5"/>
      <c r="H213" s="5"/>
      <c r="I213" s="5"/>
      <c r="J213" s="5"/>
    </row>
    <row r="214" spans="1:10" ht="14.45" customHeight="1">
      <c r="A214" s="9"/>
    </row>
    <row r="215" spans="1:10" ht="14.45" customHeight="1">
      <c r="A215" s="9"/>
    </row>
    <row r="216" spans="1:10" ht="14.45" customHeight="1">
      <c r="A216" s="9"/>
    </row>
    <row r="217" spans="1:10" ht="14.45" customHeight="1"/>
    <row r="218" spans="1:10" ht="14.45" customHeight="1"/>
    <row r="219" spans="1:10" ht="14.45" customHeight="1"/>
    <row r="220" spans="1:10" ht="14.45" customHeight="1">
      <c r="A220" s="9"/>
    </row>
    <row r="221" spans="1:10" ht="14.45" customHeight="1">
      <c r="A221" s="29"/>
    </row>
    <row r="222" spans="1:10" ht="14.4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 spans="1:10" ht="14.45" customHeight="1">
      <c r="A223" s="9"/>
    </row>
    <row r="224" spans="1:10" ht="14.45" customHeight="1">
      <c r="A224" s="9"/>
    </row>
    <row r="225" spans="1:10" ht="14.45" customHeight="1">
      <c r="A225" s="9"/>
    </row>
    <row r="226" spans="1:10" ht="14.45" customHeight="1">
      <c r="A226" s="9"/>
    </row>
    <row r="227" spans="1:10" ht="14.45" customHeight="1">
      <c r="A227" s="9"/>
    </row>
    <row r="228" spans="1:10" ht="14.45" customHeight="1">
      <c r="A228" s="39"/>
      <c r="B228" s="2"/>
    </row>
    <row r="229" spans="1:10" ht="14.45" customHeight="1"/>
    <row r="230" spans="1:10" ht="14.45" customHeight="1"/>
    <row r="231" spans="1:10" ht="14.45" customHeight="1"/>
    <row r="232" spans="1:10" ht="14.45" customHeight="1"/>
    <row r="233" spans="1:10" ht="14.45" customHeight="1">
      <c r="A233" s="9"/>
    </row>
    <row r="234" spans="1:10" ht="14.4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 spans="1:10" ht="14.45" customHeight="1">
      <c r="A235" s="38"/>
      <c r="B235" s="5"/>
      <c r="C235" s="5"/>
      <c r="D235" s="5"/>
      <c r="E235" s="5"/>
      <c r="F235" s="5"/>
      <c r="G235" s="5"/>
      <c r="H235" s="5"/>
      <c r="I235" s="5"/>
      <c r="J235" s="5"/>
    </row>
    <row r="236" spans="1:10" ht="14.4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 spans="1:10" ht="14.4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 spans="1:10" ht="14.4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 spans="1:10" ht="14.4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 spans="1:10" ht="14.4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 spans="1:10" ht="14.4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 spans="1:10" ht="14.4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spans="1:10" ht="14.4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spans="1:10" ht="14.4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spans="1:10" ht="14.4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spans="1:10" ht="14.45" customHeight="1">
      <c r="A246" s="38"/>
      <c r="B246" s="5"/>
      <c r="C246" s="5"/>
      <c r="D246" s="5"/>
      <c r="E246" s="5"/>
      <c r="F246" s="5"/>
      <c r="G246" s="5"/>
      <c r="H246" s="5"/>
      <c r="I246" s="5"/>
      <c r="J246" s="5"/>
    </row>
    <row r="247" spans="1:10" ht="14.4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 spans="1:10" ht="14.4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 spans="1:10" ht="14.4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 spans="1:10" ht="14.4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 spans="1:10" ht="14.45" customHeight="1">
      <c r="A251" s="9"/>
    </row>
    <row r="252" spans="1:10" ht="14.45" customHeight="1">
      <c r="A252" s="9"/>
    </row>
    <row r="253" spans="1:10" ht="14.45" customHeight="1">
      <c r="A253" s="9"/>
    </row>
    <row r="254" spans="1:10" ht="14.45" customHeight="1">
      <c r="A254" s="9"/>
    </row>
    <row r="255" spans="1:10" ht="14.45" customHeight="1"/>
    <row r="256" spans="1:10" ht="14.45" customHeight="1">
      <c r="A256" s="29"/>
    </row>
    <row r="257" spans="1:10" ht="14.45" customHeight="1">
      <c r="A257" s="9"/>
    </row>
    <row r="258" spans="1:10" ht="14.4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 spans="1:10" ht="14.45" customHeight="1">
      <c r="A259" s="9"/>
    </row>
    <row r="260" spans="1:10" ht="14.45" customHeight="1">
      <c r="A260" s="9"/>
    </row>
    <row r="261" spans="1:10" ht="14.45" customHeight="1">
      <c r="A261" s="9"/>
    </row>
    <row r="262" spans="1:10" ht="14.45" customHeight="1">
      <c r="A262" s="9"/>
    </row>
    <row r="263" spans="1:10" ht="14.45" customHeight="1">
      <c r="A263" s="32"/>
    </row>
    <row r="264" spans="1:10" ht="14.45" customHeight="1"/>
    <row r="265" spans="1:10" ht="14.45" customHeight="1"/>
    <row r="266" spans="1:10" ht="14.45" customHeight="1"/>
    <row r="267" spans="1:10" ht="14.45" customHeight="1">
      <c r="A267" s="9"/>
    </row>
    <row r="268" spans="1:10" ht="14.4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 spans="1:10" ht="14.4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 spans="1:10" ht="14.45" customHeight="1">
      <c r="A270" s="38"/>
      <c r="B270" s="5"/>
      <c r="C270" s="5"/>
      <c r="D270" s="5"/>
      <c r="E270" s="5"/>
      <c r="F270" s="5"/>
      <c r="G270" s="5"/>
      <c r="H270" s="5"/>
      <c r="I270" s="5"/>
      <c r="J270" s="5"/>
    </row>
    <row r="271" spans="1:10" ht="14.4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 spans="1:10" ht="14.4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 spans="1:10" ht="14.4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 spans="1:10" ht="14.4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spans="1:10" ht="14.4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spans="1:10" ht="14.4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spans="1:10" ht="14.4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spans="1:10" ht="14.4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 spans="1:10" ht="14.4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 spans="1:10" ht="14.4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 spans="1:10" ht="14.4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 spans="1:10" ht="14.45" customHeight="1">
      <c r="A282" s="9"/>
    </row>
    <row r="283" spans="1:10" ht="14.45" customHeight="1">
      <c r="A283" s="9"/>
    </row>
    <row r="284" spans="1:10" ht="14.45" customHeight="1">
      <c r="A284" s="9"/>
    </row>
    <row r="285" spans="1:10" ht="14.45" customHeight="1">
      <c r="A285" s="9"/>
    </row>
    <row r="286" spans="1:10" ht="14.45" customHeight="1"/>
    <row r="287" spans="1:10" ht="14.45" customHeight="1"/>
    <row r="288" spans="1:10" ht="14.45" customHeight="1">
      <c r="A288" s="9"/>
    </row>
    <row r="289" spans="1:10" ht="14.45" customHeight="1">
      <c r="A289" s="9"/>
    </row>
    <row r="290" spans="1:10" ht="14.4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 spans="1:10" ht="14.45" customHeight="1">
      <c r="A291" s="9"/>
    </row>
    <row r="292" spans="1:10" ht="14.45" customHeight="1">
      <c r="A292" s="9"/>
    </row>
    <row r="293" spans="1:10" ht="14.45" customHeight="1">
      <c r="A293" s="9"/>
    </row>
    <row r="294" spans="1:10" ht="14.45" customHeight="1">
      <c r="A294" s="9"/>
    </row>
    <row r="295" spans="1:10" ht="14.45" customHeight="1">
      <c r="A295" s="17"/>
      <c r="B295" s="2"/>
    </row>
    <row r="296" spans="1:10" ht="14.45" customHeight="1"/>
    <row r="297" spans="1:10" ht="14.45" customHeight="1"/>
    <row r="298" spans="1:10" ht="14.45" customHeight="1"/>
    <row r="299" spans="1:10" ht="14.45" customHeight="1"/>
    <row r="300" spans="1:10" ht="14.45" customHeight="1">
      <c r="A300" s="9"/>
    </row>
    <row r="301" spans="1:10" ht="14.4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 spans="1:10" ht="14.4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 spans="1:10" ht="14.4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 spans="1:10" ht="14.4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 spans="1:10" ht="14.4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 spans="1:10" ht="14.4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 spans="1:10" ht="14.4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 spans="1:10" ht="14.4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 spans="1:10" ht="14.45" customHeight="1">
      <c r="A309" s="5"/>
      <c r="B309" s="5"/>
      <c r="C309" s="5"/>
      <c r="D309" s="5"/>
      <c r="E309" s="5"/>
      <c r="F309" s="5"/>
      <c r="G309" s="5"/>
      <c r="H309" s="5"/>
      <c r="I309" s="5"/>
    </row>
    <row r="310" spans="1:10" ht="14.45" customHeight="1">
      <c r="A310" s="5"/>
      <c r="B310" s="5"/>
      <c r="C310" s="5"/>
      <c r="D310" s="5"/>
      <c r="E310" s="5"/>
      <c r="F310" s="5"/>
      <c r="G310" s="5"/>
      <c r="H310" s="5"/>
      <c r="I310" s="5"/>
    </row>
    <row r="311" spans="1:10" ht="14.45" customHeight="1">
      <c r="A311" s="5"/>
      <c r="B311" s="5"/>
      <c r="C311" s="5"/>
      <c r="D311" s="5"/>
      <c r="E311" s="5"/>
      <c r="F311" s="5"/>
      <c r="G311" s="5"/>
      <c r="H311" s="5"/>
      <c r="I311" s="5"/>
    </row>
    <row r="312" spans="1:10" ht="14.45" customHeight="1">
      <c r="A312" s="5"/>
      <c r="B312" s="5"/>
      <c r="C312" s="5"/>
      <c r="D312" s="5"/>
      <c r="E312" s="5"/>
      <c r="F312" s="5"/>
      <c r="G312" s="5"/>
      <c r="H312" s="5"/>
      <c r="I312" s="5"/>
    </row>
    <row r="313" spans="1:10" ht="14.4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 spans="1:10" ht="14.4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 spans="1:10" ht="14.4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 spans="1:10" ht="14.4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 spans="1:10" ht="14.4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 spans="1:10" ht="14.45" customHeight="1">
      <c r="A318" s="9"/>
    </row>
    <row r="319" spans="1:10" ht="14.45" customHeight="1">
      <c r="A319" s="9"/>
    </row>
    <row r="320" spans="1:10" ht="14.45" customHeight="1">
      <c r="A320" s="9"/>
    </row>
    <row r="321" spans="1:10" ht="14.45" customHeight="1">
      <c r="A321" s="9"/>
    </row>
    <row r="322" spans="1:10" ht="14.45" customHeight="1"/>
    <row r="323" spans="1:10" ht="14.45" customHeight="1"/>
    <row r="324" spans="1:10" ht="14.45" customHeight="1">
      <c r="A324" s="9"/>
    </row>
    <row r="325" spans="1:10" ht="14.45" customHeight="1">
      <c r="A325" s="9"/>
    </row>
    <row r="326" spans="1:10" ht="14.4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 spans="1:10" ht="14.45" customHeight="1">
      <c r="A327" s="9"/>
    </row>
    <row r="328" spans="1:10" ht="14.45" customHeight="1">
      <c r="A328" s="9"/>
    </row>
    <row r="329" spans="1:10" ht="14.45" customHeight="1">
      <c r="A329" s="9"/>
    </row>
    <row r="330" spans="1:10" ht="14.45" customHeight="1">
      <c r="A330" s="9"/>
    </row>
    <row r="331" spans="1:10" ht="14.45" customHeight="1">
      <c r="A331" s="17"/>
      <c r="B331" s="2"/>
    </row>
    <row r="332" spans="1:10" ht="14.45" customHeight="1"/>
    <row r="333" spans="1:10" ht="14.45" customHeight="1"/>
    <row r="334" spans="1:10" ht="14.45" customHeight="1"/>
    <row r="335" spans="1:10" ht="14.45" customHeight="1"/>
    <row r="336" spans="1:10" ht="14.45" customHeight="1">
      <c r="A336" s="9"/>
    </row>
    <row r="337" spans="1:10" ht="14.4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 spans="1:10" ht="14.4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 spans="1:10" ht="14.4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 spans="1:10" ht="14.4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 spans="1:10" ht="14.4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 spans="1:10" ht="14.4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 spans="1:10" ht="14.4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 spans="1:10" ht="14.4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 spans="1:10" ht="14.45" customHeight="1">
      <c r="A345" s="5"/>
      <c r="B345" s="5"/>
      <c r="C345" s="5"/>
      <c r="D345" s="5"/>
      <c r="E345" s="5"/>
      <c r="F345" s="5"/>
      <c r="G345" s="5"/>
      <c r="H345" s="5"/>
      <c r="I345" s="5"/>
    </row>
    <row r="346" spans="1:10" ht="14.45" customHeight="1">
      <c r="A346" s="5"/>
      <c r="B346" s="5"/>
      <c r="C346" s="5"/>
      <c r="D346" s="5"/>
      <c r="E346" s="5"/>
      <c r="F346" s="5"/>
      <c r="G346" s="5"/>
      <c r="H346" s="5"/>
      <c r="I346" s="5"/>
    </row>
    <row r="347" spans="1:10" ht="14.45" customHeight="1">
      <c r="A347" s="5"/>
      <c r="B347" s="5"/>
      <c r="C347" s="5"/>
      <c r="D347" s="5"/>
      <c r="E347" s="5"/>
      <c r="F347" s="5"/>
      <c r="G347" s="5"/>
      <c r="H347" s="5"/>
      <c r="I347" s="5"/>
    </row>
    <row r="348" spans="1:10" ht="14.45" customHeight="1">
      <c r="A348" s="5"/>
      <c r="B348" s="5"/>
      <c r="C348" s="5"/>
      <c r="D348" s="5"/>
      <c r="E348" s="5"/>
      <c r="F348" s="5"/>
      <c r="G348" s="5"/>
      <c r="H348" s="5"/>
      <c r="I348" s="5"/>
    </row>
    <row r="349" spans="1:10" ht="14.4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 spans="1:10" ht="14.4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 spans="1:10" ht="14.4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 spans="1:10" ht="14.4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</row>
    <row r="353" spans="1:14" ht="14.4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</row>
    <row r="354" spans="1:14" ht="14.45" customHeight="1">
      <c r="A354" s="9"/>
      <c r="N354" s="7"/>
    </row>
    <row r="355" spans="1:14" ht="14.45" customHeight="1">
      <c r="A355" s="9"/>
    </row>
    <row r="356" spans="1:14" ht="14.45" customHeight="1">
      <c r="A356" s="9"/>
      <c r="N356" s="7"/>
    </row>
    <row r="357" spans="1:14" ht="14.45" customHeight="1">
      <c r="A357" s="9"/>
    </row>
    <row r="358" spans="1:14" ht="14.45" customHeight="1">
      <c r="N358" s="7"/>
    </row>
    <row r="359" spans="1:14" ht="14.45" customHeight="1">
      <c r="N359" s="7"/>
    </row>
    <row r="360" spans="1:14" ht="14.45" customHeight="1">
      <c r="A360" s="9"/>
    </row>
    <row r="361" spans="1:14" ht="14.45" customHeight="1">
      <c r="A361" s="9"/>
    </row>
    <row r="362" spans="1:14" ht="14.4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</row>
    <row r="363" spans="1:14" ht="14.45" customHeight="1">
      <c r="A363" s="9"/>
    </row>
    <row r="364" spans="1:14" ht="14.45" customHeight="1">
      <c r="A364" s="9"/>
    </row>
    <row r="365" spans="1:14" ht="14.45" customHeight="1">
      <c r="A365" s="9"/>
    </row>
    <row r="366" spans="1:14" ht="14.45" customHeight="1">
      <c r="A366" s="9"/>
    </row>
    <row r="367" spans="1:14" ht="14.45" customHeight="1">
      <c r="A367" s="17"/>
      <c r="B367" s="2"/>
    </row>
    <row r="368" spans="1:14" ht="14.45" customHeight="1"/>
    <row r="369" spans="1:12" ht="14.45" customHeight="1"/>
    <row r="370" spans="1:12" ht="14.45" customHeight="1"/>
    <row r="371" spans="1:12" ht="14.45" customHeight="1"/>
    <row r="372" spans="1:12">
      <c r="A372" s="9"/>
    </row>
    <row r="373" spans="1:12">
      <c r="A373" s="5"/>
      <c r="B373" s="5"/>
      <c r="C373" s="5"/>
      <c r="D373" s="5"/>
      <c r="E373" s="5"/>
      <c r="F373" s="5"/>
      <c r="G373" s="5"/>
      <c r="H373" s="5"/>
      <c r="I373" s="5"/>
      <c r="J373" s="5"/>
    </row>
    <row r="374" spans="1:12">
      <c r="A374" s="5"/>
      <c r="B374" s="5"/>
      <c r="C374" s="5"/>
      <c r="D374" s="5"/>
      <c r="E374" s="5"/>
      <c r="F374" s="5"/>
      <c r="G374" s="5"/>
      <c r="H374" s="5"/>
      <c r="I374" s="5"/>
      <c r="J374" s="5"/>
    </row>
    <row r="375" spans="1:12">
      <c r="A375" s="5"/>
      <c r="B375" s="5"/>
      <c r="C375" s="5"/>
      <c r="D375" s="5"/>
      <c r="E375" s="5"/>
      <c r="F375" s="5"/>
      <c r="G375" s="5"/>
      <c r="H375" s="5"/>
      <c r="I375" s="5"/>
      <c r="J375" s="5"/>
    </row>
    <row r="376" spans="1:12">
      <c r="A376" s="5"/>
      <c r="B376" s="5"/>
      <c r="C376" s="5"/>
      <c r="D376" s="5"/>
      <c r="E376" s="5"/>
      <c r="F376" s="5"/>
      <c r="G376" s="5"/>
      <c r="H376" s="5"/>
      <c r="I376" s="5"/>
      <c r="J376" s="5"/>
    </row>
    <row r="377" spans="1:12">
      <c r="A377" s="5"/>
      <c r="B377" s="5"/>
      <c r="C377" s="5"/>
      <c r="D377" s="5"/>
      <c r="E377" s="5"/>
      <c r="F377" s="5"/>
      <c r="G377" s="5"/>
      <c r="H377" s="5"/>
      <c r="I377" s="5"/>
      <c r="J377" s="5"/>
    </row>
    <row r="378" spans="1:12" ht="14.4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>
        <v>2</v>
      </c>
      <c r="L378">
        <v>2</v>
      </c>
    </row>
    <row r="379" spans="1:12" ht="14.4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</row>
    <row r="380" spans="1:12" ht="14.4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</row>
    <row r="381" spans="1:12" ht="14.45" customHeight="1">
      <c r="A381" s="5"/>
      <c r="B381" s="5"/>
      <c r="C381" s="5"/>
      <c r="D381" s="5"/>
      <c r="E381" s="5"/>
      <c r="F381" s="5"/>
      <c r="G381" s="5"/>
      <c r="H381" s="5"/>
      <c r="I381" s="5"/>
    </row>
    <row r="382" spans="1:12" ht="14.45" customHeight="1">
      <c r="A382" s="5"/>
      <c r="B382" s="5"/>
      <c r="C382" s="5"/>
      <c r="D382" s="5"/>
      <c r="E382" s="5"/>
      <c r="F382" s="5"/>
      <c r="G382" s="5"/>
      <c r="H382" s="5"/>
      <c r="I382" s="5"/>
    </row>
    <row r="383" spans="1:12" ht="14.45" customHeight="1">
      <c r="A383" s="5"/>
      <c r="B383" s="5"/>
      <c r="C383" s="5"/>
      <c r="D383" s="5"/>
      <c r="E383" s="5"/>
      <c r="F383" s="5"/>
      <c r="G383" s="5"/>
      <c r="H383" s="5"/>
      <c r="I383" s="5"/>
    </row>
    <row r="384" spans="1:12" ht="14.45" customHeight="1">
      <c r="A384" s="5"/>
      <c r="B384" s="5"/>
      <c r="C384" s="5"/>
      <c r="D384" s="5"/>
      <c r="E384" s="5"/>
      <c r="F384" s="5"/>
      <c r="G384" s="5"/>
      <c r="H384" s="5"/>
      <c r="I384" s="5"/>
    </row>
    <row r="385" spans="1:10" ht="14.45" customHeight="1">
      <c r="A385" s="5"/>
      <c r="B385" s="5"/>
      <c r="C385" s="5"/>
      <c r="D385" s="5"/>
      <c r="E385" s="5"/>
      <c r="F385" s="5"/>
      <c r="G385" s="5"/>
      <c r="H385" s="5"/>
      <c r="I385" s="5"/>
    </row>
    <row r="386" spans="1:10" ht="14.4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</row>
    <row r="387" spans="1:10" ht="14.4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</row>
    <row r="388" spans="1:10" ht="14.4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</row>
    <row r="389" spans="1:10" ht="14.4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</row>
    <row r="390" spans="1:10" ht="14.4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</row>
    <row r="391" spans="1:10" ht="14.45" customHeight="1">
      <c r="A391" s="9"/>
      <c r="C391" s="5"/>
      <c r="D391" s="5"/>
      <c r="E391" s="5"/>
      <c r="F391" s="5"/>
      <c r="G391" s="5"/>
      <c r="H391" s="5"/>
      <c r="I391" s="5"/>
      <c r="J391" s="5"/>
    </row>
    <row r="392" spans="1:10" ht="14.45" customHeight="1">
      <c r="A392" s="9"/>
    </row>
    <row r="393" spans="1:10">
      <c r="A393" s="9"/>
    </row>
    <row r="394" spans="1:10">
      <c r="A394" s="9"/>
    </row>
    <row r="398" spans="1:10">
      <c r="A398" s="9"/>
    </row>
    <row r="399" spans="1:10">
      <c r="A399" s="9"/>
    </row>
    <row r="400" spans="1:10">
      <c r="A400" s="5"/>
      <c r="B400" s="5"/>
      <c r="C400" s="5"/>
      <c r="D400" s="5"/>
      <c r="E400" s="5"/>
      <c r="F400" s="5"/>
      <c r="G400" s="5"/>
      <c r="H400" s="5"/>
      <c r="I400" s="5"/>
      <c r="J400" s="5"/>
    </row>
    <row r="401" spans="1:10">
      <c r="A401" s="9"/>
    </row>
    <row r="402" spans="1:10">
      <c r="A402" s="9"/>
    </row>
    <row r="403" spans="1:10">
      <c r="A403" s="9"/>
    </row>
    <row r="404" spans="1:10">
      <c r="A404" s="9"/>
    </row>
    <row r="405" spans="1:10">
      <c r="A405" s="17"/>
      <c r="B405" s="2"/>
    </row>
    <row r="410" spans="1:10">
      <c r="A410" s="9"/>
    </row>
    <row r="411" spans="1:10">
      <c r="A411" s="5"/>
      <c r="B411" s="5"/>
      <c r="C411" s="5"/>
      <c r="D411" s="5"/>
      <c r="E411" s="5"/>
      <c r="F411" s="5"/>
      <c r="G411" s="5"/>
      <c r="H411" s="5"/>
      <c r="I411" s="5"/>
      <c r="J411" s="5"/>
    </row>
    <row r="412" spans="1:10">
      <c r="A412" s="5"/>
      <c r="B412" s="5"/>
      <c r="C412" s="5"/>
      <c r="D412" s="5"/>
      <c r="E412" s="5"/>
      <c r="F412" s="5"/>
      <c r="G412" s="5"/>
      <c r="H412" s="5"/>
      <c r="I412" s="5"/>
      <c r="J412" s="5"/>
    </row>
    <row r="413" spans="1:10">
      <c r="A413" s="5"/>
      <c r="B413" s="5"/>
      <c r="C413" s="5"/>
      <c r="D413" s="5"/>
      <c r="E413" s="5"/>
      <c r="F413" s="5"/>
      <c r="G413" s="5"/>
      <c r="H413" s="5"/>
      <c r="I413" s="5"/>
      <c r="J413" s="5"/>
    </row>
    <row r="414" spans="1:10">
      <c r="A414" s="5"/>
      <c r="B414" s="5"/>
      <c r="C414" s="5"/>
      <c r="D414" s="5"/>
      <c r="E414" s="5"/>
      <c r="F414" s="5"/>
      <c r="G414" s="5"/>
      <c r="H414" s="5"/>
      <c r="I414" s="5"/>
      <c r="J414" s="5"/>
    </row>
    <row r="415" spans="1:10">
      <c r="A415" s="5"/>
      <c r="B415" s="5"/>
      <c r="C415" s="5"/>
      <c r="D415" s="5"/>
      <c r="E415" s="5"/>
      <c r="F415" s="5"/>
      <c r="G415" s="5"/>
      <c r="H415" s="5"/>
      <c r="I415" s="5"/>
      <c r="J415" s="5"/>
    </row>
    <row r="416" spans="1:10">
      <c r="A416" s="5"/>
      <c r="B416" s="5"/>
      <c r="C416" s="5"/>
      <c r="D416" s="5"/>
      <c r="E416" s="5"/>
      <c r="F416" s="5"/>
      <c r="G416" s="5"/>
      <c r="H416" s="5"/>
      <c r="I416" s="5"/>
      <c r="J416" s="5"/>
    </row>
    <row r="417" spans="1:10">
      <c r="A417" s="5"/>
      <c r="B417" s="5"/>
      <c r="C417" s="5"/>
      <c r="D417" s="5"/>
      <c r="E417" s="5"/>
      <c r="F417" s="5"/>
      <c r="G417" s="5"/>
      <c r="H417" s="5"/>
      <c r="I417" s="5"/>
      <c r="J417" s="5"/>
    </row>
    <row r="418" spans="1:10">
      <c r="A418" s="5"/>
      <c r="B418" s="5"/>
      <c r="C418" s="5"/>
      <c r="D418" s="5"/>
      <c r="E418" s="5"/>
      <c r="F418" s="5"/>
      <c r="G418" s="5"/>
      <c r="H418" s="5"/>
      <c r="I418" s="5"/>
    </row>
    <row r="419" spans="1:10">
      <c r="A419" s="5"/>
      <c r="B419" s="5"/>
      <c r="C419" s="5"/>
      <c r="D419" s="5"/>
      <c r="E419" s="5"/>
      <c r="F419" s="5"/>
      <c r="G419" s="5"/>
      <c r="H419" s="5"/>
      <c r="I419" s="5"/>
    </row>
    <row r="420" spans="1:10">
      <c r="A420" s="5"/>
      <c r="B420" s="5"/>
      <c r="C420" s="5"/>
      <c r="D420" s="5"/>
      <c r="E420" s="5"/>
      <c r="F420" s="5"/>
      <c r="G420" s="5"/>
      <c r="H420" s="5"/>
      <c r="I420" s="5"/>
    </row>
    <row r="421" spans="1:10">
      <c r="A421" s="5"/>
      <c r="B421" s="5"/>
      <c r="C421" s="5"/>
      <c r="D421" s="5"/>
      <c r="E421" s="5"/>
      <c r="F421" s="5"/>
      <c r="G421" s="5"/>
      <c r="H421" s="5"/>
      <c r="I421" s="5"/>
    </row>
    <row r="422" spans="1:10">
      <c r="A422" s="5"/>
      <c r="B422" s="5"/>
      <c r="C422" s="5"/>
      <c r="D422" s="5"/>
      <c r="E422" s="5"/>
      <c r="F422" s="5"/>
      <c r="G422" s="5"/>
      <c r="H422" s="5"/>
      <c r="I422" s="5"/>
    </row>
    <row r="423" spans="1:10">
      <c r="A423" s="5"/>
      <c r="B423" s="5"/>
      <c r="C423" s="5"/>
      <c r="D423" s="5"/>
      <c r="E423" s="5"/>
      <c r="F423" s="5"/>
      <c r="G423" s="5"/>
      <c r="H423" s="5"/>
      <c r="I423" s="5"/>
      <c r="J423" s="5"/>
    </row>
    <row r="424" spans="1:10">
      <c r="A424" s="5"/>
      <c r="B424" s="5"/>
      <c r="C424" s="5"/>
      <c r="D424" s="5"/>
      <c r="E424" s="5"/>
      <c r="F424" s="5"/>
      <c r="G424" s="5"/>
      <c r="H424" s="5"/>
      <c r="I424" s="5"/>
      <c r="J424" s="5"/>
    </row>
    <row r="425" spans="1:10">
      <c r="A425" s="5"/>
      <c r="B425" s="5"/>
      <c r="C425" s="5"/>
      <c r="D425" s="5"/>
      <c r="E425" s="5"/>
      <c r="F425" s="5"/>
      <c r="G425" s="5"/>
      <c r="H425" s="5"/>
      <c r="I425" s="5"/>
      <c r="J425" s="5"/>
    </row>
    <row r="426" spans="1:10">
      <c r="A426" s="5"/>
      <c r="B426" s="5"/>
      <c r="C426" s="5"/>
      <c r="D426" s="5"/>
      <c r="E426" s="5"/>
      <c r="F426" s="5"/>
      <c r="G426" s="5"/>
      <c r="H426" s="5"/>
      <c r="I426" s="5"/>
      <c r="J426" s="5"/>
    </row>
    <row r="427" spans="1:10">
      <c r="A427" s="9"/>
    </row>
    <row r="428" spans="1:10">
      <c r="A428" s="9"/>
    </row>
    <row r="429" spans="1:10">
      <c r="A429" s="9"/>
    </row>
    <row r="430" spans="1:10">
      <c r="A430" s="9"/>
    </row>
    <row r="433" spans="1:33">
      <c r="A433" s="9"/>
    </row>
    <row r="434" spans="1:33">
      <c r="A434" s="9"/>
    </row>
    <row r="435" spans="1:33">
      <c r="A435" s="5"/>
      <c r="B435" s="5"/>
      <c r="C435" s="5"/>
      <c r="D435" s="5"/>
      <c r="E435" s="5"/>
      <c r="F435" s="5"/>
      <c r="G435" s="5"/>
      <c r="H435" s="5"/>
      <c r="I435" s="5"/>
      <c r="J435" s="5"/>
    </row>
    <row r="436" spans="1:33">
      <c r="A436" s="9"/>
    </row>
    <row r="437" spans="1:33">
      <c r="A437" s="9"/>
    </row>
    <row r="438" spans="1:33">
      <c r="A438" s="9"/>
    </row>
    <row r="439" spans="1:33">
      <c r="A439" s="9"/>
    </row>
    <row r="440" spans="1:33">
      <c r="A440" s="17"/>
      <c r="B440" s="2"/>
    </row>
    <row r="441" spans="1:33">
      <c r="X441" t="s">
        <v>276</v>
      </c>
      <c r="Y441" t="s">
        <v>308</v>
      </c>
      <c r="Z441">
        <v>8.2040000000000006</v>
      </c>
      <c r="AA441">
        <v>8.2040000000000006</v>
      </c>
      <c r="AB441">
        <v>8.2040000000000006</v>
      </c>
      <c r="AC441">
        <v>8.2040000000000006</v>
      </c>
      <c r="AD441">
        <v>8.2040000000000006</v>
      </c>
      <c r="AE441">
        <v>8.2040000000000006</v>
      </c>
      <c r="AF441">
        <v>8.2040000000000006</v>
      </c>
      <c r="AG441">
        <v>8.2040000000000006</v>
      </c>
    </row>
    <row r="443" spans="1:33">
      <c r="X443" t="s">
        <v>272</v>
      </c>
      <c r="Y443" t="s">
        <v>308</v>
      </c>
      <c r="Z443">
        <v>4.6710000000000003</v>
      </c>
      <c r="AA443">
        <v>4.6710000000000003</v>
      </c>
      <c r="AB443">
        <v>4.6710000000000003</v>
      </c>
      <c r="AC443">
        <v>4.6710000000000003</v>
      </c>
      <c r="AD443">
        <v>4.6710000000000003</v>
      </c>
      <c r="AE443">
        <v>4.6710000000000003</v>
      </c>
      <c r="AF443">
        <v>4.6710000000000003</v>
      </c>
      <c r="AG443">
        <v>4.6710000000000003</v>
      </c>
    </row>
    <row r="445" spans="1:33">
      <c r="A445" s="9"/>
    </row>
    <row r="446" spans="1:33">
      <c r="A446" s="5"/>
      <c r="B446" s="5"/>
      <c r="C446" s="5"/>
      <c r="D446" s="5"/>
      <c r="E446" s="5"/>
      <c r="F446" s="5"/>
      <c r="G446" s="5"/>
      <c r="H446" s="5"/>
      <c r="I446" s="5"/>
      <c r="J446" s="5"/>
    </row>
    <row r="447" spans="1:33">
      <c r="A447" s="5"/>
      <c r="B447" s="5"/>
      <c r="C447" s="5"/>
      <c r="D447" s="5"/>
      <c r="E447" s="5"/>
      <c r="F447" s="5"/>
      <c r="G447" s="5"/>
      <c r="H447" s="5"/>
      <c r="I447" s="5"/>
      <c r="J447" s="5"/>
    </row>
    <row r="448" spans="1:33">
      <c r="A448" s="5"/>
      <c r="B448" s="5"/>
      <c r="C448" s="5"/>
      <c r="D448" s="5"/>
      <c r="E448" s="5"/>
      <c r="F448" s="5"/>
      <c r="G448" s="5"/>
      <c r="H448" s="5"/>
      <c r="I448" s="5"/>
      <c r="J448" s="5"/>
    </row>
    <row r="449" spans="1:33">
      <c r="A449" s="5"/>
      <c r="B449" s="5"/>
      <c r="C449" s="5"/>
      <c r="D449" s="5"/>
      <c r="E449" s="5"/>
      <c r="F449" s="5"/>
      <c r="G449" s="5"/>
      <c r="H449" s="5"/>
      <c r="I449" s="5"/>
      <c r="J449" s="5"/>
    </row>
    <row r="450" spans="1:33">
      <c r="A450" s="5"/>
      <c r="B450" s="5"/>
      <c r="C450" s="5"/>
      <c r="D450" s="5"/>
      <c r="E450" s="5"/>
      <c r="F450" s="5"/>
      <c r="G450" s="5"/>
      <c r="H450" s="5"/>
      <c r="I450" s="5"/>
      <c r="J450" s="5"/>
    </row>
    <row r="451" spans="1:33">
      <c r="A451" s="5"/>
      <c r="B451" s="5"/>
      <c r="C451" s="5"/>
      <c r="D451" s="5"/>
      <c r="E451" s="5"/>
      <c r="F451" s="5"/>
      <c r="G451" s="5"/>
      <c r="H451" s="5"/>
      <c r="I451" s="5"/>
      <c r="J451" s="5"/>
    </row>
    <row r="452" spans="1:33">
      <c r="A452" s="5"/>
      <c r="B452" s="5"/>
      <c r="C452" s="5"/>
      <c r="D452" s="5"/>
      <c r="E452" s="5"/>
      <c r="F452" s="5"/>
      <c r="G452" s="5"/>
      <c r="H452" s="5"/>
      <c r="I452" s="5"/>
      <c r="J452" s="5"/>
    </row>
    <row r="453" spans="1:33">
      <c r="A453" s="5"/>
      <c r="B453" s="5"/>
      <c r="C453" s="5"/>
      <c r="D453" s="5"/>
      <c r="E453" s="5"/>
      <c r="F453" s="5"/>
      <c r="G453" s="5"/>
      <c r="H453" s="5"/>
      <c r="I453" s="5"/>
      <c r="J453" s="5"/>
    </row>
    <row r="454" spans="1:33">
      <c r="A454" s="5"/>
      <c r="B454" s="5"/>
      <c r="C454" s="5"/>
      <c r="D454" s="5"/>
      <c r="E454" s="5"/>
      <c r="F454" s="5"/>
      <c r="G454" s="5"/>
      <c r="H454" s="5"/>
      <c r="I454" s="5"/>
      <c r="J454" s="5"/>
    </row>
    <row r="455" spans="1:33">
      <c r="A455" s="5"/>
      <c r="B455" s="5"/>
      <c r="C455" s="5"/>
      <c r="D455" s="5"/>
      <c r="E455" s="5"/>
      <c r="F455" s="5"/>
      <c r="G455" s="5"/>
      <c r="H455" s="5"/>
      <c r="I455" s="5"/>
    </row>
    <row r="456" spans="1:33">
      <c r="A456" s="5"/>
      <c r="B456" s="5"/>
      <c r="C456" s="5"/>
      <c r="D456" s="5"/>
      <c r="E456" s="5"/>
      <c r="F456" s="5"/>
      <c r="G456" s="5"/>
      <c r="H456" s="5"/>
      <c r="I456" s="5"/>
    </row>
    <row r="457" spans="1:33">
      <c r="A457" s="5"/>
      <c r="B457" s="5"/>
      <c r="C457" s="5"/>
      <c r="D457" s="5"/>
      <c r="E457" s="5"/>
      <c r="F457" s="5"/>
      <c r="G457" s="5"/>
      <c r="H457" s="5"/>
      <c r="I457" s="5"/>
    </row>
    <row r="458" spans="1:33">
      <c r="A458" s="5"/>
      <c r="B458" s="5"/>
      <c r="C458" s="5"/>
      <c r="D458" s="5"/>
      <c r="E458" s="5"/>
      <c r="F458" s="5"/>
      <c r="G458" s="5"/>
      <c r="H458" s="5"/>
      <c r="I458" s="5"/>
    </row>
    <row r="459" spans="1:33">
      <c r="A459" s="5"/>
      <c r="B459" s="5"/>
      <c r="C459" s="5"/>
      <c r="D459" s="5"/>
      <c r="E459" s="5"/>
      <c r="F459" s="5"/>
      <c r="G459" s="5"/>
      <c r="H459" s="5"/>
      <c r="I459" s="5"/>
      <c r="X459" t="s">
        <v>279</v>
      </c>
      <c r="Y459" t="s">
        <v>308</v>
      </c>
      <c r="Z459">
        <v>23.4</v>
      </c>
      <c r="AA459">
        <v>23.4</v>
      </c>
      <c r="AB459">
        <v>23.4</v>
      </c>
      <c r="AC459">
        <v>23.4</v>
      </c>
      <c r="AD459">
        <v>23.4</v>
      </c>
      <c r="AE459">
        <v>23.4</v>
      </c>
      <c r="AF459">
        <v>23.4</v>
      </c>
      <c r="AG459">
        <v>23.4</v>
      </c>
    </row>
    <row r="460" spans="1:33">
      <c r="A460" s="5"/>
      <c r="B460" s="5"/>
      <c r="C460" s="5"/>
      <c r="D460" s="5"/>
      <c r="E460" s="5"/>
      <c r="F460" s="5"/>
      <c r="G460" s="5"/>
      <c r="H460" s="5"/>
      <c r="I460" s="5"/>
      <c r="J460" s="5"/>
    </row>
    <row r="461" spans="1:33">
      <c r="A461" s="5"/>
      <c r="B461" s="5"/>
      <c r="C461" s="5"/>
      <c r="D461" s="5"/>
      <c r="E461" s="5"/>
      <c r="F461" s="5"/>
      <c r="G461" s="5"/>
      <c r="H461" s="5"/>
      <c r="I461" s="5"/>
      <c r="J461" s="5"/>
    </row>
    <row r="462" spans="1:33">
      <c r="A462" s="5"/>
      <c r="B462" s="5"/>
      <c r="C462" s="5"/>
      <c r="D462" s="5"/>
      <c r="E462" s="5"/>
      <c r="F462" s="5"/>
      <c r="G462" s="5"/>
      <c r="H462" s="5"/>
      <c r="I462" s="5"/>
      <c r="J462" s="5"/>
    </row>
    <row r="463" spans="1:33">
      <c r="A463" s="5"/>
      <c r="B463" s="5"/>
      <c r="C463" s="5"/>
      <c r="D463" s="5"/>
      <c r="E463" s="5"/>
      <c r="F463" s="5"/>
      <c r="G463" s="5"/>
      <c r="H463" s="5"/>
      <c r="I463" s="5"/>
      <c r="J463" s="5"/>
    </row>
    <row r="464" spans="1:33">
      <c r="A464" s="5"/>
      <c r="B464" s="5"/>
      <c r="C464" s="5"/>
      <c r="D464" s="5"/>
      <c r="E464" s="5"/>
      <c r="F464" s="5"/>
      <c r="G464" s="5"/>
      <c r="H464" s="5"/>
      <c r="I464" s="5"/>
      <c r="J464" s="5"/>
      <c r="X464" t="s">
        <v>281</v>
      </c>
      <c r="Y464" t="s">
        <v>308</v>
      </c>
      <c r="Z464">
        <v>4.55</v>
      </c>
      <c r="AA464">
        <v>4.55</v>
      </c>
      <c r="AB464">
        <v>4.55</v>
      </c>
      <c r="AC464">
        <v>4.55</v>
      </c>
      <c r="AD464">
        <v>4.55</v>
      </c>
      <c r="AE464">
        <v>4.55</v>
      </c>
      <c r="AF464">
        <v>4.55</v>
      </c>
      <c r="AG464">
        <v>4.55</v>
      </c>
    </row>
    <row r="465" spans="1:10">
      <c r="A465" s="9"/>
    </row>
    <row r="466" spans="1:10">
      <c r="A466" s="9"/>
    </row>
    <row r="467" spans="1:10">
      <c r="A467" s="9"/>
    </row>
    <row r="468" spans="1:10">
      <c r="A468" s="9"/>
    </row>
    <row r="471" spans="1:10">
      <c r="A471" s="9"/>
    </row>
    <row r="472" spans="1:10">
      <c r="A472" s="9"/>
    </row>
    <row r="473" spans="1:10">
      <c r="A473" s="5"/>
      <c r="B473" s="5"/>
      <c r="C473" s="5"/>
      <c r="D473" s="5"/>
      <c r="E473" s="5"/>
      <c r="F473" s="5"/>
      <c r="G473" s="5"/>
      <c r="H473" s="5"/>
      <c r="I473" s="5"/>
      <c r="J473" s="5"/>
    </row>
    <row r="474" spans="1:10">
      <c r="A474" s="9"/>
    </row>
    <row r="475" spans="1:10">
      <c r="A475" s="9"/>
    </row>
    <row r="476" spans="1:10">
      <c r="A476" s="9"/>
    </row>
    <row r="477" spans="1:10">
      <c r="A477" s="9"/>
    </row>
    <row r="478" spans="1:10">
      <c r="A478" s="17"/>
      <c r="B478" s="2"/>
    </row>
    <row r="483" spans="1:10">
      <c r="A483" s="9"/>
    </row>
    <row r="484" spans="1:10">
      <c r="A484" s="5"/>
      <c r="B484" s="5"/>
      <c r="C484" s="5"/>
      <c r="D484" s="5"/>
      <c r="E484" s="5"/>
      <c r="F484" s="5"/>
      <c r="G484" s="5"/>
      <c r="H484" s="5"/>
      <c r="I484" s="5"/>
      <c r="J484" s="5"/>
    </row>
    <row r="485" spans="1:10">
      <c r="A485" s="5"/>
      <c r="B485" s="5"/>
      <c r="C485" s="5"/>
      <c r="D485" s="5"/>
      <c r="E485" s="5"/>
      <c r="F485" s="5"/>
      <c r="G485" s="5"/>
      <c r="H485" s="5"/>
      <c r="I485" s="5"/>
      <c r="J485" s="5"/>
    </row>
    <row r="486" spans="1:10">
      <c r="A486" s="5"/>
      <c r="B486" s="5"/>
      <c r="C486" s="5"/>
      <c r="D486" s="5"/>
      <c r="E486" s="5"/>
      <c r="F486" s="5"/>
      <c r="G486" s="5"/>
      <c r="H486" s="5"/>
      <c r="I486" s="5"/>
      <c r="J486" s="5"/>
    </row>
    <row r="487" spans="1:10">
      <c r="A487" s="5"/>
      <c r="B487" s="5"/>
      <c r="C487" s="5"/>
      <c r="D487" s="5"/>
      <c r="E487" s="5"/>
      <c r="F487" s="5"/>
      <c r="G487" s="5"/>
      <c r="H487" s="5"/>
      <c r="I487" s="5"/>
      <c r="J487" s="5"/>
    </row>
    <row r="488" spans="1:10">
      <c r="A488" s="5"/>
      <c r="B488" s="5"/>
      <c r="C488" s="5"/>
      <c r="D488" s="5"/>
      <c r="E488" s="5"/>
      <c r="F488" s="5"/>
      <c r="G488" s="5"/>
      <c r="H488" s="5"/>
      <c r="I488" s="5"/>
      <c r="J488" s="5"/>
    </row>
    <row r="489" spans="1:10">
      <c r="A489" s="5"/>
      <c r="B489" s="5"/>
      <c r="C489" s="5"/>
      <c r="D489" s="5"/>
      <c r="E489" s="5"/>
      <c r="F489" s="5"/>
      <c r="G489" s="5"/>
      <c r="H489" s="5"/>
      <c r="I489" s="5"/>
      <c r="J489" s="5"/>
    </row>
    <row r="490" spans="1:10">
      <c r="A490" s="5"/>
      <c r="B490" s="5"/>
      <c r="C490" s="5"/>
      <c r="D490" s="5"/>
      <c r="E490" s="5"/>
      <c r="F490" s="5"/>
      <c r="G490" s="5"/>
      <c r="H490" s="5"/>
      <c r="I490" s="5"/>
      <c r="J490" s="5"/>
    </row>
    <row r="491" spans="1:10">
      <c r="A491" s="5"/>
      <c r="B491" s="5"/>
      <c r="C491" s="5"/>
      <c r="D491" s="5"/>
      <c r="E491" s="5"/>
      <c r="F491" s="5"/>
      <c r="G491" s="5"/>
      <c r="H491" s="5"/>
      <c r="I491" s="5"/>
      <c r="J491" s="5"/>
    </row>
    <row r="492" spans="1:10">
      <c r="A492" s="5"/>
      <c r="B492" s="5"/>
      <c r="C492" s="5"/>
      <c r="D492" s="5"/>
      <c r="E492" s="5"/>
      <c r="F492" s="5"/>
      <c r="G492" s="5"/>
      <c r="H492" s="5"/>
      <c r="I492" s="5"/>
      <c r="J492" s="5"/>
    </row>
    <row r="493" spans="1:10">
      <c r="A493" s="5"/>
      <c r="B493" s="5"/>
      <c r="C493" s="5"/>
      <c r="D493" s="5"/>
      <c r="E493" s="5"/>
      <c r="F493" s="5"/>
      <c r="G493" s="5"/>
      <c r="H493" s="5"/>
      <c r="I493" s="5"/>
    </row>
    <row r="494" spans="1:10">
      <c r="A494" s="5"/>
      <c r="B494" s="5"/>
      <c r="C494" s="5"/>
      <c r="D494" s="5"/>
      <c r="E494" s="5"/>
      <c r="F494" s="5"/>
      <c r="G494" s="5"/>
      <c r="H494" s="5"/>
      <c r="I494" s="5"/>
    </row>
    <row r="495" spans="1:10">
      <c r="A495" s="5"/>
      <c r="B495" s="5"/>
      <c r="C495" s="5"/>
      <c r="D495" s="5"/>
      <c r="E495" s="5"/>
      <c r="F495" s="5"/>
      <c r="G495" s="5"/>
      <c r="H495" s="5"/>
      <c r="I495" s="5"/>
    </row>
    <row r="496" spans="1:10">
      <c r="A496" s="5"/>
      <c r="B496" s="5"/>
      <c r="C496" s="5"/>
      <c r="D496" s="5"/>
      <c r="E496" s="5"/>
      <c r="F496" s="5"/>
      <c r="G496" s="5"/>
      <c r="H496" s="5"/>
      <c r="I496" s="5"/>
    </row>
    <row r="497" spans="1:10">
      <c r="A497" s="5"/>
      <c r="B497" s="5"/>
      <c r="C497" s="5"/>
      <c r="D497" s="5"/>
      <c r="E497" s="5"/>
      <c r="F497" s="5"/>
      <c r="G497" s="5"/>
      <c r="H497" s="5"/>
      <c r="I497" s="5"/>
    </row>
    <row r="498" spans="1:10">
      <c r="A498" s="5"/>
      <c r="B498" s="5"/>
      <c r="C498" s="5"/>
      <c r="D498" s="5"/>
      <c r="E498" s="5"/>
      <c r="F498" s="5"/>
      <c r="G498" s="5"/>
      <c r="H498" s="5"/>
      <c r="I498" s="5"/>
      <c r="J498" s="5"/>
    </row>
    <row r="499" spans="1:10">
      <c r="A499" s="5"/>
      <c r="B499" s="5"/>
      <c r="C499" s="5"/>
      <c r="D499" s="5"/>
      <c r="E499" s="5"/>
      <c r="F499" s="5"/>
      <c r="G499" s="5"/>
      <c r="H499" s="5"/>
      <c r="I499" s="5"/>
      <c r="J499" s="5"/>
    </row>
    <row r="500" spans="1:10">
      <c r="A500" s="5"/>
      <c r="B500" s="5"/>
      <c r="C500" s="5"/>
      <c r="D500" s="5"/>
      <c r="E500" s="5"/>
      <c r="F500" s="5"/>
      <c r="G500" s="5"/>
      <c r="H500" s="5"/>
      <c r="I500" s="5"/>
      <c r="J500" s="5"/>
    </row>
    <row r="501" spans="1:10">
      <c r="A501" s="5"/>
      <c r="B501" s="5"/>
      <c r="C501" s="5"/>
      <c r="D501" s="5"/>
      <c r="E501" s="5"/>
      <c r="F501" s="5"/>
      <c r="G501" s="5"/>
      <c r="H501" s="5"/>
      <c r="I501" s="5"/>
      <c r="J501" s="5"/>
    </row>
    <row r="502" spans="1:10">
      <c r="A502" s="5"/>
      <c r="B502" s="5"/>
      <c r="C502" s="5"/>
      <c r="D502" s="5"/>
      <c r="E502" s="5"/>
      <c r="F502" s="5"/>
      <c r="G502" s="5"/>
      <c r="H502" s="5"/>
      <c r="I502" s="5"/>
      <c r="J502" s="5"/>
    </row>
    <row r="503" spans="1:10">
      <c r="A503" s="9"/>
    </row>
    <row r="504" spans="1:10">
      <c r="A504" s="9"/>
    </row>
    <row r="505" spans="1:10">
      <c r="A505" s="9"/>
    </row>
    <row r="506" spans="1:10">
      <c r="A506" s="9"/>
    </row>
    <row r="510" spans="1:10">
      <c r="A510" s="9"/>
    </row>
    <row r="511" spans="1:10">
      <c r="A511" s="9"/>
    </row>
    <row r="512" spans="1:10">
      <c r="A512" s="5"/>
      <c r="B512" s="5"/>
      <c r="C512" s="5"/>
      <c r="D512" s="5"/>
      <c r="E512" s="5"/>
      <c r="F512" s="5"/>
      <c r="G512" s="5"/>
      <c r="H512" s="5"/>
      <c r="I512" s="5"/>
      <c r="J512" s="5"/>
    </row>
    <row r="513" spans="1:10">
      <c r="A513" s="9"/>
    </row>
    <row r="514" spans="1:10">
      <c r="A514" s="9"/>
    </row>
    <row r="515" spans="1:10">
      <c r="A515" s="9"/>
    </row>
    <row r="516" spans="1:10">
      <c r="A516" s="9"/>
    </row>
    <row r="520" spans="1:10">
      <c r="A520" s="9"/>
    </row>
    <row r="521" spans="1:10">
      <c r="A521" s="5"/>
      <c r="B521" s="5"/>
      <c r="C521" s="5"/>
      <c r="D521" s="5"/>
      <c r="E521" s="5"/>
      <c r="F521" s="5"/>
      <c r="G521" s="5"/>
      <c r="H521" s="5"/>
      <c r="I521" s="5"/>
      <c r="J521" s="5"/>
    </row>
    <row r="522" spans="1:10">
      <c r="A522" s="5"/>
      <c r="B522" s="5"/>
      <c r="C522" s="5"/>
      <c r="D522" s="5"/>
      <c r="E522" s="5"/>
      <c r="F522" s="5"/>
      <c r="G522" s="5"/>
      <c r="H522" s="5"/>
      <c r="I522" s="5"/>
      <c r="J522" s="5"/>
    </row>
    <row r="523" spans="1:10">
      <c r="A523" s="5"/>
      <c r="B523" s="5"/>
      <c r="C523" s="5"/>
      <c r="D523" s="5"/>
      <c r="E523" s="5"/>
      <c r="F523" s="5"/>
      <c r="G523" s="5"/>
      <c r="H523" s="5"/>
      <c r="I523" s="5"/>
      <c r="J523" s="5"/>
    </row>
    <row r="524" spans="1:10">
      <c r="A524" s="5"/>
      <c r="B524" s="5"/>
      <c r="C524" s="5"/>
      <c r="D524" s="5"/>
      <c r="E524" s="5"/>
      <c r="F524" s="5"/>
      <c r="G524" s="5"/>
      <c r="H524" s="5"/>
      <c r="I524" s="5"/>
      <c r="J524" s="5"/>
    </row>
    <row r="525" spans="1:10">
      <c r="A525" s="5"/>
      <c r="B525" s="5"/>
      <c r="C525" s="5"/>
      <c r="D525" s="5"/>
      <c r="E525" s="5"/>
      <c r="F525" s="5"/>
      <c r="G525" s="5"/>
      <c r="H525" s="5"/>
      <c r="I525" s="5"/>
      <c r="J525" s="5"/>
    </row>
    <row r="526" spans="1:10">
      <c r="A526" s="5"/>
      <c r="B526" s="5"/>
      <c r="C526" s="5"/>
      <c r="D526" s="5"/>
      <c r="E526" s="5"/>
      <c r="F526" s="5"/>
      <c r="G526" s="5"/>
      <c r="H526" s="5"/>
      <c r="I526" s="5"/>
      <c r="J526" s="5"/>
    </row>
    <row r="527" spans="1:10">
      <c r="A527" s="5"/>
      <c r="B527" s="5"/>
      <c r="C527" s="5"/>
      <c r="D527" s="5"/>
      <c r="E527" s="5"/>
      <c r="F527" s="5"/>
      <c r="G527" s="5"/>
      <c r="H527" s="5"/>
      <c r="I527" s="5"/>
      <c r="J527" s="5"/>
    </row>
    <row r="528" spans="1:10">
      <c r="A528" s="5"/>
      <c r="B528" s="5"/>
      <c r="C528" s="5"/>
      <c r="D528" s="5"/>
      <c r="E528" s="5"/>
      <c r="F528" s="5"/>
      <c r="G528" s="5"/>
      <c r="H528" s="5"/>
      <c r="I528" s="5"/>
      <c r="J528" s="5"/>
    </row>
    <row r="529" spans="1:10">
      <c r="A529" s="5"/>
      <c r="B529" s="5"/>
      <c r="C529" s="5"/>
      <c r="D529" s="5"/>
      <c r="E529" s="5"/>
      <c r="F529" s="5"/>
      <c r="G529" s="5"/>
      <c r="H529" s="5"/>
      <c r="I529" s="5"/>
    </row>
    <row r="530" spans="1:10">
      <c r="A530" s="5"/>
      <c r="B530" s="5"/>
      <c r="C530" s="5"/>
      <c r="D530" s="5"/>
      <c r="E530" s="5"/>
      <c r="F530" s="5"/>
      <c r="G530" s="5"/>
      <c r="H530" s="5"/>
      <c r="I530" s="5"/>
    </row>
    <row r="531" spans="1:10">
      <c r="A531" s="5"/>
      <c r="B531" s="5"/>
      <c r="C531" s="5"/>
      <c r="D531" s="5"/>
      <c r="E531" s="5"/>
      <c r="F531" s="5"/>
      <c r="G531" s="5"/>
      <c r="H531" s="5"/>
      <c r="I531" s="5"/>
    </row>
    <row r="532" spans="1:10">
      <c r="A532" s="5"/>
      <c r="B532" s="5"/>
      <c r="C532" s="5"/>
      <c r="D532" s="5"/>
      <c r="E532" s="5"/>
      <c r="F532" s="5"/>
      <c r="G532" s="5"/>
      <c r="H532" s="5"/>
      <c r="I532" s="5"/>
    </row>
    <row r="533" spans="1:10">
      <c r="A533" s="5"/>
      <c r="B533" s="5"/>
      <c r="C533" s="5"/>
      <c r="D533" s="5"/>
      <c r="E533" s="5"/>
      <c r="F533" s="5"/>
      <c r="G533" s="5"/>
      <c r="H533" s="5"/>
      <c r="I533" s="5"/>
    </row>
    <row r="534" spans="1:10">
      <c r="A534" s="5"/>
      <c r="B534" s="5"/>
      <c r="C534" s="5"/>
      <c r="D534" s="5"/>
      <c r="E534" s="5"/>
      <c r="F534" s="5"/>
      <c r="G534" s="5"/>
      <c r="H534" s="5"/>
      <c r="I534" s="5"/>
      <c r="J534" s="5"/>
    </row>
    <row r="535" spans="1:10">
      <c r="A535" s="5"/>
      <c r="B535" s="5"/>
      <c r="C535" s="5"/>
      <c r="D535" s="5"/>
      <c r="E535" s="5"/>
      <c r="F535" s="5"/>
      <c r="G535" s="5"/>
      <c r="H535" s="5"/>
      <c r="I535" s="5"/>
      <c r="J535" s="5"/>
    </row>
    <row r="536" spans="1:10">
      <c r="A536" s="5"/>
      <c r="B536" s="5"/>
      <c r="C536" s="5"/>
      <c r="D536" s="5"/>
      <c r="E536" s="5"/>
      <c r="F536" s="5"/>
      <c r="G536" s="5"/>
      <c r="H536" s="5"/>
      <c r="I536" s="5"/>
      <c r="J536" s="5"/>
    </row>
    <row r="537" spans="1:10">
      <c r="A537" s="5"/>
      <c r="B537" s="5"/>
      <c r="C537" s="5"/>
      <c r="D537" s="5"/>
      <c r="E537" s="5"/>
      <c r="F537" s="5"/>
      <c r="G537" s="5"/>
      <c r="H537" s="5"/>
      <c r="I537" s="5"/>
      <c r="J537" s="5"/>
    </row>
    <row r="538" spans="1:10">
      <c r="A538" s="5"/>
      <c r="B538" s="5"/>
      <c r="C538" s="5"/>
      <c r="D538" s="5"/>
      <c r="E538" s="5"/>
      <c r="F538" s="5"/>
      <c r="G538" s="5"/>
      <c r="H538" s="5"/>
      <c r="I538" s="5"/>
      <c r="J538" s="5"/>
    </row>
    <row r="539" spans="1:10">
      <c r="A539" s="9"/>
    </row>
    <row r="540" spans="1:10">
      <c r="A540" s="9"/>
    </row>
    <row r="541" spans="1:10">
      <c r="A541" s="9"/>
    </row>
    <row r="542" spans="1:10">
      <c r="A542" s="9"/>
    </row>
    <row r="546" spans="1:10">
      <c r="A546" s="9"/>
    </row>
    <row r="547" spans="1:10">
      <c r="A547" s="9"/>
    </row>
    <row r="548" spans="1:10">
      <c r="A548" s="5"/>
      <c r="B548" s="5"/>
      <c r="C548" s="5"/>
      <c r="D548" s="5"/>
      <c r="E548" s="5"/>
      <c r="F548" s="5"/>
      <c r="G548" s="5"/>
      <c r="H548" s="5"/>
      <c r="I548" s="5"/>
      <c r="J548" s="5"/>
    </row>
    <row r="549" spans="1:10">
      <c r="A549" s="9"/>
    </row>
    <row r="550" spans="1:10">
      <c r="A550" s="9"/>
    </row>
    <row r="551" spans="1:10">
      <c r="A551" s="9"/>
    </row>
    <row r="552" spans="1:10">
      <c r="A552" s="9"/>
    </row>
    <row r="553" spans="1:10">
      <c r="A553" s="17"/>
      <c r="B553" s="2"/>
    </row>
    <row r="554" spans="1:10">
      <c r="A554" s="17"/>
      <c r="B554" s="17"/>
      <c r="D554" s="5"/>
      <c r="E554" s="5"/>
      <c r="F554" s="5"/>
      <c r="G554" s="5"/>
      <c r="H554" s="5"/>
      <c r="I554" s="5"/>
    </row>
    <row r="559" spans="1:10">
      <c r="A559" s="9"/>
    </row>
    <row r="560" spans="1:10">
      <c r="A560" s="5"/>
      <c r="B560" s="5"/>
      <c r="C560" s="5"/>
      <c r="D560" s="5"/>
      <c r="E560" s="5"/>
      <c r="F560" s="5"/>
      <c r="G560" s="5"/>
      <c r="H560" s="5"/>
      <c r="I560" s="5"/>
      <c r="J560" s="5"/>
    </row>
    <row r="561" spans="1:10">
      <c r="A561" s="5"/>
      <c r="B561" s="5"/>
      <c r="C561" s="5"/>
      <c r="D561" s="5"/>
      <c r="E561" s="5"/>
      <c r="F561" s="5"/>
      <c r="G561" s="5"/>
      <c r="H561" s="5"/>
      <c r="I561" s="5"/>
      <c r="J561" s="5"/>
    </row>
    <row r="562" spans="1:10">
      <c r="A562" s="5"/>
      <c r="B562" s="5"/>
      <c r="C562" s="5"/>
      <c r="D562" s="5"/>
      <c r="E562" s="5"/>
      <c r="F562" s="5"/>
      <c r="G562" s="5"/>
      <c r="H562" s="5"/>
      <c r="I562" s="5"/>
      <c r="J562" s="5"/>
    </row>
    <row r="563" spans="1:10">
      <c r="A563" s="5"/>
      <c r="B563" s="5"/>
      <c r="C563" s="5"/>
      <c r="D563" s="5"/>
      <c r="E563" s="5"/>
      <c r="F563" s="5"/>
      <c r="G563" s="5"/>
      <c r="H563" s="5"/>
      <c r="I563" s="5"/>
      <c r="J563" s="5"/>
    </row>
    <row r="564" spans="1:10">
      <c r="A564" s="5"/>
      <c r="B564" s="5"/>
      <c r="C564" s="5"/>
      <c r="D564" s="5"/>
      <c r="E564" s="5"/>
      <c r="F564" s="5"/>
      <c r="G564" s="5"/>
      <c r="H564" s="5"/>
      <c r="I564" s="5"/>
      <c r="J564" s="5"/>
    </row>
    <row r="565" spans="1:10">
      <c r="A565" s="5"/>
      <c r="B565" s="5"/>
      <c r="C565" s="5"/>
      <c r="D565" s="5"/>
      <c r="E565" s="5"/>
      <c r="F565" s="5"/>
      <c r="G565" s="5"/>
      <c r="H565" s="5"/>
      <c r="I565" s="5"/>
      <c r="J565" s="5"/>
    </row>
    <row r="566" spans="1:10">
      <c r="A566" s="5"/>
      <c r="B566" s="5"/>
      <c r="C566" s="5"/>
      <c r="D566" s="5"/>
      <c r="E566" s="5"/>
      <c r="F566" s="5"/>
      <c r="G566" s="5"/>
      <c r="H566" s="5"/>
      <c r="I566" s="5"/>
      <c r="J566" s="5"/>
    </row>
    <row r="567" spans="1:10">
      <c r="A567" s="5"/>
      <c r="B567" s="5"/>
      <c r="C567" s="5"/>
      <c r="D567" s="5"/>
      <c r="E567" s="5"/>
      <c r="F567" s="5"/>
      <c r="G567" s="5"/>
      <c r="H567" s="5"/>
      <c r="I567" s="5"/>
      <c r="J567" s="5"/>
    </row>
    <row r="568" spans="1:10">
      <c r="A568" s="5"/>
      <c r="B568" s="5"/>
      <c r="C568" s="5"/>
      <c r="D568" s="5"/>
      <c r="E568" s="5"/>
      <c r="F568" s="5"/>
      <c r="G568" s="5"/>
      <c r="H568" s="5"/>
      <c r="I568" s="5"/>
    </row>
    <row r="569" spans="1:10">
      <c r="A569" s="5"/>
      <c r="B569" s="5"/>
      <c r="C569" s="5"/>
      <c r="D569" s="5"/>
      <c r="E569" s="5"/>
      <c r="F569" s="5"/>
      <c r="G569" s="5"/>
      <c r="H569" s="5"/>
      <c r="I569" s="5"/>
    </row>
    <row r="570" spans="1:10">
      <c r="A570" s="5"/>
      <c r="B570" s="5"/>
      <c r="C570" s="5"/>
      <c r="D570" s="5"/>
      <c r="E570" s="5"/>
      <c r="F570" s="5"/>
      <c r="G570" s="5"/>
      <c r="H570" s="5"/>
      <c r="I570" s="5"/>
    </row>
    <row r="571" spans="1:10">
      <c r="A571" s="5"/>
      <c r="B571" s="5"/>
      <c r="C571" s="5"/>
      <c r="D571" s="5"/>
      <c r="E571" s="5"/>
      <c r="F571" s="5"/>
      <c r="G571" s="5"/>
      <c r="H571" s="5"/>
      <c r="I571" s="5"/>
    </row>
    <row r="572" spans="1:10">
      <c r="A572" s="5"/>
      <c r="B572" s="5"/>
      <c r="C572" s="5"/>
      <c r="D572" s="5"/>
      <c r="E572" s="5"/>
      <c r="F572" s="5"/>
      <c r="G572" s="5"/>
      <c r="H572" s="5"/>
      <c r="I572" s="5"/>
      <c r="J572" s="5"/>
    </row>
    <row r="573" spans="1:10">
      <c r="A573" s="5"/>
      <c r="B573" s="5"/>
      <c r="C573" s="5"/>
      <c r="D573" s="5"/>
      <c r="E573" s="5"/>
      <c r="F573" s="5"/>
      <c r="G573" s="5"/>
      <c r="H573" s="5"/>
      <c r="I573" s="5"/>
      <c r="J573" s="5"/>
    </row>
    <row r="574" spans="1:10">
      <c r="A574" s="5"/>
      <c r="B574" s="5"/>
      <c r="C574" s="5"/>
      <c r="D574" s="5"/>
      <c r="E574" s="5"/>
      <c r="F574" s="5"/>
      <c r="G574" s="5"/>
      <c r="H574" s="5"/>
      <c r="I574" s="5"/>
      <c r="J574" s="5"/>
    </row>
    <row r="575" spans="1:10">
      <c r="A575" s="5"/>
      <c r="B575" s="5"/>
      <c r="C575" s="5"/>
      <c r="D575" s="5"/>
      <c r="E575" s="5"/>
      <c r="F575" s="5"/>
      <c r="G575" s="5"/>
      <c r="H575" s="5"/>
      <c r="I575" s="5"/>
      <c r="J575" s="5"/>
    </row>
    <row r="576" spans="1:10">
      <c r="A576" s="5"/>
      <c r="B576" s="5"/>
      <c r="C576" s="5"/>
      <c r="D576" s="5"/>
      <c r="E576" s="5"/>
      <c r="F576" s="5"/>
      <c r="G576" s="5"/>
      <c r="H576" s="5"/>
      <c r="I576" s="5"/>
      <c r="J576" s="5"/>
    </row>
    <row r="577" spans="1:10">
      <c r="A577" s="9"/>
    </row>
    <row r="578" spans="1:10">
      <c r="A578" s="9"/>
    </row>
    <row r="579" spans="1:10">
      <c r="A579" s="9"/>
    </row>
    <row r="580" spans="1:10">
      <c r="A580" s="9"/>
    </row>
    <row r="584" spans="1:10">
      <c r="A584" s="9"/>
    </row>
    <row r="585" spans="1:10">
      <c r="A585" s="9"/>
    </row>
    <row r="586" spans="1:10">
      <c r="A586" s="5"/>
      <c r="B586" s="5"/>
      <c r="C586" s="5"/>
      <c r="D586" s="5"/>
      <c r="E586" s="5"/>
      <c r="F586" s="5"/>
      <c r="G586" s="5"/>
      <c r="H586" s="5"/>
      <c r="I586" s="5"/>
      <c r="J586" s="5"/>
    </row>
    <row r="587" spans="1:10">
      <c r="A587" s="9"/>
    </row>
    <row r="588" spans="1:10">
      <c r="A588" s="9"/>
    </row>
    <row r="589" spans="1:10">
      <c r="A589" s="9"/>
    </row>
    <row r="590" spans="1:10">
      <c r="A590" s="9"/>
    </row>
    <row r="591" spans="1:10">
      <c r="A591" s="9"/>
    </row>
    <row r="592" spans="1:10">
      <c r="A592" s="17"/>
      <c r="B592" s="2"/>
    </row>
    <row r="596" spans="1:10">
      <c r="A596" s="9"/>
    </row>
    <row r="597" spans="1:10">
      <c r="A597" s="5"/>
      <c r="B597" s="5"/>
      <c r="C597" s="5"/>
      <c r="D597" s="5"/>
      <c r="E597" s="5"/>
      <c r="F597" s="5"/>
      <c r="G597" s="5"/>
      <c r="H597" s="5"/>
      <c r="I597" s="5"/>
      <c r="J597" s="5"/>
    </row>
    <row r="598" spans="1:10">
      <c r="A598" s="5"/>
      <c r="B598" s="5"/>
      <c r="C598" s="5"/>
      <c r="D598" s="5"/>
      <c r="E598" s="5"/>
      <c r="F598" s="5"/>
      <c r="G598" s="5"/>
      <c r="H598" s="5"/>
      <c r="I598" s="5"/>
      <c r="J598" s="5"/>
    </row>
    <row r="599" spans="1:10">
      <c r="A599" s="5"/>
      <c r="B599" s="5"/>
      <c r="C599" s="5"/>
      <c r="D599" s="5"/>
      <c r="E599" s="5"/>
      <c r="F599" s="5"/>
      <c r="G599" s="5"/>
      <c r="H599" s="5"/>
      <c r="I599" s="5"/>
      <c r="J599" s="5"/>
    </row>
    <row r="600" spans="1:10">
      <c r="A600" s="5"/>
      <c r="B600" s="5"/>
      <c r="C600" s="5"/>
      <c r="D600" s="5"/>
      <c r="E600" s="5"/>
      <c r="F600" s="5"/>
      <c r="G600" s="5"/>
      <c r="H600" s="5"/>
      <c r="I600" s="5"/>
      <c r="J600" s="5"/>
    </row>
    <row r="601" spans="1:10">
      <c r="A601" s="5"/>
      <c r="B601" s="5"/>
      <c r="C601" s="5"/>
      <c r="D601" s="5"/>
      <c r="E601" s="5"/>
      <c r="F601" s="5"/>
      <c r="G601" s="5"/>
      <c r="H601" s="5"/>
      <c r="I601" s="5"/>
      <c r="J601" s="5"/>
    </row>
    <row r="602" spans="1:10">
      <c r="A602" s="5"/>
      <c r="B602" s="5"/>
      <c r="C602" s="5"/>
      <c r="D602" s="5"/>
      <c r="E602" s="5"/>
      <c r="F602" s="5"/>
      <c r="G602" s="5"/>
      <c r="H602" s="5"/>
      <c r="I602" s="5"/>
      <c r="J602" s="5"/>
    </row>
    <row r="603" spans="1:10">
      <c r="A603" s="5"/>
      <c r="B603" s="5"/>
      <c r="C603" s="5"/>
      <c r="D603" s="5"/>
      <c r="E603" s="5"/>
      <c r="F603" s="5"/>
      <c r="G603" s="5"/>
      <c r="H603" s="5"/>
      <c r="I603" s="5"/>
      <c r="J603" s="5"/>
    </row>
    <row r="604" spans="1:10">
      <c r="A604" s="5"/>
      <c r="B604" s="5"/>
      <c r="C604" s="5"/>
      <c r="D604" s="5"/>
      <c r="E604" s="5"/>
      <c r="F604" s="5"/>
      <c r="G604" s="5"/>
      <c r="H604" s="5"/>
      <c r="I604" s="5"/>
    </row>
    <row r="605" spans="1:10">
      <c r="A605" s="5"/>
      <c r="B605" s="5"/>
      <c r="C605" s="5"/>
      <c r="D605" s="5"/>
      <c r="E605" s="5"/>
      <c r="F605" s="5"/>
      <c r="G605" s="5"/>
      <c r="H605" s="5"/>
      <c r="I605" s="5"/>
    </row>
    <row r="606" spans="1:10">
      <c r="A606" s="5"/>
      <c r="B606" s="5"/>
      <c r="C606" s="5"/>
      <c r="D606" s="5"/>
      <c r="E606" s="5"/>
      <c r="F606" s="5"/>
      <c r="G606" s="5"/>
      <c r="H606" s="5"/>
      <c r="I606" s="5"/>
    </row>
    <row r="607" spans="1:10">
      <c r="A607" s="5"/>
      <c r="B607" s="5"/>
      <c r="C607" s="5"/>
      <c r="D607" s="5"/>
      <c r="E607" s="5"/>
      <c r="F607" s="5"/>
      <c r="G607" s="5"/>
      <c r="H607" s="5"/>
      <c r="I607" s="5"/>
    </row>
    <row r="608" spans="1:10">
      <c r="A608" s="5"/>
      <c r="B608" s="5"/>
      <c r="C608" s="5"/>
      <c r="D608" s="5"/>
      <c r="E608" s="5"/>
      <c r="F608" s="5"/>
      <c r="G608" s="5"/>
      <c r="H608" s="5"/>
      <c r="I608" s="5"/>
    </row>
    <row r="609" spans="1:10">
      <c r="A609" s="5"/>
      <c r="B609" s="5"/>
      <c r="C609" s="5"/>
      <c r="D609" s="5"/>
      <c r="E609" s="5"/>
      <c r="F609" s="5"/>
      <c r="G609" s="5"/>
      <c r="H609" s="5"/>
      <c r="I609" s="5"/>
      <c r="J609" s="5"/>
    </row>
    <row r="610" spans="1:10">
      <c r="A610" s="5"/>
      <c r="B610" s="5"/>
      <c r="C610" s="5"/>
      <c r="D610" s="5"/>
      <c r="E610" s="5"/>
      <c r="F610" s="5"/>
      <c r="G610" s="5"/>
      <c r="H610" s="5"/>
      <c r="I610" s="5"/>
      <c r="J610" s="5"/>
    </row>
    <row r="611" spans="1:10">
      <c r="A611" s="5"/>
      <c r="B611" s="5"/>
      <c r="C611" s="5"/>
      <c r="D611" s="5"/>
      <c r="E611" s="5"/>
      <c r="F611" s="5"/>
      <c r="G611" s="5"/>
      <c r="H611" s="5"/>
      <c r="I611" s="5"/>
      <c r="J611" s="5"/>
    </row>
    <row r="612" spans="1:10">
      <c r="A612" s="5"/>
      <c r="B612" s="5"/>
      <c r="C612" s="5"/>
      <c r="D612" s="5"/>
      <c r="E612" s="5"/>
      <c r="F612" s="5"/>
      <c r="G612" s="5"/>
      <c r="H612" s="5"/>
      <c r="I612" s="5"/>
      <c r="J612" s="5"/>
    </row>
    <row r="613" spans="1:10">
      <c r="A613" s="5"/>
      <c r="B613" s="5"/>
      <c r="C613" s="5"/>
      <c r="D613" s="5"/>
      <c r="E613" s="5"/>
      <c r="F613" s="5"/>
      <c r="G613" s="5"/>
      <c r="H613" s="5"/>
      <c r="I613" s="5"/>
      <c r="J613" s="5"/>
    </row>
    <row r="614" spans="1:10">
      <c r="A614" s="9"/>
    </row>
    <row r="615" spans="1:10">
      <c r="A615" s="9"/>
    </row>
    <row r="616" spans="1:10">
      <c r="A616" s="9"/>
    </row>
    <row r="617" spans="1:10">
      <c r="A617" s="9"/>
    </row>
    <row r="621" spans="1:10">
      <c r="A621" s="9"/>
    </row>
    <row r="622" spans="1:10">
      <c r="A622" s="9"/>
    </row>
    <row r="623" spans="1:10">
      <c r="A623" s="5"/>
      <c r="B623" s="5"/>
      <c r="C623" s="5"/>
      <c r="D623" s="5"/>
      <c r="E623" s="5"/>
      <c r="F623" s="5"/>
      <c r="G623" s="5"/>
      <c r="H623" s="5"/>
      <c r="I623" s="5"/>
      <c r="J623" s="5"/>
    </row>
    <row r="624" spans="1:10">
      <c r="A624" s="9"/>
    </row>
    <row r="625" spans="1:10">
      <c r="A625" s="9"/>
    </row>
    <row r="626" spans="1:10">
      <c r="A626" s="9"/>
    </row>
    <row r="627" spans="1:10">
      <c r="A627" s="9"/>
    </row>
    <row r="628" spans="1:10">
      <c r="A628" s="17"/>
      <c r="B628" s="2"/>
    </row>
    <row r="631" spans="1:10">
      <c r="A631" s="9"/>
    </row>
    <row r="632" spans="1:10">
      <c r="A632" s="5"/>
      <c r="B632" s="5"/>
      <c r="C632" s="5"/>
      <c r="D632" s="5"/>
      <c r="E632" s="5"/>
      <c r="F632" s="5"/>
      <c r="G632" s="5"/>
      <c r="H632" s="5"/>
      <c r="I632" s="5"/>
      <c r="J632" s="5"/>
    </row>
    <row r="633" spans="1:10">
      <c r="A633" s="5"/>
      <c r="B633" s="5"/>
      <c r="C633" s="5"/>
      <c r="D633" s="5"/>
      <c r="E633" s="5"/>
      <c r="F633" s="5"/>
      <c r="G633" s="5"/>
      <c r="H633" s="5"/>
      <c r="I633" s="5"/>
      <c r="J633" s="5"/>
    </row>
    <row r="634" spans="1:10">
      <c r="A634" s="5"/>
      <c r="B634" s="5"/>
      <c r="C634" s="5"/>
      <c r="D634" s="5"/>
      <c r="E634" s="5"/>
      <c r="F634" s="5"/>
      <c r="G634" s="5"/>
      <c r="H634" s="5"/>
      <c r="I634" s="5"/>
      <c r="J634" s="5"/>
    </row>
    <row r="635" spans="1:10">
      <c r="A635" s="5"/>
      <c r="B635" s="5"/>
      <c r="C635" s="5"/>
      <c r="D635" s="5"/>
      <c r="E635" s="5"/>
      <c r="F635" s="5"/>
      <c r="G635" s="5"/>
      <c r="H635" s="5"/>
      <c r="I635" s="5"/>
      <c r="J635" s="5"/>
    </row>
    <row r="636" spans="1:10">
      <c r="A636" s="5"/>
      <c r="B636" s="5"/>
      <c r="C636" s="5"/>
      <c r="D636" s="5"/>
      <c r="E636" s="5"/>
      <c r="F636" s="5"/>
      <c r="G636" s="5"/>
      <c r="H636" s="5"/>
      <c r="I636" s="5"/>
      <c r="J636" s="5"/>
    </row>
    <row r="637" spans="1:10">
      <c r="A637" s="5"/>
      <c r="B637" s="5"/>
      <c r="C637" s="5"/>
      <c r="D637" s="5"/>
      <c r="E637" s="5"/>
      <c r="F637" s="5"/>
      <c r="G637" s="5"/>
      <c r="H637" s="5"/>
      <c r="I637" s="5"/>
      <c r="J637" s="5"/>
    </row>
    <row r="638" spans="1:10">
      <c r="A638" s="5"/>
      <c r="B638" s="5"/>
      <c r="C638" s="5"/>
      <c r="D638" s="5"/>
      <c r="E638" s="5"/>
      <c r="F638" s="5"/>
      <c r="G638" s="5"/>
      <c r="H638" s="5"/>
      <c r="I638" s="5"/>
      <c r="J638" s="5"/>
    </row>
    <row r="639" spans="1:10">
      <c r="A639" s="5"/>
      <c r="B639" s="5"/>
      <c r="C639" s="5"/>
      <c r="D639" s="5"/>
      <c r="E639" s="5"/>
      <c r="F639" s="5"/>
      <c r="G639" s="5"/>
      <c r="H639" s="5"/>
      <c r="I639" s="5"/>
      <c r="J639" s="5"/>
    </row>
    <row r="640" spans="1:10">
      <c r="A640" s="5"/>
      <c r="B640" s="5"/>
      <c r="C640" s="5"/>
      <c r="D640" s="5"/>
      <c r="E640" s="5"/>
      <c r="F640" s="5"/>
      <c r="G640" s="5"/>
      <c r="H640" s="5"/>
      <c r="I640" s="5"/>
    </row>
    <row r="641" spans="1:10">
      <c r="A641" s="5"/>
      <c r="B641" s="5"/>
      <c r="C641" s="5"/>
      <c r="D641" s="5"/>
      <c r="E641" s="5"/>
      <c r="F641" s="5"/>
      <c r="G641" s="5"/>
      <c r="H641" s="5"/>
      <c r="I641" s="5"/>
    </row>
    <row r="642" spans="1:10">
      <c r="A642" s="5"/>
      <c r="B642" s="5"/>
      <c r="C642" s="5"/>
      <c r="D642" s="5"/>
      <c r="E642" s="5"/>
      <c r="F642" s="5"/>
      <c r="G642" s="5"/>
      <c r="H642" s="5"/>
      <c r="I642" s="5"/>
    </row>
    <row r="643" spans="1:10">
      <c r="A643" s="5"/>
      <c r="B643" s="5"/>
      <c r="C643" s="5"/>
      <c r="D643" s="5"/>
      <c r="E643" s="5"/>
      <c r="F643" s="5"/>
      <c r="G643" s="5"/>
      <c r="H643" s="5"/>
      <c r="I643" s="5"/>
    </row>
    <row r="644" spans="1:10">
      <c r="A644" s="5"/>
      <c r="B644" s="5"/>
      <c r="C644" s="5"/>
      <c r="D644" s="5"/>
      <c r="E644" s="5"/>
      <c r="F644" s="5"/>
      <c r="G644" s="5"/>
      <c r="H644" s="5"/>
      <c r="I644" s="5"/>
    </row>
    <row r="645" spans="1:10">
      <c r="A645" s="5"/>
      <c r="B645" s="5"/>
      <c r="C645" s="5"/>
      <c r="D645" s="5"/>
      <c r="E645" s="5"/>
      <c r="F645" s="5"/>
      <c r="G645" s="5"/>
      <c r="H645" s="5"/>
      <c r="I645" s="5"/>
      <c r="J645" s="5"/>
    </row>
    <row r="646" spans="1:10">
      <c r="A646" s="5"/>
      <c r="B646" s="5"/>
      <c r="C646" s="5"/>
      <c r="D646" s="5"/>
      <c r="E646" s="5"/>
      <c r="F646" s="5"/>
      <c r="G646" s="5"/>
      <c r="H646" s="5"/>
      <c r="I646" s="5"/>
      <c r="J646" s="5"/>
    </row>
    <row r="647" spans="1:10">
      <c r="A647" s="5"/>
      <c r="B647" s="5"/>
      <c r="C647" s="5"/>
      <c r="D647" s="5"/>
      <c r="E647" s="5"/>
      <c r="F647" s="5"/>
      <c r="G647" s="5"/>
      <c r="H647" s="5"/>
      <c r="I647" s="5"/>
      <c r="J647" s="5"/>
    </row>
    <row r="648" spans="1:10">
      <c r="A648" s="9"/>
    </row>
    <row r="649" spans="1:10">
      <c r="A649" s="9"/>
    </row>
    <row r="650" spans="1:10">
      <c r="A650" s="9"/>
    </row>
    <row r="651" spans="1:10">
      <c r="A651" s="9"/>
    </row>
    <row r="654" spans="1:10">
      <c r="A654" s="9"/>
    </row>
    <row r="655" spans="1:10">
      <c r="A655" s="9"/>
    </row>
    <row r="656" spans="1:10">
      <c r="A656" s="5"/>
      <c r="B656" s="5"/>
      <c r="C656" s="5"/>
      <c r="D656" s="5"/>
      <c r="E656" s="5"/>
      <c r="F656" s="5"/>
      <c r="G656" s="5"/>
      <c r="H656" s="5"/>
      <c r="I656" s="5"/>
      <c r="J656" s="5"/>
    </row>
    <row r="657" spans="1:10">
      <c r="A657" s="9"/>
    </row>
    <row r="658" spans="1:10">
      <c r="A658" s="9"/>
    </row>
    <row r="659" spans="1:10">
      <c r="A659" s="9"/>
    </row>
    <row r="660" spans="1:10">
      <c r="A660" s="9"/>
    </row>
    <row r="664" spans="1:10">
      <c r="A664" s="9"/>
    </row>
    <row r="665" spans="1:10">
      <c r="A665" s="5"/>
      <c r="B665" s="5"/>
      <c r="C665" s="5"/>
      <c r="D665" s="5"/>
      <c r="E665" s="5"/>
      <c r="F665" s="5"/>
      <c r="G665" s="5"/>
      <c r="H665" s="5"/>
      <c r="I665" s="5"/>
      <c r="J665" s="5"/>
    </row>
    <row r="666" spans="1:10">
      <c r="A666" s="5"/>
      <c r="B666" s="5"/>
      <c r="C666" s="5"/>
      <c r="D666" s="5"/>
      <c r="E666" s="5"/>
      <c r="F666" s="5"/>
      <c r="G666" s="5"/>
      <c r="H666" s="5"/>
      <c r="I666" s="5"/>
      <c r="J666" s="5"/>
    </row>
    <row r="667" spans="1:10">
      <c r="A667" s="5"/>
      <c r="B667" s="5"/>
      <c r="C667" s="5"/>
      <c r="D667" s="5"/>
      <c r="E667" s="5"/>
      <c r="F667" s="5"/>
      <c r="G667" s="5"/>
      <c r="H667" s="5"/>
      <c r="I667" s="5"/>
      <c r="J667" s="5"/>
    </row>
    <row r="668" spans="1:10">
      <c r="A668" s="5"/>
      <c r="B668" s="5"/>
      <c r="C668" s="5"/>
      <c r="D668" s="5"/>
      <c r="E668" s="5"/>
      <c r="F668" s="5"/>
      <c r="G668" s="5"/>
      <c r="H668" s="5"/>
      <c r="I668" s="5"/>
      <c r="J668" s="5"/>
    </row>
    <row r="669" spans="1:10">
      <c r="A669" s="5"/>
      <c r="B669" s="5"/>
      <c r="C669" s="5"/>
      <c r="D669" s="5"/>
      <c r="E669" s="5"/>
      <c r="F669" s="5"/>
      <c r="G669" s="5"/>
      <c r="H669" s="5"/>
      <c r="I669" s="5"/>
      <c r="J669" s="5"/>
    </row>
    <row r="670" spans="1:10">
      <c r="A670" s="5"/>
      <c r="B670" s="5"/>
      <c r="C670" s="5"/>
      <c r="D670" s="5"/>
      <c r="E670" s="5"/>
      <c r="F670" s="5"/>
      <c r="G670" s="5"/>
      <c r="H670" s="5"/>
      <c r="I670" s="5"/>
      <c r="J670" s="5"/>
    </row>
    <row r="671" spans="1:10">
      <c r="A671" s="5"/>
      <c r="B671" s="5"/>
      <c r="C671" s="5"/>
      <c r="D671" s="5"/>
      <c r="E671" s="5"/>
      <c r="F671" s="5"/>
      <c r="G671" s="5"/>
      <c r="H671" s="5"/>
      <c r="I671" s="5"/>
      <c r="J671" s="5"/>
    </row>
    <row r="672" spans="1:10">
      <c r="A672" s="5"/>
      <c r="B672" s="5"/>
      <c r="C672" s="5"/>
      <c r="D672" s="5"/>
      <c r="E672" s="5"/>
      <c r="F672" s="5"/>
      <c r="G672" s="5"/>
      <c r="H672" s="5"/>
      <c r="I672" s="5"/>
    </row>
    <row r="673" spans="1:10">
      <c r="A673" s="5"/>
      <c r="B673" s="5"/>
      <c r="C673" s="5"/>
      <c r="D673" s="5"/>
      <c r="E673" s="5"/>
      <c r="F673" s="5"/>
      <c r="G673" s="5"/>
      <c r="H673" s="5"/>
      <c r="I673" s="5"/>
    </row>
    <row r="674" spans="1:10">
      <c r="A674" s="5"/>
      <c r="B674" s="5"/>
      <c r="C674" s="5"/>
      <c r="D674" s="5"/>
      <c r="E674" s="5"/>
      <c r="F674" s="5"/>
      <c r="G674" s="5"/>
      <c r="H674" s="5"/>
      <c r="I674" s="5"/>
    </row>
    <row r="675" spans="1:10">
      <c r="A675" s="5"/>
      <c r="B675" s="5"/>
      <c r="C675" s="5"/>
      <c r="D675" s="5"/>
      <c r="E675" s="5"/>
      <c r="F675" s="5"/>
      <c r="G675" s="5"/>
      <c r="H675" s="5"/>
      <c r="I675" s="5"/>
    </row>
    <row r="676" spans="1:10">
      <c r="A676" s="5"/>
      <c r="B676" s="5"/>
      <c r="C676" s="5"/>
      <c r="D676" s="5"/>
      <c r="E676" s="5"/>
      <c r="F676" s="5"/>
      <c r="G676" s="5"/>
      <c r="H676" s="5"/>
      <c r="I676" s="5"/>
    </row>
    <row r="677" spans="1:10">
      <c r="A677" s="5"/>
      <c r="B677" s="5"/>
      <c r="C677" s="5"/>
      <c r="D677" s="5"/>
      <c r="E677" s="5"/>
      <c r="F677" s="5"/>
      <c r="G677" s="5"/>
      <c r="H677" s="5"/>
      <c r="I677" s="5"/>
      <c r="J677" s="5"/>
    </row>
    <row r="678" spans="1:10">
      <c r="A678" s="5"/>
      <c r="B678" s="5"/>
      <c r="C678" s="5"/>
      <c r="D678" s="5"/>
      <c r="E678" s="5"/>
      <c r="F678" s="5"/>
      <c r="G678" s="5"/>
      <c r="H678" s="5"/>
      <c r="I678" s="5"/>
      <c r="J678" s="5"/>
    </row>
    <row r="679" spans="1:10">
      <c r="A679" s="5"/>
      <c r="B679" s="5"/>
      <c r="C679" s="5"/>
      <c r="D679" s="5"/>
      <c r="E679" s="5"/>
      <c r="F679" s="5"/>
      <c r="G679" s="5"/>
      <c r="H679" s="5"/>
      <c r="I679" s="5"/>
      <c r="J679" s="5"/>
    </row>
    <row r="680" spans="1:10">
      <c r="A680" s="5"/>
      <c r="B680" s="5"/>
      <c r="C680" s="5"/>
      <c r="D680" s="5"/>
      <c r="E680" s="5"/>
      <c r="F680" s="5"/>
      <c r="G680" s="5"/>
      <c r="H680" s="5"/>
      <c r="I680" s="5"/>
      <c r="J680" s="5"/>
    </row>
    <row r="681" spans="1:10">
      <c r="A681" s="5"/>
      <c r="B681" s="5"/>
      <c r="C681" s="5"/>
      <c r="D681" s="5"/>
      <c r="E681" s="5"/>
      <c r="F681" s="5"/>
      <c r="G681" s="5"/>
      <c r="H681" s="5"/>
      <c r="I681" s="5"/>
      <c r="J681" s="5"/>
    </row>
    <row r="682" spans="1:10">
      <c r="A682" s="9"/>
    </row>
    <row r="683" spans="1:10">
      <c r="A683" s="9"/>
    </row>
    <row r="684" spans="1:10">
      <c r="A684" s="9"/>
    </row>
    <row r="685" spans="1:10">
      <c r="A685" s="9"/>
    </row>
    <row r="688" spans="1:10">
      <c r="A688" s="9"/>
    </row>
    <row r="689" spans="1:10">
      <c r="A689" s="9"/>
    </row>
    <row r="690" spans="1:10">
      <c r="A690" s="5"/>
      <c r="B690" s="5"/>
      <c r="C690" s="5"/>
      <c r="D690" s="5"/>
      <c r="E690" s="5"/>
      <c r="F690" s="5"/>
      <c r="G690" s="5"/>
      <c r="H690" s="5"/>
      <c r="I690" s="5"/>
      <c r="J690" s="5"/>
    </row>
    <row r="691" spans="1:10">
      <c r="A691" s="9"/>
    </row>
    <row r="692" spans="1:10">
      <c r="A692" s="9"/>
    </row>
    <row r="693" spans="1:10">
      <c r="A693" s="9"/>
    </row>
    <row r="694" spans="1:10">
      <c r="A694" s="9"/>
    </row>
    <row r="695" spans="1:10">
      <c r="A695" s="9"/>
    </row>
    <row r="696" spans="1:10">
      <c r="A696" s="9"/>
    </row>
    <row r="697" spans="1:10">
      <c r="A697" s="9"/>
    </row>
    <row r="698" spans="1:10">
      <c r="A698" s="9"/>
    </row>
    <row r="699" spans="1:10">
      <c r="A699" s="9"/>
    </row>
    <row r="700" spans="1:10">
      <c r="A700" s="9"/>
    </row>
    <row r="701" spans="1:10">
      <c r="A701" s="9"/>
    </row>
    <row r="702" spans="1:10">
      <c r="A702" s="9"/>
    </row>
    <row r="703" spans="1:10">
      <c r="A703" s="9"/>
    </row>
    <row r="704" spans="1:10">
      <c r="A704" s="9"/>
    </row>
    <row r="705" spans="1:3">
      <c r="A705" s="9"/>
    </row>
    <row r="706" spans="1:3">
      <c r="A706" s="9"/>
    </row>
    <row r="707" spans="1:3">
      <c r="A707" s="9"/>
    </row>
    <row r="708" spans="1:3">
      <c r="A708" s="9"/>
    </row>
    <row r="709" spans="1:3">
      <c r="A709" s="9"/>
    </row>
    <row r="710" spans="1:3">
      <c r="A710" s="9"/>
    </row>
    <row r="711" spans="1:3">
      <c r="A711" s="9"/>
    </row>
    <row r="712" spans="1:3">
      <c r="A712" s="9"/>
    </row>
    <row r="713" spans="1:3">
      <c r="A713" s="9"/>
    </row>
    <row r="714" spans="1:3">
      <c r="A714" s="15"/>
      <c r="B714" s="15"/>
      <c r="C714" s="15"/>
    </row>
    <row r="715" spans="1:3">
      <c r="A715" s="15"/>
      <c r="B715" s="15"/>
      <c r="C715" s="15"/>
    </row>
    <row r="722" spans="1:10">
      <c r="A722" s="9"/>
    </row>
    <row r="723" spans="1:10">
      <c r="A723" s="5"/>
      <c r="B723" s="5"/>
      <c r="C723" s="5"/>
      <c r="D723" s="5"/>
      <c r="E723" s="5"/>
      <c r="F723" s="5"/>
      <c r="G723" s="5"/>
      <c r="H723" s="5"/>
      <c r="I723" s="5"/>
      <c r="J723" s="5"/>
    </row>
    <row r="724" spans="1:10">
      <c r="A724" s="5"/>
      <c r="B724" s="5"/>
      <c r="C724" s="5"/>
      <c r="D724" s="5"/>
      <c r="E724" s="5"/>
      <c r="F724" s="5"/>
      <c r="G724" s="5"/>
      <c r="H724" s="5"/>
      <c r="I724" s="5"/>
      <c r="J724" s="5"/>
    </row>
    <row r="725" spans="1:10">
      <c r="A725" s="5"/>
      <c r="B725" s="5"/>
      <c r="C725" s="5"/>
      <c r="D725" s="5"/>
      <c r="E725" s="5"/>
      <c r="F725" s="5"/>
      <c r="G725" s="5"/>
      <c r="H725" s="5"/>
      <c r="I725" s="5"/>
      <c r="J725" s="5"/>
    </row>
    <row r="726" spans="1:10">
      <c r="A726" s="5"/>
      <c r="B726" s="5"/>
      <c r="C726" s="5"/>
      <c r="D726" s="5"/>
      <c r="E726" s="5"/>
      <c r="F726" s="5"/>
      <c r="G726" s="5"/>
      <c r="H726" s="5"/>
      <c r="I726" s="5"/>
      <c r="J726" s="5"/>
    </row>
    <row r="727" spans="1:10">
      <c r="A727" s="5"/>
      <c r="B727" s="5"/>
      <c r="C727" s="5"/>
      <c r="D727" s="5"/>
      <c r="E727" s="5"/>
      <c r="F727" s="5"/>
      <c r="G727" s="5"/>
      <c r="H727" s="5"/>
      <c r="I727" s="5"/>
      <c r="J727" s="5"/>
    </row>
    <row r="728" spans="1:10">
      <c r="A728" s="5"/>
      <c r="B728" s="5"/>
      <c r="C728" s="5"/>
      <c r="D728" s="5"/>
      <c r="E728" s="5"/>
      <c r="F728" s="5"/>
      <c r="G728" s="5"/>
      <c r="H728" s="5"/>
      <c r="I728" s="5"/>
      <c r="J728" s="5"/>
    </row>
    <row r="729" spans="1:10">
      <c r="A729" s="5"/>
      <c r="B729" s="5"/>
      <c r="C729" s="5"/>
      <c r="D729" s="5"/>
      <c r="E729" s="5"/>
      <c r="F729" s="5"/>
      <c r="G729" s="5"/>
      <c r="H729" s="5"/>
      <c r="I729" s="5"/>
      <c r="J729" s="5"/>
    </row>
    <row r="730" spans="1:10">
      <c r="A730" s="5"/>
      <c r="B730" s="5"/>
      <c r="C730" s="5"/>
      <c r="D730" s="5"/>
      <c r="E730" s="5"/>
      <c r="F730" s="5"/>
      <c r="G730" s="5"/>
      <c r="H730" s="5"/>
      <c r="I730" s="5"/>
      <c r="J730" s="5"/>
    </row>
    <row r="731" spans="1:10">
      <c r="A731" s="5"/>
      <c r="B731" s="5"/>
      <c r="C731" s="5"/>
      <c r="D731" s="5"/>
      <c r="E731" s="5"/>
      <c r="F731" s="5"/>
      <c r="G731" s="5"/>
      <c r="H731" s="5"/>
      <c r="I731" s="5"/>
    </row>
    <row r="732" spans="1:10">
      <c r="A732" s="5"/>
      <c r="B732" s="5"/>
      <c r="C732" s="5"/>
      <c r="D732" s="5"/>
      <c r="E732" s="5"/>
      <c r="F732" s="5"/>
      <c r="G732" s="5"/>
      <c r="H732" s="5"/>
      <c r="I732" s="5"/>
    </row>
    <row r="733" spans="1:10">
      <c r="A733" s="5"/>
      <c r="B733" s="5"/>
      <c r="C733" s="5"/>
      <c r="D733" s="5"/>
      <c r="E733" s="5"/>
      <c r="F733" s="5"/>
      <c r="G733" s="5"/>
      <c r="H733" s="5"/>
      <c r="I733" s="5"/>
    </row>
    <row r="734" spans="1:10">
      <c r="A734" s="5"/>
      <c r="B734" s="5"/>
      <c r="C734" s="5"/>
      <c r="D734" s="5"/>
      <c r="E734" s="5"/>
      <c r="F734" s="5"/>
      <c r="G734" s="5"/>
      <c r="H734" s="5"/>
      <c r="I734" s="5"/>
    </row>
    <row r="735" spans="1:10">
      <c r="A735" s="5"/>
      <c r="B735" s="5"/>
      <c r="C735" s="5"/>
      <c r="D735" s="5"/>
      <c r="E735" s="5"/>
      <c r="F735" s="5"/>
      <c r="G735" s="5"/>
      <c r="H735" s="5"/>
      <c r="I735" s="5"/>
    </row>
    <row r="736" spans="1:10">
      <c r="A736" s="5"/>
      <c r="B736" s="5"/>
      <c r="C736" s="5"/>
      <c r="D736" s="5"/>
      <c r="E736" s="5"/>
      <c r="F736" s="5"/>
      <c r="G736" s="5"/>
      <c r="H736" s="5"/>
      <c r="I736" s="5"/>
      <c r="J736" s="5"/>
    </row>
    <row r="737" spans="1:10">
      <c r="A737" s="5"/>
      <c r="B737" s="5"/>
      <c r="C737" s="5"/>
      <c r="D737" s="5"/>
      <c r="E737" s="5"/>
      <c r="F737" s="5"/>
      <c r="G737" s="5"/>
      <c r="H737" s="5"/>
      <c r="I737" s="5"/>
      <c r="J737" s="5"/>
    </row>
    <row r="738" spans="1:10">
      <c r="A738" s="5"/>
      <c r="B738" s="5"/>
      <c r="C738" s="5"/>
      <c r="D738" s="5"/>
      <c r="E738" s="5"/>
      <c r="F738" s="5"/>
      <c r="G738" s="5"/>
      <c r="H738" s="5"/>
      <c r="I738" s="5"/>
      <c r="J738" s="5"/>
    </row>
    <row r="739" spans="1:10">
      <c r="A739" s="5"/>
      <c r="B739" s="5"/>
      <c r="C739" s="5"/>
      <c r="D739" s="5"/>
      <c r="E739" s="5"/>
      <c r="F739" s="5"/>
      <c r="G739" s="5"/>
      <c r="H739" s="5"/>
      <c r="I739" s="5"/>
      <c r="J739" s="5"/>
    </row>
    <row r="740" spans="1:10">
      <c r="A740" s="5"/>
      <c r="B740" s="5"/>
      <c r="C740" s="5"/>
      <c r="D740" s="5"/>
      <c r="E740" s="5"/>
      <c r="F740" s="5"/>
      <c r="G740" s="5"/>
      <c r="H740" s="5"/>
      <c r="I740" s="5"/>
      <c r="J740" s="5"/>
    </row>
    <row r="741" spans="1:10">
      <c r="A741" s="9"/>
    </row>
    <row r="742" spans="1:10">
      <c r="A742" s="9"/>
    </row>
    <row r="743" spans="1:10">
      <c r="A743" s="9"/>
    </row>
    <row r="744" spans="1:10">
      <c r="A744" s="9"/>
    </row>
    <row r="748" spans="1:10">
      <c r="A748" s="9"/>
    </row>
    <row r="749" spans="1:10">
      <c r="A749" s="9"/>
    </row>
    <row r="750" spans="1:10">
      <c r="A750" s="5"/>
      <c r="B750" s="5"/>
      <c r="C750" s="5"/>
      <c r="D750" s="5"/>
      <c r="E750" s="5"/>
      <c r="F750" s="5"/>
      <c r="G750" s="5"/>
      <c r="H750" s="5"/>
      <c r="I750" s="5"/>
      <c r="J750" s="5"/>
    </row>
    <row r="751" spans="1:10">
      <c r="A751" s="9"/>
    </row>
    <row r="752" spans="1:10">
      <c r="A752" s="9"/>
    </row>
    <row r="753" spans="1:10">
      <c r="A753" s="9"/>
    </row>
    <row r="754" spans="1:10">
      <c r="A754" s="9"/>
    </row>
    <row r="755" spans="1:10">
      <c r="A755" s="17"/>
      <c r="B755" s="2"/>
    </row>
    <row r="756" spans="1:10">
      <c r="A756" s="15"/>
      <c r="B756" s="15"/>
      <c r="C756" s="15"/>
    </row>
    <row r="757" spans="1:10">
      <c r="A757" s="15"/>
      <c r="B757" s="15"/>
      <c r="C757" s="15"/>
    </row>
    <row r="758" spans="1:10">
      <c r="A758" s="9"/>
    </row>
    <row r="759" spans="1:10">
      <c r="A759" s="5"/>
      <c r="B759" s="5"/>
      <c r="C759" s="5"/>
      <c r="D759" s="5"/>
      <c r="E759" s="5"/>
      <c r="F759" s="5"/>
      <c r="G759" s="5"/>
      <c r="H759" s="5"/>
      <c r="I759" s="5"/>
      <c r="J759" s="5"/>
    </row>
    <row r="760" spans="1:10">
      <c r="A760" s="5"/>
      <c r="B760" s="5"/>
      <c r="C760" s="5"/>
      <c r="D760" s="5"/>
      <c r="E760" s="5"/>
      <c r="F760" s="5"/>
      <c r="G760" s="5"/>
      <c r="H760" s="5"/>
      <c r="I760" s="5"/>
      <c r="J760" s="5"/>
    </row>
    <row r="761" spans="1:10">
      <c r="A761" s="5"/>
      <c r="B761" s="5"/>
      <c r="C761" s="5"/>
      <c r="D761" s="5"/>
      <c r="E761" s="5"/>
      <c r="F761" s="5"/>
      <c r="G761" s="5"/>
      <c r="H761" s="5"/>
      <c r="I761" s="5"/>
      <c r="J761" s="5"/>
    </row>
    <row r="762" spans="1:10">
      <c r="A762" s="5"/>
      <c r="B762" s="5"/>
      <c r="C762" s="5"/>
      <c r="D762" s="5"/>
      <c r="E762" s="5"/>
      <c r="F762" s="5"/>
      <c r="G762" s="5"/>
      <c r="H762" s="5"/>
      <c r="I762" s="5"/>
      <c r="J762" s="5"/>
    </row>
    <row r="763" spans="1:10">
      <c r="A763" s="5"/>
      <c r="B763" s="5"/>
      <c r="C763" s="5"/>
      <c r="D763" s="5"/>
      <c r="E763" s="5"/>
      <c r="F763" s="5"/>
      <c r="G763" s="5"/>
      <c r="H763" s="5"/>
      <c r="I763" s="5"/>
      <c r="J763" s="5"/>
    </row>
    <row r="764" spans="1:10">
      <c r="A764" s="5"/>
      <c r="B764" s="5"/>
      <c r="C764" s="5"/>
      <c r="D764" s="5"/>
      <c r="E764" s="5"/>
      <c r="F764" s="5"/>
      <c r="G764" s="5"/>
      <c r="H764" s="5"/>
      <c r="I764" s="5"/>
      <c r="J764" s="5"/>
    </row>
    <row r="765" spans="1:10">
      <c r="A765" s="5"/>
      <c r="B765" s="5"/>
      <c r="C765" s="5"/>
      <c r="D765" s="5"/>
      <c r="E765" s="5"/>
      <c r="F765" s="5"/>
      <c r="G765" s="5"/>
      <c r="H765" s="5"/>
      <c r="I765" s="5"/>
      <c r="J765" s="5"/>
    </row>
    <row r="766" spans="1:10">
      <c r="A766" s="5"/>
      <c r="B766" s="5"/>
      <c r="C766" s="5"/>
      <c r="D766" s="5"/>
      <c r="E766" s="5"/>
      <c r="F766" s="5"/>
      <c r="G766" s="5"/>
      <c r="H766" s="5"/>
      <c r="I766" s="5"/>
    </row>
    <row r="767" spans="1:10">
      <c r="A767" s="5"/>
      <c r="B767" s="5"/>
      <c r="C767" s="5"/>
      <c r="D767" s="5"/>
      <c r="E767" s="5"/>
      <c r="F767" s="5"/>
      <c r="G767" s="5"/>
      <c r="H767" s="5"/>
      <c r="I767" s="5"/>
    </row>
    <row r="768" spans="1:10">
      <c r="A768" s="5"/>
      <c r="B768" s="5"/>
      <c r="C768" s="5"/>
      <c r="D768" s="5"/>
      <c r="E768" s="5"/>
      <c r="F768" s="5"/>
      <c r="G768" s="5"/>
      <c r="H768" s="5"/>
      <c r="I768" s="5"/>
    </row>
    <row r="769" spans="1:10">
      <c r="A769" s="5"/>
      <c r="B769" s="5"/>
      <c r="C769" s="5"/>
      <c r="D769" s="5"/>
      <c r="E769" s="5"/>
      <c r="F769" s="5"/>
      <c r="G769" s="5"/>
      <c r="H769" s="5"/>
      <c r="I769" s="5"/>
    </row>
    <row r="770" spans="1:10">
      <c r="A770" s="5"/>
      <c r="B770" s="5"/>
      <c r="C770" s="5"/>
      <c r="D770" s="5"/>
      <c r="E770" s="5"/>
      <c r="F770" s="5"/>
      <c r="G770" s="5"/>
      <c r="H770" s="5"/>
      <c r="I770" s="5"/>
      <c r="J770" s="5"/>
    </row>
    <row r="771" spans="1:10">
      <c r="A771" s="5"/>
      <c r="B771" s="5"/>
      <c r="C771" s="5"/>
      <c r="D771" s="5"/>
      <c r="E771" s="5"/>
      <c r="F771" s="5"/>
      <c r="G771" s="5"/>
      <c r="H771" s="5"/>
      <c r="I771" s="5"/>
      <c r="J771" s="5"/>
    </row>
    <row r="772" spans="1:10">
      <c r="A772" s="5"/>
      <c r="B772" s="5"/>
      <c r="C772" s="5"/>
      <c r="D772" s="5"/>
      <c r="E772" s="5"/>
      <c r="F772" s="5"/>
      <c r="G772" s="5"/>
      <c r="H772" s="5"/>
      <c r="I772" s="5"/>
      <c r="J772" s="5"/>
    </row>
    <row r="773" spans="1:10">
      <c r="A773" s="5"/>
      <c r="B773" s="5"/>
      <c r="C773" s="5"/>
      <c r="D773" s="5"/>
      <c r="E773" s="5"/>
      <c r="F773" s="5"/>
      <c r="G773" s="5"/>
      <c r="H773" s="5"/>
      <c r="I773" s="5"/>
      <c r="J773" s="5"/>
    </row>
    <row r="774" spans="1:10">
      <c r="A774" s="5"/>
      <c r="B774" s="5"/>
      <c r="C774" s="5"/>
      <c r="D774" s="5"/>
      <c r="E774" s="5"/>
      <c r="F774" s="5"/>
      <c r="G774" s="5"/>
      <c r="H774" s="5"/>
      <c r="I774" s="5"/>
      <c r="J774" s="5"/>
    </row>
    <row r="775" spans="1:10">
      <c r="A775" s="9"/>
    </row>
    <row r="776" spans="1:10">
      <c r="A776" s="9"/>
    </row>
    <row r="777" spans="1:10">
      <c r="A777" s="9"/>
    </row>
    <row r="778" spans="1:10">
      <c r="A778" s="9"/>
    </row>
    <row r="781" spans="1:10">
      <c r="A781" s="9"/>
    </row>
    <row r="782" spans="1:10">
      <c r="A782" s="9"/>
    </row>
    <row r="783" spans="1:10">
      <c r="A783" s="5"/>
      <c r="B783" s="5"/>
      <c r="C783" s="5"/>
      <c r="D783" s="5"/>
      <c r="E783" s="5"/>
      <c r="F783" s="5"/>
      <c r="G783" s="5"/>
      <c r="H783" s="5"/>
      <c r="I783" s="5"/>
      <c r="J783" s="5"/>
    </row>
    <row r="784" spans="1:10">
      <c r="A784" s="9"/>
    </row>
    <row r="785" spans="1:10">
      <c r="A785" s="9"/>
    </row>
    <row r="786" spans="1:10">
      <c r="A786" s="9"/>
    </row>
    <row r="787" spans="1:10">
      <c r="A787" s="9"/>
    </row>
    <row r="788" spans="1:10">
      <c r="A788" s="9"/>
    </row>
    <row r="789" spans="1:10">
      <c r="A789" s="17"/>
      <c r="B789" s="2"/>
    </row>
    <row r="790" spans="1:10">
      <c r="A790" s="15"/>
      <c r="B790" s="15"/>
      <c r="C790" s="15"/>
    </row>
    <row r="791" spans="1:10">
      <c r="A791" s="15"/>
      <c r="B791" s="15"/>
      <c r="C791" s="15"/>
    </row>
    <row r="792" spans="1:10">
      <c r="A792" s="5"/>
      <c r="B792" s="5"/>
      <c r="C792" s="5"/>
      <c r="D792" s="5"/>
      <c r="E792" s="5"/>
      <c r="F792" s="5"/>
      <c r="G792" s="5"/>
      <c r="H792" s="5"/>
      <c r="I792" s="5"/>
      <c r="J792" s="5"/>
    </row>
    <row r="793" spans="1:10">
      <c r="A793" s="5"/>
      <c r="B793" s="5"/>
      <c r="C793" s="5"/>
      <c r="D793" s="5"/>
      <c r="E793" s="5"/>
      <c r="F793" s="5"/>
      <c r="G793" s="5"/>
      <c r="H793" s="5"/>
      <c r="I793" s="5"/>
      <c r="J793" s="5"/>
    </row>
    <row r="794" spans="1:10">
      <c r="A794" s="5"/>
      <c r="B794" s="5"/>
      <c r="C794" s="5"/>
      <c r="D794" s="5"/>
      <c r="E794" s="5"/>
      <c r="F794" s="5"/>
      <c r="G794" s="5"/>
      <c r="H794" s="5"/>
      <c r="I794" s="5"/>
      <c r="J794" s="5"/>
    </row>
    <row r="795" spans="1:10">
      <c r="A795" s="5"/>
      <c r="B795" s="5"/>
      <c r="C795" s="5"/>
      <c r="D795" s="5"/>
      <c r="E795" s="5"/>
      <c r="F795" s="5"/>
      <c r="G795" s="5"/>
      <c r="H795" s="5"/>
      <c r="I795" s="5"/>
      <c r="J795" s="5"/>
    </row>
    <row r="796" spans="1:10">
      <c r="A796" s="5"/>
      <c r="B796" s="5"/>
      <c r="C796" s="5"/>
      <c r="D796" s="5"/>
      <c r="E796" s="5"/>
      <c r="F796" s="5"/>
      <c r="G796" s="5"/>
      <c r="H796" s="5"/>
      <c r="I796" s="5"/>
      <c r="J796" s="5"/>
    </row>
    <row r="797" spans="1:10">
      <c r="A797" s="5"/>
      <c r="B797" s="5"/>
      <c r="C797" s="5"/>
      <c r="D797" s="5"/>
      <c r="E797" s="5"/>
      <c r="F797" s="5"/>
      <c r="G797" s="5"/>
      <c r="H797" s="5"/>
      <c r="I797" s="5"/>
      <c r="J797" s="5"/>
    </row>
    <row r="798" spans="1:10">
      <c r="A798" s="5"/>
      <c r="B798" s="5"/>
      <c r="C798" s="5"/>
      <c r="D798" s="5"/>
      <c r="E798" s="5"/>
      <c r="F798" s="5"/>
      <c r="G798" s="5"/>
      <c r="H798" s="5"/>
      <c r="I798" s="5"/>
      <c r="J798" s="5"/>
    </row>
    <row r="799" spans="1:10">
      <c r="A799" s="5"/>
      <c r="B799" s="5"/>
      <c r="C799" s="5"/>
      <c r="D799" s="5"/>
      <c r="E799" s="5"/>
      <c r="F799" s="5"/>
      <c r="G799" s="5"/>
      <c r="H799" s="5"/>
      <c r="I799" s="5"/>
      <c r="J799" s="5"/>
    </row>
    <row r="800" spans="1:10">
      <c r="A800" s="5"/>
      <c r="B800" s="5"/>
      <c r="C800" s="5"/>
      <c r="D800" s="5"/>
      <c r="E800" s="5"/>
      <c r="F800" s="5"/>
      <c r="G800" s="5"/>
      <c r="H800" s="5"/>
      <c r="I800" s="5"/>
      <c r="J800" s="5"/>
    </row>
    <row r="801" spans="1:10">
      <c r="A801" s="5"/>
      <c r="B801" s="5"/>
      <c r="C801" s="5"/>
      <c r="D801" s="5"/>
      <c r="E801" s="5"/>
      <c r="F801" s="5"/>
      <c r="G801" s="5"/>
      <c r="H801" s="5"/>
      <c r="I801" s="5"/>
    </row>
    <row r="802" spans="1:10">
      <c r="A802" s="5"/>
      <c r="B802" s="5"/>
      <c r="C802" s="5"/>
      <c r="D802" s="5"/>
      <c r="E802" s="5"/>
      <c r="F802" s="5"/>
      <c r="G802" s="5"/>
      <c r="H802" s="5"/>
      <c r="I802" s="5"/>
    </row>
    <row r="803" spans="1:10">
      <c r="A803" s="5"/>
      <c r="B803" s="5"/>
      <c r="C803" s="5"/>
      <c r="D803" s="5"/>
      <c r="E803" s="5"/>
      <c r="F803" s="5"/>
      <c r="G803" s="5"/>
      <c r="H803" s="5"/>
      <c r="I803" s="5"/>
    </row>
    <row r="804" spans="1:10">
      <c r="A804" s="5"/>
      <c r="B804" s="5"/>
      <c r="C804" s="5"/>
      <c r="D804" s="5"/>
      <c r="E804" s="5"/>
      <c r="F804" s="5"/>
      <c r="G804" s="5"/>
      <c r="H804" s="5"/>
      <c r="I804" s="5"/>
    </row>
    <row r="805" spans="1:10">
      <c r="A805" s="5"/>
      <c r="B805" s="5"/>
      <c r="C805" s="5"/>
      <c r="D805" s="5"/>
      <c r="E805" s="5"/>
      <c r="F805" s="5"/>
      <c r="G805" s="5"/>
      <c r="H805" s="5"/>
      <c r="I805" s="5"/>
      <c r="J805" s="5"/>
    </row>
    <row r="806" spans="1:10">
      <c r="A806" s="5"/>
      <c r="B806" s="5"/>
      <c r="C806" s="5"/>
      <c r="D806" s="5"/>
      <c r="E806" s="5"/>
      <c r="F806" s="5"/>
      <c r="G806" s="5"/>
      <c r="H806" s="5"/>
      <c r="I806" s="5"/>
      <c r="J806" s="5"/>
    </row>
    <row r="807" spans="1:10">
      <c r="A807" s="5"/>
      <c r="B807" s="5"/>
      <c r="C807" s="5"/>
      <c r="D807" s="5"/>
      <c r="E807" s="5"/>
      <c r="F807" s="5"/>
      <c r="G807" s="5"/>
      <c r="H807" s="5"/>
      <c r="I807" s="5"/>
      <c r="J807" s="5"/>
    </row>
    <row r="808" spans="1:10">
      <c r="A808" s="5"/>
      <c r="B808" s="5"/>
      <c r="C808" s="5"/>
      <c r="D808" s="5"/>
      <c r="E808" s="5"/>
      <c r="F808" s="5"/>
      <c r="G808" s="5"/>
      <c r="H808" s="5"/>
      <c r="I808" s="5"/>
      <c r="J808" s="5"/>
    </row>
    <row r="809" spans="1:10">
      <c r="A809" s="5"/>
      <c r="B809" s="5"/>
      <c r="C809" s="5"/>
      <c r="D809" s="5"/>
      <c r="E809" s="5"/>
      <c r="F809" s="5"/>
      <c r="G809" s="5"/>
      <c r="H809" s="5"/>
      <c r="I809" s="5"/>
      <c r="J809" s="5"/>
    </row>
    <row r="810" spans="1:10">
      <c r="A810" s="17"/>
      <c r="C810" s="5"/>
      <c r="D810" s="5"/>
      <c r="E810" s="5"/>
      <c r="F810" s="5"/>
      <c r="G810" s="5"/>
      <c r="H810" s="5"/>
      <c r="I810" s="5"/>
      <c r="J810" s="5"/>
    </row>
    <row r="811" spans="1:10">
      <c r="A811" s="17"/>
      <c r="C811" s="5"/>
      <c r="D811" s="5"/>
      <c r="E811" s="5"/>
      <c r="F811" s="5"/>
      <c r="G811" s="5"/>
      <c r="H811" s="5"/>
      <c r="I811" s="5"/>
      <c r="J811" s="5"/>
    </row>
    <row r="812" spans="1:10">
      <c r="A812" s="17"/>
      <c r="C812" s="5"/>
      <c r="D812" s="5"/>
      <c r="E812" s="5"/>
      <c r="F812" s="5"/>
      <c r="G812" s="5"/>
      <c r="H812" s="5"/>
      <c r="I812" s="5"/>
      <c r="J812" s="5"/>
    </row>
    <row r="813" spans="1:10">
      <c r="A813" s="17"/>
      <c r="C813" s="5"/>
      <c r="D813" s="5"/>
      <c r="E813" s="5"/>
      <c r="F813" s="5"/>
      <c r="G813" s="5"/>
      <c r="H813" s="5"/>
      <c r="I813" s="5"/>
      <c r="J813" s="5"/>
    </row>
    <row r="814" spans="1:10">
      <c r="A814" s="17"/>
      <c r="C814" s="5"/>
      <c r="D814" s="5"/>
      <c r="E814" s="5"/>
      <c r="F814" s="5"/>
      <c r="G814" s="5"/>
      <c r="H814" s="5"/>
      <c r="I814" s="5"/>
      <c r="J814" s="5"/>
    </row>
    <row r="815" spans="1:10">
      <c r="A815" s="17"/>
      <c r="C815" s="5"/>
      <c r="D815" s="5"/>
      <c r="E815" s="5"/>
      <c r="F815" s="5"/>
      <c r="G815" s="5"/>
      <c r="H815" s="5"/>
      <c r="I815" s="5"/>
      <c r="J815" s="5"/>
    </row>
    <row r="816" spans="1:10">
      <c r="A816" s="17"/>
      <c r="B816" s="5"/>
      <c r="C816" s="5"/>
      <c r="D816" s="5"/>
      <c r="E816" s="5"/>
      <c r="F816" s="5"/>
      <c r="G816" s="5"/>
      <c r="H816" s="5"/>
      <c r="I816" s="5"/>
      <c r="J816" s="5"/>
    </row>
    <row r="817" spans="1:10">
      <c r="A817" s="17"/>
      <c r="C817" s="5"/>
      <c r="D817" s="5"/>
      <c r="E817" s="5"/>
      <c r="F817" s="5"/>
      <c r="G817" s="5"/>
      <c r="H817" s="5"/>
      <c r="I817" s="5"/>
      <c r="J817" s="5"/>
    </row>
    <row r="818" spans="1:10">
      <c r="A818" s="17"/>
      <c r="C818" s="5"/>
      <c r="D818" s="5"/>
      <c r="E818" s="5"/>
      <c r="F818" s="5"/>
      <c r="G818" s="5"/>
      <c r="H818" s="5"/>
      <c r="I818" s="5"/>
      <c r="J818" s="5"/>
    </row>
    <row r="819" spans="1:10">
      <c r="A819" s="17"/>
      <c r="C819" s="5"/>
      <c r="D819" s="5"/>
      <c r="E819" s="5"/>
      <c r="F819" s="5"/>
      <c r="G819" s="5"/>
      <c r="H819" s="5"/>
      <c r="I819" s="5"/>
      <c r="J819" s="5"/>
    </row>
    <row r="820" spans="1:10">
      <c r="A820" s="17"/>
      <c r="C820" s="5"/>
      <c r="D820" s="5"/>
      <c r="E820" s="5"/>
      <c r="F820" s="5"/>
      <c r="G820" s="5"/>
      <c r="H820" s="5"/>
      <c r="I820" s="5"/>
      <c r="J820" s="5"/>
    </row>
    <row r="825" spans="1:10">
      <c r="A825" s="9"/>
    </row>
    <row r="826" spans="1:10">
      <c r="A826" s="5"/>
      <c r="B826" s="5"/>
      <c r="C826" s="5"/>
      <c r="D826" s="5"/>
      <c r="E826" s="5"/>
      <c r="F826" s="5"/>
      <c r="G826" s="5"/>
      <c r="H826" s="5"/>
      <c r="I826" s="5"/>
      <c r="J826" s="5"/>
    </row>
    <row r="827" spans="1:10">
      <c r="A827" s="5"/>
      <c r="B827" s="5"/>
      <c r="C827" s="5"/>
      <c r="D827" s="5"/>
      <c r="E827" s="5"/>
      <c r="F827" s="5"/>
      <c r="G827" s="5"/>
      <c r="H827" s="5"/>
      <c r="I827" s="5"/>
      <c r="J827" s="5"/>
    </row>
    <row r="828" spans="1:10">
      <c r="A828" s="5"/>
      <c r="B828" s="5"/>
      <c r="C828" s="5"/>
      <c r="D828" s="5"/>
      <c r="E828" s="5"/>
      <c r="F828" s="5"/>
      <c r="G828" s="5"/>
      <c r="H828" s="5"/>
      <c r="I828" s="5"/>
      <c r="J828" s="5"/>
    </row>
    <row r="829" spans="1:10">
      <c r="A829" s="5"/>
      <c r="B829" s="5"/>
      <c r="C829" s="5"/>
      <c r="D829" s="5"/>
      <c r="E829" s="5"/>
      <c r="F829" s="5"/>
      <c r="G829" s="5"/>
      <c r="H829" s="5"/>
      <c r="I829" s="5"/>
      <c r="J829" s="5"/>
    </row>
    <row r="830" spans="1:10">
      <c r="A830" s="5"/>
      <c r="B830" s="5"/>
      <c r="C830" s="5"/>
      <c r="D830" s="5"/>
      <c r="E830" s="5"/>
      <c r="F830" s="5"/>
      <c r="G830" s="5"/>
      <c r="H830" s="5"/>
      <c r="I830" s="5"/>
      <c r="J830" s="5"/>
    </row>
    <row r="831" spans="1:10">
      <c r="A831" s="5"/>
      <c r="B831" s="5"/>
      <c r="C831" s="5"/>
      <c r="D831" s="5"/>
      <c r="E831" s="5"/>
      <c r="F831" s="5"/>
      <c r="G831" s="5"/>
      <c r="H831" s="5"/>
      <c r="I831" s="5"/>
      <c r="J831" s="5"/>
    </row>
    <row r="832" spans="1:10">
      <c r="A832" s="5"/>
      <c r="B832" s="5"/>
      <c r="C832" s="5"/>
      <c r="D832" s="5"/>
      <c r="E832" s="5"/>
      <c r="F832" s="5"/>
      <c r="G832" s="5"/>
      <c r="H832" s="5"/>
      <c r="I832" s="5"/>
      <c r="J832" s="5"/>
    </row>
    <row r="833" spans="1:10">
      <c r="A833" s="5"/>
      <c r="B833" s="5"/>
      <c r="C833" s="5"/>
      <c r="D833" s="5"/>
      <c r="E833" s="5"/>
      <c r="F833" s="5"/>
      <c r="G833" s="5"/>
      <c r="H833" s="5"/>
      <c r="I833" s="5"/>
      <c r="J833" s="5"/>
    </row>
    <row r="834" spans="1:10">
      <c r="A834" s="5"/>
      <c r="B834" s="5"/>
      <c r="C834" s="5"/>
      <c r="D834" s="5"/>
      <c r="E834" s="5"/>
      <c r="F834" s="5"/>
      <c r="G834" s="5"/>
      <c r="H834" s="5"/>
      <c r="I834" s="5"/>
      <c r="J834" s="5"/>
    </row>
    <row r="835" spans="1:10">
      <c r="A835" s="5"/>
      <c r="B835" s="5"/>
      <c r="C835" s="5"/>
      <c r="D835" s="5"/>
      <c r="E835" s="5"/>
      <c r="F835" s="5"/>
      <c r="G835" s="5"/>
      <c r="H835" s="5"/>
      <c r="I835" s="5"/>
    </row>
    <row r="836" spans="1:10">
      <c r="A836" s="5"/>
      <c r="B836" s="5"/>
      <c r="C836" s="5"/>
      <c r="D836" s="5"/>
      <c r="E836" s="5"/>
      <c r="F836" s="5"/>
      <c r="G836" s="5"/>
      <c r="H836" s="5"/>
      <c r="I836" s="5"/>
    </row>
    <row r="837" spans="1:10">
      <c r="A837" s="5"/>
      <c r="B837" s="5"/>
      <c r="C837" s="5"/>
      <c r="D837" s="5"/>
      <c r="E837" s="5"/>
      <c r="F837" s="5"/>
      <c r="G837" s="5"/>
      <c r="H837" s="5"/>
      <c r="I837" s="5"/>
    </row>
    <row r="838" spans="1:10">
      <c r="A838" s="5"/>
      <c r="B838" s="5"/>
      <c r="C838" s="5"/>
      <c r="D838" s="5"/>
      <c r="E838" s="5"/>
      <c r="F838" s="5"/>
      <c r="G838" s="5"/>
      <c r="H838" s="5"/>
      <c r="I838" s="5"/>
    </row>
    <row r="839" spans="1:10">
      <c r="A839" s="5"/>
      <c r="B839" s="5"/>
      <c r="C839" s="5"/>
      <c r="D839" s="5"/>
      <c r="E839" s="5"/>
      <c r="F839" s="5"/>
      <c r="G839" s="5"/>
      <c r="H839" s="5"/>
      <c r="I839" s="5"/>
    </row>
    <row r="840" spans="1:10">
      <c r="A840" s="5"/>
      <c r="B840" s="5"/>
      <c r="C840" s="5"/>
      <c r="D840" s="5"/>
      <c r="E840" s="5"/>
      <c r="F840" s="5"/>
      <c r="G840" s="5"/>
      <c r="H840" s="5"/>
      <c r="I840" s="5"/>
      <c r="J840" s="5"/>
    </row>
    <row r="841" spans="1:10">
      <c r="A841" s="5"/>
      <c r="B841" s="5"/>
      <c r="C841" s="5"/>
      <c r="D841" s="5"/>
      <c r="E841" s="5"/>
      <c r="F841" s="5"/>
      <c r="G841" s="5"/>
      <c r="H841" s="5"/>
      <c r="I841" s="5"/>
      <c r="J841" s="5"/>
    </row>
    <row r="842" spans="1:10">
      <c r="A842" s="5"/>
      <c r="B842" s="5"/>
      <c r="C842" s="5"/>
      <c r="D842" s="5"/>
      <c r="E842" s="5"/>
      <c r="F842" s="5"/>
      <c r="G842" s="5"/>
      <c r="H842" s="5"/>
      <c r="I842" s="5"/>
      <c r="J842" s="5"/>
    </row>
    <row r="843" spans="1:10">
      <c r="A843" s="5"/>
      <c r="B843" s="5"/>
      <c r="C843" s="5"/>
      <c r="D843" s="5"/>
      <c r="E843" s="5"/>
      <c r="F843" s="5"/>
      <c r="G843" s="5"/>
      <c r="H843" s="5"/>
      <c r="I843" s="5"/>
      <c r="J843" s="5"/>
    </row>
    <row r="844" spans="1:10">
      <c r="A844" s="5"/>
      <c r="B844" s="5"/>
      <c r="C844" s="5"/>
      <c r="D844" s="5"/>
      <c r="E844" s="5"/>
      <c r="F844" s="5"/>
      <c r="G844" s="5"/>
      <c r="H844" s="5"/>
      <c r="I844" s="5"/>
      <c r="J844" s="5"/>
    </row>
    <row r="845" spans="1:10">
      <c r="A845" s="9"/>
    </row>
    <row r="846" spans="1:10">
      <c r="A846" s="9"/>
    </row>
    <row r="847" spans="1:10">
      <c r="A847" s="9"/>
    </row>
    <row r="848" spans="1:10">
      <c r="A848" s="9"/>
    </row>
    <row r="851" spans="1:10">
      <c r="A851" s="9"/>
    </row>
    <row r="852" spans="1:10">
      <c r="A852" s="9"/>
    </row>
    <row r="853" spans="1:10">
      <c r="A853" s="5"/>
      <c r="B853" s="5"/>
      <c r="C853" s="5"/>
      <c r="D853" s="5"/>
      <c r="E853" s="5"/>
      <c r="F853" s="5"/>
      <c r="G853" s="5"/>
      <c r="H853" s="5"/>
      <c r="I853" s="5"/>
      <c r="J853" s="5"/>
    </row>
    <row r="854" spans="1:10">
      <c r="A854" s="9"/>
    </row>
    <row r="855" spans="1:10">
      <c r="A855" s="9"/>
    </row>
    <row r="856" spans="1:10">
      <c r="A856" s="9"/>
    </row>
    <row r="857" spans="1:10">
      <c r="A857" s="9"/>
    </row>
    <row r="858" spans="1:10">
      <c r="A858" s="17"/>
      <c r="B858" s="2"/>
    </row>
    <row r="862" spans="1:10">
      <c r="A862" s="9"/>
    </row>
    <row r="863" spans="1:10">
      <c r="A863" s="5"/>
      <c r="B863" s="5"/>
      <c r="C863" s="5"/>
      <c r="D863" s="5"/>
      <c r="E863" s="5"/>
      <c r="F863" s="5"/>
      <c r="G863" s="5"/>
      <c r="H863" s="5"/>
      <c r="I863" s="5"/>
      <c r="J863" s="5"/>
    </row>
    <row r="864" spans="1:10">
      <c r="A864" s="5"/>
      <c r="B864" s="5"/>
      <c r="C864" s="5"/>
      <c r="D864" s="5"/>
      <c r="E864" s="5"/>
      <c r="F864" s="5"/>
      <c r="G864" s="5"/>
      <c r="H864" s="5"/>
      <c r="I864" s="5"/>
      <c r="J864" s="5"/>
    </row>
    <row r="865" spans="1:10">
      <c r="A865" s="5"/>
      <c r="B865" s="5"/>
      <c r="C865" s="5"/>
      <c r="D865" s="5"/>
      <c r="E865" s="5"/>
      <c r="F865" s="5"/>
      <c r="G865" s="5"/>
      <c r="H865" s="5"/>
      <c r="I865" s="5"/>
      <c r="J865" s="5"/>
    </row>
    <row r="866" spans="1:10">
      <c r="A866" s="5"/>
      <c r="B866" s="5"/>
      <c r="C866" s="5"/>
      <c r="D866" s="5"/>
      <c r="E866" s="5"/>
      <c r="F866" s="5"/>
      <c r="G866" s="5"/>
      <c r="H866" s="5"/>
      <c r="I866" s="5"/>
      <c r="J866" s="5"/>
    </row>
    <row r="867" spans="1:10">
      <c r="A867" s="5"/>
      <c r="B867" s="5"/>
      <c r="C867" s="5"/>
      <c r="D867" s="5"/>
      <c r="E867" s="5"/>
      <c r="F867" s="5"/>
      <c r="G867" s="5"/>
      <c r="H867" s="5"/>
      <c r="I867" s="5"/>
      <c r="J867" s="5"/>
    </row>
    <row r="868" spans="1:10">
      <c r="A868" s="5"/>
      <c r="B868" s="5"/>
      <c r="C868" s="5"/>
      <c r="D868" s="5"/>
      <c r="E868" s="5"/>
      <c r="F868" s="5"/>
      <c r="G868" s="5"/>
      <c r="H868" s="5"/>
      <c r="I868" s="5"/>
      <c r="J868" s="5"/>
    </row>
    <row r="869" spans="1:10">
      <c r="A869" s="5"/>
      <c r="B869" s="5"/>
      <c r="C869" s="5"/>
      <c r="D869" s="5"/>
      <c r="E869" s="5"/>
      <c r="F869" s="5"/>
      <c r="G869" s="5"/>
      <c r="H869" s="5"/>
      <c r="I869" s="5"/>
      <c r="J869" s="5"/>
    </row>
    <row r="870" spans="1:10">
      <c r="A870" s="5"/>
      <c r="B870" s="5"/>
      <c r="C870" s="5"/>
      <c r="D870" s="5"/>
      <c r="E870" s="5"/>
      <c r="F870" s="5"/>
      <c r="G870" s="5"/>
      <c r="H870" s="5"/>
      <c r="I870" s="5"/>
    </row>
    <row r="871" spans="1:10">
      <c r="A871" s="5"/>
      <c r="B871" s="5"/>
      <c r="C871" s="5"/>
      <c r="D871" s="5"/>
      <c r="E871" s="5"/>
      <c r="F871" s="5"/>
      <c r="G871" s="5"/>
      <c r="H871" s="5"/>
      <c r="I871" s="5"/>
    </row>
    <row r="872" spans="1:10">
      <c r="A872" s="5"/>
      <c r="B872" s="5"/>
      <c r="C872" s="5"/>
      <c r="D872" s="5"/>
      <c r="E872" s="5"/>
      <c r="F872" s="5"/>
      <c r="G872" s="5"/>
      <c r="H872" s="5"/>
      <c r="I872" s="5"/>
    </row>
    <row r="873" spans="1:10">
      <c r="A873" s="5"/>
      <c r="B873" s="5"/>
      <c r="C873" s="5"/>
      <c r="D873" s="5"/>
      <c r="E873" s="5"/>
      <c r="F873" s="5"/>
      <c r="G873" s="5"/>
      <c r="H873" s="5"/>
      <c r="I873" s="5"/>
    </row>
    <row r="874" spans="1:10">
      <c r="A874" s="5"/>
      <c r="B874" s="5"/>
      <c r="C874" s="5"/>
      <c r="D874" s="5"/>
      <c r="E874" s="5"/>
      <c r="F874" s="5"/>
      <c r="G874" s="5"/>
      <c r="H874" s="5"/>
      <c r="I874" s="5"/>
      <c r="J874" s="5"/>
    </row>
    <row r="875" spans="1:10">
      <c r="A875" s="5"/>
      <c r="B875" s="5"/>
      <c r="C875" s="5"/>
      <c r="D875" s="5"/>
      <c r="E875" s="5"/>
      <c r="F875" s="5"/>
      <c r="G875" s="5"/>
      <c r="H875" s="5"/>
      <c r="I875" s="5"/>
      <c r="J875" s="5"/>
    </row>
    <row r="876" spans="1:10">
      <c r="A876" s="5"/>
      <c r="B876" s="5"/>
      <c r="C876" s="5"/>
      <c r="D876" s="5"/>
      <c r="E876" s="5"/>
      <c r="F876" s="5"/>
      <c r="G876" s="5"/>
      <c r="H876" s="5"/>
      <c r="I876" s="5"/>
      <c r="J876" s="5"/>
    </row>
    <row r="877" spans="1:10">
      <c r="A877" s="5"/>
      <c r="B877" s="5"/>
      <c r="C877" s="5"/>
      <c r="D877" s="5"/>
      <c r="E877" s="5"/>
      <c r="F877" s="5"/>
      <c r="G877" s="5"/>
      <c r="H877" s="5"/>
      <c r="I877" s="5"/>
      <c r="J877" s="5"/>
    </row>
    <row r="878" spans="1:10">
      <c r="A878" s="5"/>
      <c r="B878" s="5"/>
      <c r="C878" s="5"/>
      <c r="D878" s="5"/>
      <c r="E878" s="5"/>
      <c r="F878" s="5"/>
      <c r="G878" s="5"/>
      <c r="H878" s="5"/>
      <c r="I878" s="5"/>
      <c r="J878" s="5"/>
    </row>
    <row r="879" spans="1:10">
      <c r="A879" s="9"/>
    </row>
    <row r="880" spans="1:10">
      <c r="A880" s="9"/>
    </row>
    <row r="881" spans="1:10">
      <c r="A881" s="9"/>
    </row>
    <row r="882" spans="1:10">
      <c r="A882" s="9"/>
    </row>
    <row r="885" spans="1:10">
      <c r="A885" s="9"/>
    </row>
    <row r="886" spans="1:10">
      <c r="A886" s="9"/>
    </row>
    <row r="887" spans="1:10">
      <c r="A887" s="5"/>
      <c r="B887" s="5"/>
      <c r="C887" s="5"/>
      <c r="D887" s="5"/>
      <c r="E887" s="5"/>
      <c r="F887" s="5"/>
      <c r="G887" s="5"/>
      <c r="H887" s="5"/>
      <c r="I887" s="5"/>
      <c r="J887" s="5"/>
    </row>
    <row r="888" spans="1:10">
      <c r="A888" s="9"/>
    </row>
    <row r="889" spans="1:10">
      <c r="A889" s="9"/>
    </row>
    <row r="890" spans="1:10">
      <c r="A890" s="9"/>
    </row>
    <row r="891" spans="1:10">
      <c r="A891" s="9"/>
    </row>
    <row r="892" spans="1:10">
      <c r="A892" s="17"/>
      <c r="B892" s="2"/>
    </row>
    <row r="898" spans="1:10">
      <c r="A898" s="9"/>
    </row>
    <row r="899" spans="1:10">
      <c r="A899" s="5"/>
      <c r="B899" s="5"/>
      <c r="C899" s="5"/>
      <c r="D899" s="5"/>
      <c r="E899" s="5"/>
      <c r="F899" s="5"/>
      <c r="G899" s="5"/>
      <c r="H899" s="5"/>
      <c r="I899" s="5"/>
      <c r="J899" s="5"/>
    </row>
    <row r="900" spans="1:10">
      <c r="A900" s="5"/>
      <c r="B900" s="5"/>
      <c r="C900" s="5"/>
      <c r="D900" s="5"/>
      <c r="E900" s="5"/>
      <c r="F900" s="5"/>
      <c r="G900" s="5"/>
      <c r="H900" s="5"/>
      <c r="I900" s="5"/>
      <c r="J900" s="5"/>
    </row>
    <row r="901" spans="1:10">
      <c r="A901" s="5"/>
      <c r="B901" s="5"/>
      <c r="C901" s="5"/>
      <c r="D901" s="5"/>
      <c r="E901" s="5"/>
      <c r="F901" s="5"/>
      <c r="G901" s="5"/>
      <c r="H901" s="5"/>
      <c r="I901" s="5"/>
      <c r="J901" s="5"/>
    </row>
    <row r="902" spans="1:10">
      <c r="A902" s="5"/>
      <c r="B902" s="5"/>
      <c r="C902" s="5"/>
      <c r="D902" s="5"/>
      <c r="E902" s="5"/>
      <c r="F902" s="5"/>
      <c r="G902" s="5"/>
      <c r="H902" s="5"/>
      <c r="I902" s="5"/>
      <c r="J902" s="5"/>
    </row>
    <row r="903" spans="1:10">
      <c r="A903" s="5"/>
      <c r="B903" s="5"/>
      <c r="C903" s="5"/>
      <c r="D903" s="5"/>
      <c r="E903" s="5"/>
      <c r="F903" s="5"/>
      <c r="G903" s="5"/>
      <c r="H903" s="5"/>
      <c r="I903" s="5"/>
      <c r="J903" s="5"/>
    </row>
    <row r="904" spans="1:10">
      <c r="A904" s="5"/>
      <c r="B904" s="5"/>
      <c r="C904" s="5"/>
      <c r="D904" s="5"/>
      <c r="E904" s="5"/>
      <c r="F904" s="5"/>
      <c r="G904" s="5"/>
      <c r="H904" s="5"/>
      <c r="I904" s="5"/>
      <c r="J904" s="5"/>
    </row>
    <row r="905" spans="1:10">
      <c r="A905" s="5"/>
      <c r="B905" s="5"/>
      <c r="C905" s="5"/>
      <c r="D905" s="5"/>
      <c r="E905" s="5"/>
      <c r="F905" s="5"/>
      <c r="G905" s="5"/>
      <c r="H905" s="5"/>
      <c r="I905" s="5"/>
      <c r="J905" s="5"/>
    </row>
    <row r="906" spans="1:10">
      <c r="A906" s="5"/>
      <c r="B906" s="5"/>
      <c r="C906" s="5"/>
      <c r="D906" s="5"/>
      <c r="E906" s="5"/>
      <c r="F906" s="5"/>
      <c r="G906" s="5"/>
      <c r="H906" s="5"/>
      <c r="I906" s="5"/>
      <c r="J906" s="5"/>
    </row>
    <row r="907" spans="1:10">
      <c r="A907" s="5"/>
      <c r="B907" s="5"/>
      <c r="C907" s="5"/>
      <c r="D907" s="5"/>
      <c r="E907" s="5"/>
      <c r="F907" s="5"/>
      <c r="G907" s="5"/>
      <c r="H907" s="5"/>
      <c r="I907" s="5"/>
      <c r="J907" s="5"/>
    </row>
    <row r="908" spans="1:10">
      <c r="A908" s="5"/>
      <c r="B908" s="5"/>
      <c r="C908" s="5"/>
      <c r="D908" s="5"/>
      <c r="E908" s="5"/>
      <c r="F908" s="5"/>
      <c r="G908" s="5"/>
      <c r="H908" s="5"/>
      <c r="I908" s="5"/>
    </row>
    <row r="909" spans="1:10">
      <c r="A909" s="5"/>
      <c r="B909" s="5"/>
      <c r="C909" s="5"/>
      <c r="D909" s="5"/>
      <c r="E909" s="5"/>
      <c r="F909" s="5"/>
      <c r="G909" s="5"/>
      <c r="H909" s="5"/>
      <c r="I909" s="5"/>
    </row>
    <row r="910" spans="1:10">
      <c r="A910" s="5"/>
      <c r="B910" s="5"/>
      <c r="C910" s="5"/>
      <c r="D910" s="5"/>
      <c r="E910" s="5"/>
      <c r="F910" s="5"/>
      <c r="G910" s="5"/>
      <c r="H910" s="5"/>
      <c r="I910" s="5"/>
    </row>
    <row r="911" spans="1:10">
      <c r="A911" s="5"/>
      <c r="B911" s="5"/>
      <c r="C911" s="5"/>
      <c r="D911" s="5"/>
      <c r="E911" s="5"/>
      <c r="F911" s="5"/>
      <c r="G911" s="5"/>
      <c r="H911" s="5"/>
      <c r="I911" s="5"/>
    </row>
    <row r="912" spans="1:10">
      <c r="A912" s="5"/>
      <c r="B912" s="5"/>
      <c r="C912" s="5"/>
      <c r="D912" s="5"/>
      <c r="E912" s="5"/>
      <c r="F912" s="5"/>
      <c r="G912" s="5"/>
      <c r="H912" s="5"/>
      <c r="I912" s="5"/>
    </row>
    <row r="913" spans="1:30">
      <c r="A913" s="5"/>
      <c r="B913" s="5"/>
      <c r="C913" s="5"/>
      <c r="D913" s="5"/>
      <c r="E913" s="5"/>
      <c r="F913" s="5"/>
      <c r="G913" s="5"/>
      <c r="H913" s="5"/>
      <c r="I913" s="5"/>
      <c r="J913" s="5"/>
    </row>
    <row r="914" spans="1:30">
      <c r="A914" s="5"/>
      <c r="B914" s="5"/>
      <c r="C914" s="5"/>
      <c r="D914" s="5"/>
      <c r="E914" s="5"/>
      <c r="F914" s="5"/>
      <c r="G914" s="5"/>
      <c r="H914" s="5"/>
      <c r="I914" s="5"/>
      <c r="J914" s="5"/>
    </row>
    <row r="915" spans="1:30">
      <c r="A915" s="5"/>
      <c r="B915" s="5"/>
      <c r="C915" s="5"/>
      <c r="D915" s="5"/>
      <c r="E915" s="5"/>
      <c r="F915" s="5"/>
      <c r="G915" s="5"/>
      <c r="H915" s="5"/>
      <c r="I915" s="5"/>
      <c r="J915" s="5"/>
    </row>
    <row r="916" spans="1:30">
      <c r="A916" s="5"/>
      <c r="B916" s="5"/>
      <c r="C916" s="5"/>
      <c r="D916" s="5"/>
      <c r="E916" s="5"/>
      <c r="F916" s="5"/>
      <c r="G916" s="5"/>
      <c r="H916" s="5"/>
      <c r="I916" s="5"/>
      <c r="J916" s="5"/>
    </row>
    <row r="917" spans="1:30">
      <c r="A917" s="5"/>
      <c r="B917" s="5"/>
      <c r="C917" s="5"/>
      <c r="D917" s="5"/>
      <c r="E917" s="5"/>
      <c r="F917" s="5"/>
      <c r="G917" s="5"/>
      <c r="H917" s="5"/>
      <c r="I917" s="5"/>
      <c r="J917" s="5"/>
    </row>
    <row r="918" spans="1:30">
      <c r="A918" s="9"/>
    </row>
    <row r="919" spans="1:30">
      <c r="A919" s="9"/>
    </row>
    <row r="920" spans="1:30">
      <c r="A920" s="9"/>
    </row>
    <row r="921" spans="1:30">
      <c r="A921" s="9"/>
    </row>
    <row r="924" spans="1:30" s="33" customFormat="1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/>
      <c r="AD924"/>
    </row>
    <row r="925" spans="1:30" s="33" customFormat="1">
      <c r="A925" s="9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</row>
    <row r="926" spans="1:30" s="33" customFormat="1">
      <c r="A926" s="9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</row>
    <row r="927" spans="1:30" s="33" customForma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/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/>
      <c r="AD927"/>
    </row>
    <row r="928" spans="1:30" s="33" customFormat="1">
      <c r="A928" s="9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/>
      <c r="AD928"/>
    </row>
    <row r="929" spans="1:13">
      <c r="A929" s="9"/>
      <c r="M929" t="s">
        <v>477</v>
      </c>
    </row>
    <row r="930" spans="1:13">
      <c r="A930" s="9"/>
      <c r="M930" t="s">
        <v>477</v>
      </c>
    </row>
    <row r="931" spans="1:13">
      <c r="A931" s="9"/>
      <c r="M931" t="s">
        <v>477</v>
      </c>
    </row>
    <row r="932" spans="1:13">
      <c r="A932" s="9"/>
      <c r="M932" t="s">
        <v>477</v>
      </c>
    </row>
    <row r="933" spans="1:13">
      <c r="A933" s="9"/>
      <c r="M933" t="s">
        <v>477</v>
      </c>
    </row>
    <row r="934" spans="1:13">
      <c r="A934" s="9"/>
      <c r="M934" t="s">
        <v>477</v>
      </c>
    </row>
    <row r="935" spans="1:13">
      <c r="A935" s="9"/>
      <c r="M935" t="s">
        <v>477</v>
      </c>
    </row>
    <row r="936" spans="1:13">
      <c r="A936" s="9"/>
      <c r="M936" t="s">
        <v>477</v>
      </c>
    </row>
    <row r="937" spans="1:13">
      <c r="A937" s="9"/>
      <c r="M937" t="s">
        <v>477</v>
      </c>
    </row>
    <row r="938" spans="1:13">
      <c r="A938" s="9"/>
      <c r="M938" t="s">
        <v>477</v>
      </c>
    </row>
    <row r="939" spans="1:13">
      <c r="A939" s="9"/>
      <c r="M939" t="s">
        <v>477</v>
      </c>
    </row>
    <row r="940" spans="1:13">
      <c r="A940" s="9"/>
      <c r="M940" t="s">
        <v>477</v>
      </c>
    </row>
    <row r="941" spans="1:13">
      <c r="A941" s="9"/>
      <c r="M941" t="s">
        <v>477</v>
      </c>
    </row>
    <row r="942" spans="1:13">
      <c r="M942" t="s">
        <v>477</v>
      </c>
    </row>
    <row r="943" spans="1:13">
      <c r="M943" t="s">
        <v>477</v>
      </c>
    </row>
    <row r="944" spans="1:13">
      <c r="M944" t="s">
        <v>477</v>
      </c>
    </row>
    <row r="945" spans="1:13">
      <c r="M945" t="s">
        <v>477</v>
      </c>
    </row>
    <row r="946" spans="1:13">
      <c r="A946" s="9"/>
      <c r="M946" t="s">
        <v>477</v>
      </c>
    </row>
    <row r="947" spans="1:13">
      <c r="A947" s="5"/>
      <c r="B947" s="5"/>
      <c r="C947" s="5"/>
      <c r="D947" s="5"/>
      <c r="E947" s="5"/>
      <c r="F947" s="5"/>
      <c r="G947" s="5"/>
      <c r="H947" s="5"/>
      <c r="I947" s="5"/>
      <c r="J947" s="5"/>
      <c r="M947" t="s">
        <v>477</v>
      </c>
    </row>
    <row r="948" spans="1:13">
      <c r="A948" s="5"/>
      <c r="B948" s="5"/>
      <c r="C948" s="5"/>
      <c r="D948" s="5"/>
      <c r="E948" s="5"/>
      <c r="F948" s="5"/>
      <c r="G948" s="5"/>
      <c r="H948" s="5"/>
      <c r="I948" s="5"/>
      <c r="J948" s="5"/>
      <c r="M948" t="s">
        <v>477</v>
      </c>
    </row>
    <row r="949" spans="1:13">
      <c r="A949" s="5"/>
      <c r="B949" s="5"/>
      <c r="C949" s="5"/>
      <c r="D949" s="5"/>
      <c r="E949" s="5"/>
      <c r="F949" s="5"/>
      <c r="G949" s="5"/>
      <c r="H949" s="5"/>
      <c r="I949" s="5"/>
      <c r="J949" s="5"/>
      <c r="M949" t="s">
        <v>477</v>
      </c>
    </row>
    <row r="950" spans="1:13">
      <c r="A950" s="5"/>
      <c r="B950" s="5"/>
      <c r="C950" s="5"/>
      <c r="D950" s="5"/>
      <c r="E950" s="5"/>
      <c r="F950" s="5"/>
      <c r="G950" s="5"/>
      <c r="H950" s="5"/>
      <c r="I950" s="5"/>
      <c r="J950" s="5"/>
      <c r="M950" t="s">
        <v>477</v>
      </c>
    </row>
    <row r="951" spans="1:13">
      <c r="A951" s="5"/>
      <c r="B951" s="5"/>
      <c r="C951" s="5"/>
      <c r="D951" s="5"/>
      <c r="E951" s="5"/>
      <c r="F951" s="5"/>
      <c r="G951" s="5"/>
      <c r="H951" s="5"/>
      <c r="I951" s="5"/>
      <c r="J951" s="5"/>
      <c r="M951" t="s">
        <v>477</v>
      </c>
    </row>
    <row r="952" spans="1:13">
      <c r="A952" s="5"/>
      <c r="B952" s="5"/>
      <c r="C952" s="5"/>
      <c r="D952" s="5"/>
      <c r="E952" s="5"/>
      <c r="F952" s="5"/>
      <c r="G952" s="5"/>
      <c r="H952" s="5"/>
      <c r="I952" s="5"/>
      <c r="J952" s="5"/>
      <c r="M952" t="s">
        <v>477</v>
      </c>
    </row>
    <row r="953" spans="1:13">
      <c r="A953" s="5"/>
      <c r="B953" s="5"/>
      <c r="C953" s="5"/>
      <c r="D953" s="5"/>
      <c r="E953" s="5"/>
      <c r="F953" s="5"/>
      <c r="G953" s="5"/>
      <c r="H953" s="5"/>
      <c r="I953" s="5"/>
      <c r="J953" s="5"/>
      <c r="M953" t="s">
        <v>477</v>
      </c>
    </row>
    <row r="954" spans="1:13">
      <c r="A954" s="5"/>
      <c r="B954" s="5"/>
      <c r="C954" s="5"/>
      <c r="D954" s="5"/>
      <c r="E954" s="5"/>
      <c r="F954" s="5"/>
      <c r="G954" s="5"/>
      <c r="H954" s="5"/>
      <c r="I954" s="5"/>
      <c r="J954" s="5"/>
      <c r="M954" t="s">
        <v>477</v>
      </c>
    </row>
    <row r="955" spans="1:13">
      <c r="A955" s="5"/>
      <c r="B955" s="5"/>
      <c r="C955" s="5"/>
      <c r="D955" s="5"/>
      <c r="E955" s="5"/>
      <c r="F955" s="5"/>
      <c r="G955" s="5"/>
      <c r="H955" s="5"/>
      <c r="I955" s="5"/>
      <c r="M955" t="s">
        <v>477</v>
      </c>
    </row>
    <row r="956" spans="1:13">
      <c r="A956" s="5"/>
      <c r="B956" s="5"/>
      <c r="C956" s="5"/>
      <c r="D956" s="5"/>
      <c r="E956" s="5"/>
      <c r="F956" s="5"/>
      <c r="G956" s="5"/>
      <c r="H956" s="5"/>
      <c r="I956" s="5"/>
      <c r="M956" t="s">
        <v>477</v>
      </c>
    </row>
    <row r="957" spans="1:13">
      <c r="A957" s="5"/>
      <c r="B957" s="5"/>
      <c r="C957" s="5"/>
      <c r="D957" s="5"/>
      <c r="E957" s="5"/>
      <c r="F957" s="5"/>
      <c r="G957" s="5"/>
      <c r="H957" s="5"/>
      <c r="I957" s="5"/>
      <c r="M957" t="s">
        <v>477</v>
      </c>
    </row>
    <row r="958" spans="1:13">
      <c r="A958" s="5"/>
      <c r="B958" s="5"/>
      <c r="C958" s="5"/>
      <c r="D958" s="5"/>
      <c r="E958" s="5"/>
      <c r="F958" s="5"/>
      <c r="G958" s="5"/>
      <c r="H958" s="5"/>
      <c r="I958" s="5"/>
      <c r="M958" t="s">
        <v>477</v>
      </c>
    </row>
    <row r="959" spans="1:13">
      <c r="A959" s="5"/>
      <c r="B959" s="5"/>
      <c r="C959" s="5"/>
      <c r="D959" s="5"/>
      <c r="E959" s="5"/>
      <c r="F959" s="5"/>
      <c r="G959" s="5"/>
      <c r="H959" s="5"/>
      <c r="I959" s="5"/>
      <c r="J959" s="5"/>
      <c r="M959" t="s">
        <v>477</v>
      </c>
    </row>
    <row r="960" spans="1:13">
      <c r="A960" s="5"/>
      <c r="B960" s="5"/>
      <c r="C960" s="5"/>
      <c r="D960" s="5"/>
      <c r="E960" s="5"/>
      <c r="F960" s="5"/>
      <c r="G960" s="5"/>
      <c r="H960" s="5"/>
      <c r="I960" s="5"/>
      <c r="J960" s="5"/>
      <c r="M960" t="s">
        <v>477</v>
      </c>
    </row>
    <row r="961" spans="1:13">
      <c r="A961" s="5"/>
      <c r="B961" s="5"/>
      <c r="C961" s="5"/>
      <c r="D961" s="5"/>
      <c r="E961" s="5"/>
      <c r="F961" s="5"/>
      <c r="G961" s="5"/>
      <c r="H961" s="5"/>
      <c r="I961" s="5"/>
      <c r="J961" s="5"/>
      <c r="M961" t="s">
        <v>477</v>
      </c>
    </row>
    <row r="962" spans="1:13">
      <c r="A962" s="5"/>
      <c r="B962" s="5"/>
      <c r="C962" s="5"/>
      <c r="D962" s="5"/>
      <c r="E962" s="5"/>
      <c r="F962" s="5"/>
      <c r="G962" s="5"/>
      <c r="H962" s="5"/>
      <c r="I962" s="5"/>
      <c r="J962" s="5"/>
      <c r="M962" t="s">
        <v>477</v>
      </c>
    </row>
    <row r="963" spans="1:13">
      <c r="A963" s="9"/>
      <c r="M963" t="s">
        <v>477</v>
      </c>
    </row>
    <row r="964" spans="1:13">
      <c r="A964" s="9"/>
      <c r="M964" t="s">
        <v>477</v>
      </c>
    </row>
    <row r="965" spans="1:13">
      <c r="A965" s="9"/>
      <c r="M965" t="s">
        <v>477</v>
      </c>
    </row>
    <row r="966" spans="1:13">
      <c r="A966" s="9"/>
      <c r="M966" t="s">
        <v>477</v>
      </c>
    </row>
    <row r="967" spans="1:13">
      <c r="M967" t="s">
        <v>477</v>
      </c>
    </row>
    <row r="968" spans="1:13">
      <c r="M968" t="s">
        <v>477</v>
      </c>
    </row>
    <row r="969" spans="1:13">
      <c r="A969" s="9"/>
      <c r="M969" t="s">
        <v>477</v>
      </c>
    </row>
    <row r="970" spans="1:13">
      <c r="A970" s="9"/>
      <c r="M970" t="s">
        <v>477</v>
      </c>
    </row>
    <row r="971" spans="1:13">
      <c r="A971" s="5"/>
      <c r="B971" s="5"/>
      <c r="C971" s="5"/>
      <c r="D971" s="5"/>
      <c r="E971" s="5"/>
      <c r="F971" s="5"/>
      <c r="G971" s="5"/>
      <c r="H971" s="5"/>
      <c r="I971" s="5"/>
      <c r="J971" s="5"/>
      <c r="M971" t="s">
        <v>477</v>
      </c>
    </row>
    <row r="972" spans="1:13">
      <c r="A972" s="9"/>
      <c r="M972" t="s">
        <v>477</v>
      </c>
    </row>
    <row r="973" spans="1:13">
      <c r="A973" s="9"/>
      <c r="M973" t="s">
        <v>477</v>
      </c>
    </row>
    <row r="974" spans="1:13">
      <c r="A974" s="9"/>
      <c r="M974" t="s">
        <v>477</v>
      </c>
    </row>
    <row r="975" spans="1:13">
      <c r="A975" s="9"/>
      <c r="M975" t="s">
        <v>477</v>
      </c>
    </row>
    <row r="976" spans="1:13">
      <c r="A976" s="9"/>
      <c r="M976" t="s">
        <v>477</v>
      </c>
    </row>
    <row r="977" spans="1:13">
      <c r="A977" s="17"/>
      <c r="B977" s="2"/>
      <c r="M977" t="s">
        <v>477</v>
      </c>
    </row>
    <row r="978" spans="1:13">
      <c r="M978" t="s">
        <v>477</v>
      </c>
    </row>
    <row r="979" spans="1:13">
      <c r="M979" t="s">
        <v>477</v>
      </c>
    </row>
    <row r="980" spans="1:13">
      <c r="M980" t="s">
        <v>477</v>
      </c>
    </row>
    <row r="981" spans="1:13">
      <c r="M981" t="s">
        <v>477</v>
      </c>
    </row>
    <row r="982" spans="1:13">
      <c r="A982" s="9"/>
      <c r="M982" t="s">
        <v>477</v>
      </c>
    </row>
    <row r="983" spans="1:13">
      <c r="A983" s="5"/>
      <c r="B983" s="5"/>
      <c r="C983" s="5"/>
      <c r="D983" s="5"/>
      <c r="E983" s="5"/>
      <c r="F983" s="5"/>
      <c r="G983" s="5"/>
      <c r="H983" s="5"/>
      <c r="I983" s="5"/>
      <c r="J983" s="5"/>
      <c r="M983" t="s">
        <v>477</v>
      </c>
    </row>
    <row r="984" spans="1:13">
      <c r="A984" s="5"/>
      <c r="B984" s="5"/>
      <c r="C984" s="5"/>
      <c r="D984" s="5"/>
      <c r="E984" s="5"/>
      <c r="F984" s="5"/>
      <c r="G984" s="5"/>
      <c r="H984" s="5"/>
      <c r="I984" s="5"/>
      <c r="J984" s="5"/>
      <c r="M984" t="s">
        <v>477</v>
      </c>
    </row>
    <row r="985" spans="1:13">
      <c r="A985" s="5"/>
      <c r="B985" s="5"/>
      <c r="C985" s="5"/>
      <c r="D985" s="5"/>
      <c r="E985" s="5"/>
      <c r="F985" s="5"/>
      <c r="G985" s="5"/>
      <c r="H985" s="5"/>
      <c r="I985" s="5"/>
      <c r="J985" s="5"/>
      <c r="M985" t="s">
        <v>477</v>
      </c>
    </row>
    <row r="986" spans="1:13">
      <c r="A986" s="5"/>
      <c r="B986" s="5"/>
      <c r="C986" s="5"/>
      <c r="D986" s="5"/>
      <c r="E986" s="5"/>
      <c r="F986" s="5"/>
      <c r="G986" s="5"/>
      <c r="H986" s="5"/>
      <c r="I986" s="5"/>
      <c r="J986" s="5"/>
      <c r="M986" t="s">
        <v>477</v>
      </c>
    </row>
    <row r="987" spans="1:13">
      <c r="A987" s="5"/>
      <c r="B987" s="5"/>
      <c r="C987" s="5"/>
      <c r="D987" s="5"/>
      <c r="E987" s="5"/>
      <c r="F987" s="5"/>
      <c r="G987" s="5"/>
      <c r="H987" s="5"/>
      <c r="I987" s="5"/>
      <c r="J987" s="5"/>
      <c r="M987" t="s">
        <v>477</v>
      </c>
    </row>
    <row r="988" spans="1:13">
      <c r="A988" s="5"/>
      <c r="B988" s="5"/>
      <c r="C988" s="5"/>
      <c r="D988" s="5"/>
      <c r="E988" s="5"/>
      <c r="F988" s="5"/>
      <c r="G988" s="5"/>
      <c r="H988" s="5"/>
      <c r="I988" s="5"/>
      <c r="J988" s="5"/>
      <c r="M988" t="s">
        <v>477</v>
      </c>
    </row>
    <row r="989" spans="1:13">
      <c r="A989" s="5"/>
      <c r="B989" s="5"/>
      <c r="C989" s="5"/>
      <c r="D989" s="5"/>
      <c r="E989" s="5"/>
      <c r="F989" s="5"/>
      <c r="G989" s="5"/>
      <c r="H989" s="5"/>
      <c r="I989" s="5"/>
      <c r="J989" s="5"/>
      <c r="M989" t="s">
        <v>477</v>
      </c>
    </row>
    <row r="990" spans="1:13">
      <c r="A990" s="5"/>
      <c r="B990" s="5"/>
      <c r="C990" s="5"/>
      <c r="D990" s="5"/>
      <c r="E990" s="5"/>
      <c r="F990" s="5"/>
      <c r="G990" s="5"/>
      <c r="H990" s="5"/>
      <c r="I990" s="5"/>
      <c r="J990" s="5"/>
      <c r="M990" t="s">
        <v>477</v>
      </c>
    </row>
    <row r="991" spans="1:13">
      <c r="A991" s="5"/>
      <c r="B991" s="5"/>
      <c r="C991" s="5"/>
      <c r="D991" s="5"/>
      <c r="E991" s="5"/>
      <c r="F991" s="5"/>
      <c r="G991" s="5"/>
      <c r="H991" s="5"/>
      <c r="I991" s="5"/>
      <c r="J991" s="5"/>
      <c r="M991" t="s">
        <v>477</v>
      </c>
    </row>
    <row r="992" spans="1:13">
      <c r="A992" s="5"/>
      <c r="B992" s="5"/>
      <c r="C992" s="5"/>
      <c r="D992" s="5"/>
      <c r="E992" s="5"/>
      <c r="F992" s="5"/>
      <c r="G992" s="5"/>
      <c r="H992" s="5"/>
      <c r="I992" s="5"/>
      <c r="M992" t="s">
        <v>477</v>
      </c>
    </row>
    <row r="993" spans="1:13">
      <c r="A993" s="5"/>
      <c r="B993" s="5"/>
      <c r="C993" s="5"/>
      <c r="D993" s="5"/>
      <c r="E993" s="5"/>
      <c r="F993" s="5"/>
      <c r="G993" s="5"/>
      <c r="H993" s="5"/>
      <c r="I993" s="5"/>
      <c r="M993" t="s">
        <v>477</v>
      </c>
    </row>
    <row r="994" spans="1:13">
      <c r="A994" s="5"/>
      <c r="B994" s="5"/>
      <c r="C994" s="5"/>
      <c r="D994" s="5"/>
      <c r="E994" s="5"/>
      <c r="F994" s="5"/>
      <c r="G994" s="5"/>
      <c r="H994" s="5"/>
      <c r="I994" s="5"/>
      <c r="M994" t="s">
        <v>477</v>
      </c>
    </row>
    <row r="995" spans="1:13">
      <c r="A995" s="5"/>
      <c r="B995" s="5"/>
      <c r="C995" s="5"/>
      <c r="D995" s="5"/>
      <c r="E995" s="5"/>
      <c r="F995" s="5"/>
      <c r="G995" s="5"/>
      <c r="H995" s="5"/>
      <c r="I995" s="5"/>
      <c r="M995" t="s">
        <v>477</v>
      </c>
    </row>
    <row r="996" spans="1:13">
      <c r="A996" s="5"/>
      <c r="B996" s="5"/>
      <c r="C996" s="5"/>
      <c r="D996" s="5"/>
      <c r="E996" s="5"/>
      <c r="F996" s="5"/>
      <c r="G996" s="5"/>
      <c r="H996" s="5"/>
      <c r="I996" s="5"/>
      <c r="J996" s="5"/>
      <c r="M996" t="s">
        <v>477</v>
      </c>
    </row>
    <row r="997" spans="1:13">
      <c r="A997" s="5"/>
      <c r="B997" s="5"/>
      <c r="C997" s="5"/>
      <c r="D997" s="5"/>
      <c r="E997" s="5"/>
      <c r="F997" s="5"/>
      <c r="G997" s="5"/>
      <c r="H997" s="5"/>
      <c r="I997" s="5"/>
      <c r="J997" s="5"/>
      <c r="M997" t="s">
        <v>477</v>
      </c>
    </row>
    <row r="998" spans="1:13">
      <c r="A998" s="5"/>
      <c r="B998" s="5"/>
      <c r="C998" s="5"/>
      <c r="D998" s="5"/>
      <c r="E998" s="5"/>
      <c r="F998" s="5"/>
      <c r="G998" s="5"/>
      <c r="H998" s="5"/>
      <c r="I998" s="5"/>
      <c r="J998" s="5"/>
      <c r="M998" t="s">
        <v>477</v>
      </c>
    </row>
    <row r="999" spans="1:13">
      <c r="A999" s="5"/>
      <c r="B999" s="5"/>
      <c r="C999" s="5"/>
      <c r="D999" s="5"/>
      <c r="E999" s="5"/>
      <c r="F999" s="5"/>
      <c r="G999" s="5"/>
      <c r="H999" s="5"/>
      <c r="I999" s="5"/>
      <c r="J999" s="5"/>
      <c r="M999" t="s">
        <v>477</v>
      </c>
    </row>
    <row r="1000" spans="1:13">
      <c r="A1000" s="9"/>
      <c r="M1000" t="s">
        <v>477</v>
      </c>
    </row>
    <row r="1001" spans="1:13">
      <c r="A1001" s="9"/>
      <c r="M1001" t="s">
        <v>477</v>
      </c>
    </row>
    <row r="1002" spans="1:13">
      <c r="A1002" s="9"/>
      <c r="M1002" t="s">
        <v>477</v>
      </c>
    </row>
    <row r="1003" spans="1:13">
      <c r="A1003" s="9"/>
      <c r="M1003" t="s">
        <v>477</v>
      </c>
    </row>
    <row r="1004" spans="1:13">
      <c r="M1004" t="s">
        <v>477</v>
      </c>
    </row>
    <row r="1005" spans="1:13">
      <c r="M1005" t="s">
        <v>477</v>
      </c>
    </row>
    <row r="1006" spans="1:13">
      <c r="A1006" s="9"/>
      <c r="M1006" t="s">
        <v>477</v>
      </c>
    </row>
    <row r="1007" spans="1:13">
      <c r="A1007" s="9"/>
      <c r="M1007" t="s">
        <v>477</v>
      </c>
    </row>
    <row r="1008" spans="1:13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M1008" t="s">
        <v>477</v>
      </c>
    </row>
    <row r="1009" spans="1:13">
      <c r="A1009" s="9"/>
      <c r="M1009" t="s">
        <v>477</v>
      </c>
    </row>
    <row r="1010" spans="1:13">
      <c r="A1010" s="9"/>
      <c r="M1010" t="s">
        <v>477</v>
      </c>
    </row>
    <row r="1011" spans="1:13">
      <c r="A1011" s="9"/>
      <c r="M1011" t="s">
        <v>477</v>
      </c>
    </row>
    <row r="1012" spans="1:13">
      <c r="A1012" s="9"/>
      <c r="M1012" t="s">
        <v>477</v>
      </c>
    </row>
    <row r="1013" spans="1:13">
      <c r="A1013" s="17"/>
      <c r="B1013" s="2"/>
      <c r="M1013" t="s">
        <v>477</v>
      </c>
    </row>
    <row r="1014" spans="1:13">
      <c r="M1014" t="s">
        <v>477</v>
      </c>
    </row>
    <row r="1015" spans="1:13">
      <c r="M1015" t="s">
        <v>477</v>
      </c>
    </row>
    <row r="1016" spans="1:13">
      <c r="M1016" t="s">
        <v>477</v>
      </c>
    </row>
    <row r="1017" spans="1:13">
      <c r="M1017" t="s">
        <v>477</v>
      </c>
    </row>
    <row r="1018" spans="1:13">
      <c r="A1018" s="9"/>
      <c r="M1018" t="s">
        <v>477</v>
      </c>
    </row>
    <row r="1019" spans="1:13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M1019" t="s">
        <v>477</v>
      </c>
    </row>
    <row r="1020" spans="1:13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M1020" t="s">
        <v>477</v>
      </c>
    </row>
    <row r="1021" spans="1:13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M1021" t="s">
        <v>477</v>
      </c>
    </row>
    <row r="1022" spans="1:13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M1022" t="s">
        <v>477</v>
      </c>
    </row>
    <row r="1023" spans="1:1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M1023" t="s">
        <v>477</v>
      </c>
    </row>
    <row r="1024" spans="1:13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M1024" t="s">
        <v>477</v>
      </c>
    </row>
    <row r="1025" spans="1:13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M1025" t="s">
        <v>477</v>
      </c>
    </row>
    <row r="1026" spans="1:13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M1026" t="s">
        <v>477</v>
      </c>
    </row>
    <row r="1027" spans="1:13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M1027" t="s">
        <v>477</v>
      </c>
    </row>
    <row r="1028" spans="1:13">
      <c r="A1028" s="5"/>
      <c r="B1028" s="5"/>
      <c r="C1028" s="5"/>
      <c r="D1028" s="5"/>
      <c r="E1028" s="5"/>
      <c r="F1028" s="5"/>
      <c r="G1028" s="5"/>
      <c r="H1028" s="5"/>
      <c r="I1028" s="5"/>
      <c r="M1028" t="s">
        <v>477</v>
      </c>
    </row>
    <row r="1029" spans="1:13">
      <c r="A1029" s="5"/>
      <c r="B1029" s="5"/>
      <c r="C1029" s="5"/>
      <c r="D1029" s="5"/>
      <c r="E1029" s="5"/>
      <c r="F1029" s="5"/>
      <c r="G1029" s="5"/>
      <c r="H1029" s="5"/>
      <c r="I1029" s="5"/>
      <c r="M1029" t="s">
        <v>477</v>
      </c>
    </row>
    <row r="1030" spans="1:13">
      <c r="A1030" s="5"/>
      <c r="B1030" s="5"/>
      <c r="C1030" s="5"/>
      <c r="D1030" s="5"/>
      <c r="E1030" s="5"/>
      <c r="F1030" s="5"/>
      <c r="G1030" s="5"/>
      <c r="H1030" s="5"/>
      <c r="I1030" s="5"/>
      <c r="M1030" t="s">
        <v>477</v>
      </c>
    </row>
    <row r="1031" spans="1:13">
      <c r="A1031" s="5"/>
      <c r="B1031" s="5"/>
      <c r="C1031" s="5"/>
      <c r="D1031" s="5"/>
      <c r="E1031" s="5"/>
      <c r="F1031" s="5"/>
      <c r="G1031" s="5"/>
      <c r="H1031" s="5"/>
      <c r="I1031" s="5"/>
      <c r="M1031" t="s">
        <v>477</v>
      </c>
    </row>
    <row r="1032" spans="1:13">
      <c r="A1032" s="5"/>
      <c r="B1032" s="5"/>
      <c r="C1032" s="5"/>
      <c r="D1032" s="5"/>
      <c r="E1032" s="5"/>
      <c r="F1032" s="5"/>
      <c r="G1032" s="5"/>
      <c r="H1032" s="5"/>
      <c r="I1032" s="5"/>
      <c r="M1032" t="s">
        <v>477</v>
      </c>
    </row>
    <row r="1033" spans="1:1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M1033" t="s">
        <v>477</v>
      </c>
    </row>
    <row r="1034" spans="1:13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M1034" t="s">
        <v>477</v>
      </c>
    </row>
    <row r="1035" spans="1:13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M1035" t="s">
        <v>477</v>
      </c>
    </row>
    <row r="1036" spans="1:13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M1036" t="s">
        <v>477</v>
      </c>
    </row>
    <row r="1037" spans="1:13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M1037" t="s">
        <v>477</v>
      </c>
    </row>
    <row r="1038" spans="1:13">
      <c r="A1038" s="9"/>
      <c r="M1038" t="s">
        <v>477</v>
      </c>
    </row>
    <row r="1039" spans="1:13">
      <c r="A1039" s="9"/>
      <c r="M1039" t="s">
        <v>477</v>
      </c>
    </row>
    <row r="1040" spans="1:13">
      <c r="A1040" s="9"/>
      <c r="M1040" t="s">
        <v>477</v>
      </c>
    </row>
    <row r="1041" spans="1:13">
      <c r="A1041" s="9"/>
      <c r="M1041" t="s">
        <v>477</v>
      </c>
    </row>
    <row r="1042" spans="1:13">
      <c r="M1042" t="s">
        <v>477</v>
      </c>
    </row>
    <row r="1043" spans="1:13">
      <c r="M1043" t="s">
        <v>477</v>
      </c>
    </row>
    <row r="1044" spans="1:13">
      <c r="A1044" s="9"/>
      <c r="M1044" t="s">
        <v>477</v>
      </c>
    </row>
    <row r="1045" spans="1:13">
      <c r="A1045" s="9"/>
      <c r="M1045" t="s">
        <v>477</v>
      </c>
    </row>
    <row r="1046" spans="1:13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M1046" t="s">
        <v>477</v>
      </c>
    </row>
    <row r="1047" spans="1:13">
      <c r="A1047" s="9"/>
      <c r="M1047" t="s">
        <v>477</v>
      </c>
    </row>
    <row r="1048" spans="1:13">
      <c r="A1048" s="9"/>
      <c r="M1048" t="s">
        <v>477</v>
      </c>
    </row>
    <row r="1049" spans="1:13">
      <c r="A1049" s="9"/>
      <c r="M1049" t="s">
        <v>477</v>
      </c>
    </row>
    <row r="1050" spans="1:13">
      <c r="A1050" s="9"/>
      <c r="M1050" t="s">
        <v>477</v>
      </c>
    </row>
    <row r="1051" spans="1:13">
      <c r="A1051" s="15"/>
      <c r="B1051" s="15"/>
      <c r="C1051" s="15"/>
      <c r="M1051" t="s">
        <v>477</v>
      </c>
    </row>
    <row r="1052" spans="1:13">
      <c r="A1052" s="15"/>
      <c r="B1052" s="15"/>
      <c r="C1052" s="15"/>
      <c r="M1052" t="s">
        <v>477</v>
      </c>
    </row>
    <row r="1053" spans="1:13">
      <c r="A1053" s="15"/>
      <c r="B1053" s="15"/>
      <c r="C1053" s="15"/>
    </row>
    <row r="1054" spans="1:13">
      <c r="A1054" s="5"/>
      <c r="B1054" s="5"/>
      <c r="C1054" s="5"/>
      <c r="D1054" s="5"/>
      <c r="E1054" s="5"/>
      <c r="F1054" s="5"/>
      <c r="G1054" s="5"/>
      <c r="H1054" s="5"/>
      <c r="I1054" s="5"/>
      <c r="J1054" s="5"/>
    </row>
    <row r="1055" spans="1:13">
      <c r="A1055" s="5"/>
      <c r="B1055" s="5"/>
      <c r="C1055" s="5"/>
      <c r="D1055" s="5"/>
      <c r="E1055" s="5"/>
      <c r="F1055" s="5"/>
      <c r="G1055" s="5"/>
      <c r="H1055" s="5"/>
      <c r="I1055" s="5"/>
      <c r="J1055" s="5"/>
    </row>
    <row r="1056" spans="1:13">
      <c r="A1056" s="5"/>
      <c r="B1056" s="5"/>
      <c r="C1056" s="5"/>
      <c r="D1056" s="5"/>
      <c r="E1056" s="5"/>
      <c r="F1056" s="5"/>
      <c r="G1056" s="5"/>
      <c r="H1056" s="5"/>
      <c r="I1056" s="5"/>
      <c r="J1056" s="5"/>
    </row>
    <row r="1057" spans="1:12">
      <c r="A1057" s="5"/>
      <c r="B1057" s="5"/>
      <c r="C1057" s="5"/>
      <c r="D1057" s="5"/>
      <c r="E1057" s="5"/>
      <c r="F1057" s="5"/>
      <c r="G1057" s="5"/>
      <c r="H1057" s="5"/>
      <c r="I1057" s="5"/>
      <c r="J1057" s="5"/>
    </row>
    <row r="1058" spans="1:12">
      <c r="A1058" s="5"/>
      <c r="B1058" s="5"/>
      <c r="C1058" s="5"/>
      <c r="D1058" s="5"/>
      <c r="E1058" s="5"/>
      <c r="F1058" s="5"/>
      <c r="G1058" s="5"/>
      <c r="H1058" s="5"/>
      <c r="I1058" s="5"/>
      <c r="J1058" s="5"/>
    </row>
    <row r="1059" spans="1:12">
      <c r="A1059" s="5"/>
      <c r="B1059" s="5"/>
      <c r="C1059" s="5"/>
      <c r="D1059" s="5"/>
      <c r="E1059" s="5"/>
      <c r="F1059" s="5"/>
      <c r="G1059" s="5"/>
      <c r="H1059" s="5"/>
      <c r="I1059" s="5"/>
      <c r="J1059" s="5"/>
    </row>
    <row r="1060" spans="1:12">
      <c r="A1060" s="5"/>
      <c r="B1060" s="5"/>
      <c r="C1060" s="5"/>
      <c r="D1060" s="5"/>
      <c r="E1060" s="5"/>
      <c r="F1060" s="5"/>
      <c r="G1060" s="5"/>
      <c r="H1060" s="5"/>
      <c r="I1060" s="5"/>
      <c r="J1060" s="5"/>
    </row>
    <row r="1061" spans="1:12">
      <c r="A1061" s="5"/>
      <c r="B1061" s="5"/>
      <c r="C1061" s="5"/>
      <c r="D1061" s="5"/>
      <c r="E1061" s="5"/>
      <c r="F1061" s="5"/>
      <c r="G1061" s="5"/>
      <c r="H1061" s="5"/>
      <c r="I1061" s="5"/>
      <c r="J1061" s="5"/>
    </row>
    <row r="1062" spans="1:12">
      <c r="A1062" s="5"/>
      <c r="B1062" s="5"/>
      <c r="C1062" s="5"/>
      <c r="D1062" s="5"/>
      <c r="E1062" s="5"/>
      <c r="F1062" s="5"/>
      <c r="G1062" s="5"/>
      <c r="H1062" s="5"/>
      <c r="I1062" s="5"/>
    </row>
    <row r="1063" spans="1:12">
      <c r="A1063" s="5"/>
      <c r="B1063" s="5"/>
      <c r="C1063" s="5"/>
      <c r="D1063" s="5"/>
      <c r="E1063" s="5"/>
      <c r="F1063" s="5"/>
      <c r="G1063" s="5"/>
      <c r="H1063" s="5"/>
      <c r="I1063" s="5"/>
    </row>
    <row r="1064" spans="1:12">
      <c r="A1064" s="5"/>
      <c r="B1064" s="5"/>
      <c r="C1064" s="5"/>
      <c r="D1064" s="5"/>
      <c r="E1064" s="5"/>
      <c r="F1064" s="5"/>
      <c r="G1064" s="5"/>
      <c r="H1064" s="5"/>
      <c r="I1064" s="5"/>
    </row>
    <row r="1065" spans="1:12">
      <c r="A1065" s="5"/>
      <c r="B1065" s="5"/>
      <c r="C1065" s="5"/>
      <c r="D1065" s="5"/>
      <c r="E1065" s="5"/>
      <c r="F1065" s="5"/>
      <c r="G1065" s="5"/>
      <c r="H1065" s="5"/>
      <c r="I1065" s="5"/>
    </row>
    <row r="1066" spans="1:12">
      <c r="A1066" s="5"/>
      <c r="B1066" s="5"/>
      <c r="C1066" s="5"/>
      <c r="D1066" s="5"/>
      <c r="E1066" s="5"/>
      <c r="F1066" s="5"/>
      <c r="G1066" s="5"/>
      <c r="H1066" s="5"/>
      <c r="I1066" s="5"/>
      <c r="J1066" s="5"/>
    </row>
    <row r="1067" spans="1:12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L1067" s="16"/>
    </row>
    <row r="1068" spans="1:12">
      <c r="A1068" s="5"/>
      <c r="B1068" s="5"/>
      <c r="C1068" s="5"/>
      <c r="D1068" s="5"/>
      <c r="E1068" s="5"/>
      <c r="F1068" s="5"/>
      <c r="G1068" s="5"/>
      <c r="H1068" s="5"/>
      <c r="I1068" s="5"/>
      <c r="J1068" s="5"/>
    </row>
    <row r="1069" spans="1:12">
      <c r="A1069" s="5"/>
      <c r="B1069" s="5"/>
      <c r="C1069" s="5"/>
      <c r="D1069" s="5"/>
      <c r="E1069" s="5"/>
      <c r="F1069" s="5"/>
      <c r="G1069" s="5"/>
      <c r="H1069" s="5"/>
      <c r="I1069" s="5"/>
      <c r="J1069" s="5"/>
    </row>
    <row r="1070" spans="1:12">
      <c r="A1070" s="17"/>
      <c r="B1070" s="2"/>
    </row>
    <row r="1071" spans="1:12">
      <c r="A1071" s="17"/>
      <c r="B1071" s="2"/>
      <c r="D1071" s="5"/>
      <c r="E1071" s="5"/>
      <c r="F1071" s="5"/>
      <c r="G1071" s="5"/>
      <c r="H1071" s="5"/>
      <c r="I1071" s="5"/>
      <c r="J1071" s="5"/>
    </row>
    <row r="1072" spans="1:12">
      <c r="A1072" s="17"/>
      <c r="B1072" s="2"/>
      <c r="D1072" s="5"/>
      <c r="E1072" s="5"/>
      <c r="F1072" s="5"/>
      <c r="G1072" s="5"/>
      <c r="H1072" s="5"/>
      <c r="I1072" s="5"/>
      <c r="J1072" s="5"/>
    </row>
    <row r="1073" spans="1:10">
      <c r="A1073" s="17"/>
      <c r="B1073" s="2"/>
      <c r="D1073" s="5"/>
      <c r="E1073" s="5"/>
      <c r="F1073" s="5"/>
      <c r="G1073" s="5"/>
      <c r="H1073" s="5"/>
      <c r="I1073" s="5"/>
      <c r="J1073" s="5"/>
    </row>
    <row r="1076" spans="1:10">
      <c r="A1076" s="39"/>
      <c r="B1076" s="2"/>
      <c r="D1076" s="5"/>
      <c r="E1076" s="5"/>
      <c r="F1076" s="5"/>
      <c r="G1076" s="5"/>
      <c r="H1076" s="5"/>
      <c r="I1076" s="5"/>
      <c r="J1076" s="5"/>
    </row>
    <row r="1077" spans="1:10">
      <c r="A1077" s="17"/>
      <c r="B1077" s="2"/>
      <c r="D1077" s="5"/>
      <c r="E1077" s="5"/>
      <c r="F1077" s="5"/>
      <c r="G1077" s="5"/>
      <c r="H1077" s="5"/>
      <c r="I1077" s="5"/>
      <c r="J1077" s="5"/>
    </row>
    <row r="1078" spans="1:10">
      <c r="A1078" s="17"/>
      <c r="B1078" s="2"/>
    </row>
    <row r="1079" spans="1:10">
      <c r="A1079" s="17"/>
      <c r="B1079" s="2"/>
    </row>
    <row r="1080" spans="1:10">
      <c r="A1080" s="17"/>
      <c r="B1080" s="2"/>
      <c r="D1080" s="5"/>
      <c r="E1080" s="5"/>
      <c r="F1080" s="5"/>
      <c r="G1080" s="5"/>
      <c r="H1080" s="5"/>
      <c r="I1080" s="5"/>
      <c r="J1080" s="5"/>
    </row>
    <row r="1081" spans="1:10">
      <c r="A1081" s="17"/>
      <c r="B1081" s="2"/>
    </row>
    <row r="1082" spans="1:10">
      <c r="A1082" s="32"/>
    </row>
    <row r="1086" spans="1:10">
      <c r="A1086" s="9"/>
    </row>
    <row r="1087" spans="1:10">
      <c r="A1087" s="5"/>
      <c r="B1087" s="5"/>
      <c r="C1087" s="5"/>
      <c r="D1087" s="5"/>
      <c r="E1087" s="5"/>
      <c r="F1087" s="5"/>
      <c r="G1087" s="5"/>
      <c r="H1087" s="5"/>
      <c r="I1087" s="5"/>
      <c r="J1087" s="5"/>
    </row>
    <row r="1088" spans="1:10">
      <c r="A1088" s="5"/>
      <c r="B1088" s="5"/>
      <c r="C1088" s="5"/>
      <c r="D1088" s="5"/>
      <c r="E1088" s="5"/>
      <c r="F1088" s="5"/>
      <c r="G1088" s="5"/>
      <c r="H1088" s="5"/>
      <c r="I1088" s="5"/>
      <c r="J1088" s="5"/>
    </row>
    <row r="1089" spans="1:10">
      <c r="A1089" s="5"/>
      <c r="B1089" s="5"/>
      <c r="C1089" s="5"/>
      <c r="D1089" s="5"/>
      <c r="E1089" s="5"/>
      <c r="F1089" s="5"/>
      <c r="G1089" s="5"/>
      <c r="H1089" s="5"/>
      <c r="I1089" s="5"/>
      <c r="J1089" s="5"/>
    </row>
    <row r="1090" spans="1:10">
      <c r="A1090" s="5"/>
      <c r="B1090" s="5"/>
      <c r="C1090" s="5"/>
      <c r="D1090" s="5"/>
      <c r="E1090" s="5"/>
      <c r="F1090" s="5"/>
      <c r="G1090" s="5"/>
      <c r="H1090" s="5"/>
      <c r="I1090" s="5"/>
      <c r="J1090" s="5"/>
    </row>
    <row r="1091" spans="1:10">
      <c r="A1091" s="5"/>
      <c r="B1091" s="5"/>
      <c r="C1091" s="5"/>
      <c r="D1091" s="5"/>
      <c r="E1091" s="5"/>
      <c r="F1091" s="5"/>
      <c r="G1091" s="5"/>
      <c r="H1091" s="5"/>
      <c r="I1091" s="5"/>
      <c r="J1091" s="5"/>
    </row>
    <row r="1092" spans="1:10">
      <c r="A1092" s="5"/>
      <c r="B1092" s="5"/>
      <c r="C1092" s="5"/>
      <c r="D1092" s="5"/>
      <c r="E1092" s="5"/>
      <c r="F1092" s="5"/>
      <c r="G1092" s="5"/>
      <c r="H1092" s="5"/>
      <c r="I1092" s="5"/>
      <c r="J1092" s="5"/>
    </row>
    <row r="1093" spans="1:10">
      <c r="A1093" s="5"/>
      <c r="B1093" s="5"/>
      <c r="C1093" s="5"/>
      <c r="D1093" s="5"/>
      <c r="E1093" s="5"/>
      <c r="F1093" s="5"/>
      <c r="G1093" s="5"/>
      <c r="H1093" s="5"/>
      <c r="I1093" s="5"/>
      <c r="J1093" s="5"/>
    </row>
    <row r="1094" spans="1:10">
      <c r="A1094" s="5"/>
      <c r="B1094" s="5"/>
      <c r="C1094" s="5"/>
      <c r="D1094" s="5"/>
      <c r="E1094" s="5"/>
      <c r="F1094" s="5"/>
      <c r="G1094" s="5"/>
      <c r="H1094" s="5"/>
      <c r="I1094" s="5"/>
      <c r="J1094" s="5"/>
    </row>
    <row r="1095" spans="1:10">
      <c r="A1095" s="5"/>
      <c r="B1095" s="5"/>
      <c r="C1095" s="5"/>
      <c r="D1095" s="5"/>
      <c r="E1095" s="5"/>
      <c r="F1095" s="5"/>
      <c r="G1095" s="5"/>
      <c r="H1095" s="5"/>
      <c r="I1095" s="5"/>
    </row>
    <row r="1096" spans="1:10">
      <c r="A1096" s="5"/>
      <c r="B1096" s="5"/>
      <c r="C1096" s="5"/>
      <c r="D1096" s="5"/>
      <c r="E1096" s="5"/>
      <c r="F1096" s="5"/>
      <c r="G1096" s="5"/>
      <c r="H1096" s="5"/>
      <c r="I1096" s="5"/>
    </row>
    <row r="1097" spans="1:10">
      <c r="A1097" s="5"/>
      <c r="B1097" s="5"/>
      <c r="C1097" s="5"/>
      <c r="D1097" s="5"/>
      <c r="E1097" s="5"/>
      <c r="F1097" s="5"/>
      <c r="G1097" s="5"/>
      <c r="H1097" s="5"/>
      <c r="I1097" s="5"/>
    </row>
    <row r="1098" spans="1:10">
      <c r="A1098" s="5"/>
      <c r="B1098" s="5"/>
      <c r="C1098" s="5"/>
      <c r="D1098" s="5"/>
      <c r="E1098" s="5"/>
      <c r="F1098" s="5"/>
      <c r="G1098" s="5"/>
      <c r="H1098" s="5"/>
      <c r="I1098" s="5"/>
    </row>
    <row r="1099" spans="1:10">
      <c r="A1099" s="5"/>
      <c r="B1099" s="5"/>
      <c r="C1099" s="5"/>
      <c r="D1099" s="5"/>
      <c r="E1099" s="5"/>
      <c r="F1099" s="5"/>
      <c r="G1099" s="5"/>
      <c r="H1099" s="5"/>
      <c r="I1099" s="5"/>
      <c r="J1099" s="5"/>
    </row>
    <row r="1100" spans="1:10">
      <c r="A1100" s="5"/>
      <c r="B1100" s="5"/>
      <c r="C1100" s="5"/>
      <c r="D1100" s="5"/>
      <c r="E1100" s="5"/>
      <c r="F1100" s="5"/>
      <c r="G1100" s="5"/>
      <c r="H1100" s="5"/>
      <c r="I1100" s="5"/>
      <c r="J1100" s="5"/>
    </row>
    <row r="1101" spans="1:10">
      <c r="A1101" s="5"/>
      <c r="B1101" s="5"/>
      <c r="C1101" s="5"/>
      <c r="D1101" s="5"/>
      <c r="E1101" s="5"/>
      <c r="F1101" s="5"/>
      <c r="G1101" s="5"/>
      <c r="H1101" s="5"/>
      <c r="I1101" s="5"/>
      <c r="J1101" s="5"/>
    </row>
    <row r="1102" spans="1:10">
      <c r="A1102" s="5"/>
      <c r="B1102" s="5"/>
      <c r="C1102" s="5"/>
      <c r="D1102" s="5"/>
      <c r="E1102" s="5"/>
      <c r="F1102" s="5"/>
      <c r="G1102" s="5"/>
      <c r="H1102" s="5"/>
      <c r="I1102" s="5"/>
      <c r="J1102" s="5"/>
    </row>
    <row r="1103" spans="1:10">
      <c r="A1103" s="5"/>
      <c r="B1103" s="5"/>
      <c r="C1103" s="5"/>
      <c r="D1103" s="5"/>
      <c r="E1103" s="5"/>
      <c r="F1103" s="5"/>
      <c r="G1103" s="5"/>
      <c r="H1103" s="5"/>
      <c r="I1103" s="5"/>
      <c r="J1103" s="5"/>
    </row>
    <row r="1104" spans="1:10">
      <c r="A1104" s="9"/>
    </row>
    <row r="1105" spans="1:13">
      <c r="A1105" s="9"/>
    </row>
    <row r="1106" spans="1:13">
      <c r="A1106" s="9"/>
    </row>
    <row r="1107" spans="1:13">
      <c r="A1107" s="9"/>
    </row>
    <row r="1111" spans="1:13">
      <c r="A1111" s="9"/>
    </row>
    <row r="1112" spans="1:13">
      <c r="A1112" s="9"/>
    </row>
    <row r="1113" spans="1:1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M1113" t="s">
        <v>477</v>
      </c>
    </row>
    <row r="1114" spans="1:13">
      <c r="A1114" s="9"/>
      <c r="M1114" t="s">
        <v>477</v>
      </c>
    </row>
    <row r="1115" spans="1:13">
      <c r="A1115" s="9"/>
      <c r="M1115" t="s">
        <v>477</v>
      </c>
    </row>
    <row r="1116" spans="1:13">
      <c r="A1116" s="9"/>
      <c r="M1116" t="s">
        <v>477</v>
      </c>
    </row>
    <row r="1117" spans="1:13">
      <c r="A1117" s="9"/>
    </row>
    <row r="1118" spans="1:13">
      <c r="A1118" s="17"/>
      <c r="B1118" s="2"/>
    </row>
  </sheetData>
  <autoFilter ref="A5:J1399" xr:uid="{00000000-0009-0000-0000-00001E000000}">
    <sortState xmlns:xlrd2="http://schemas.microsoft.com/office/spreadsheetml/2017/richdata2" ref="A6:J1118">
      <sortCondition ref="A5:A1118"/>
    </sortState>
  </autoFilter>
  <conditionalFormatting sqref="A14:A3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  <pageSetup paperSize="9" orientation="portrait" horizontalDpi="1200" verticalDpi="1200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Tabelle16"/>
  <dimension ref="A1:P175"/>
  <sheetViews>
    <sheetView zoomScale="90" zoomScaleNormal="90" zoomScalePageLayoutView="90" workbookViewId="0">
      <selection activeCell="O193" sqref="O193"/>
    </sheetView>
  </sheetViews>
  <sheetFormatPr defaultColWidth="11.42578125" defaultRowHeight="15"/>
  <cols>
    <col min="1" max="1" width="18" style="5" customWidth="1"/>
    <col min="2" max="2" width="28.5703125" style="5" customWidth="1"/>
    <col min="3" max="10" width="12.42578125" style="5" bestFit="1" customWidth="1"/>
    <col min="11" max="11" width="2.85546875" style="5" customWidth="1"/>
    <col min="12" max="15" width="11.42578125" style="5"/>
    <col min="16" max="16" width="12.140625" style="5" bestFit="1" customWidth="1"/>
    <col min="17" max="16384" width="11.42578125" style="5"/>
  </cols>
  <sheetData>
    <row r="1" spans="1:10">
      <c r="A1" t="s">
        <v>404</v>
      </c>
    </row>
    <row r="2" spans="1:10">
      <c r="A2" t="s">
        <v>403</v>
      </c>
    </row>
    <row r="3" spans="1:10">
      <c r="A3" t="s">
        <v>383</v>
      </c>
    </row>
    <row r="5" spans="1:10">
      <c r="A5" s="5" t="s">
        <v>20</v>
      </c>
      <c r="B5" s="5" t="s">
        <v>26</v>
      </c>
      <c r="C5" s="5">
        <v>2018</v>
      </c>
      <c r="D5" s="5">
        <v>2021</v>
      </c>
      <c r="E5" s="5">
        <v>2025</v>
      </c>
      <c r="F5" s="5">
        <v>2030</v>
      </c>
      <c r="G5" s="5">
        <v>2035</v>
      </c>
      <c r="H5" s="5">
        <v>2040</v>
      </c>
      <c r="I5" s="5">
        <v>2045</v>
      </c>
      <c r="J5" s="5">
        <v>2050</v>
      </c>
    </row>
    <row r="6" spans="1:10">
      <c r="A6" s="5" t="s">
        <v>484</v>
      </c>
      <c r="B6" t="s">
        <v>170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</row>
    <row r="7" spans="1:10">
      <c r="A7" s="5" t="s">
        <v>484</v>
      </c>
      <c r="B7" t="s">
        <v>171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</row>
    <row r="8" spans="1:10">
      <c r="A8" s="5" t="s">
        <v>484</v>
      </c>
      <c r="B8" s="5" t="s">
        <v>135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</row>
    <row r="9" spans="1:10">
      <c r="A9" s="5" t="s">
        <v>484</v>
      </c>
      <c r="B9" s="5" t="s">
        <v>136</v>
      </c>
      <c r="C9" s="5">
        <v>1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</row>
    <row r="10" spans="1:10">
      <c r="A10" s="5" t="s">
        <v>484</v>
      </c>
      <c r="B10" s="5" t="s">
        <v>147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>
        <v>1</v>
      </c>
      <c r="J10" s="5">
        <v>1</v>
      </c>
    </row>
    <row r="11" spans="1:10">
      <c r="A11" s="5" t="s">
        <v>484</v>
      </c>
      <c r="B11" s="5" t="s">
        <v>148</v>
      </c>
      <c r="C11" s="5">
        <v>1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>
        <v>1</v>
      </c>
      <c r="J11" s="5">
        <v>1</v>
      </c>
    </row>
    <row r="12" spans="1:10">
      <c r="A12" s="5" t="s">
        <v>484</v>
      </c>
      <c r="B12" s="5" t="s">
        <v>245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>
        <v>1</v>
      </c>
      <c r="J12" s="5">
        <v>1</v>
      </c>
    </row>
    <row r="13" spans="1:10">
      <c r="A13" s="5" t="s">
        <v>484</v>
      </c>
      <c r="B13" s="5" t="s">
        <v>247</v>
      </c>
      <c r="C13" s="5">
        <v>1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>
        <v>1</v>
      </c>
      <c r="J13" s="5">
        <v>1</v>
      </c>
    </row>
    <row r="14" spans="1:10">
      <c r="A14" s="5" t="s">
        <v>484</v>
      </c>
      <c r="B14" s="5" t="s">
        <v>134</v>
      </c>
      <c r="C14" s="5">
        <v>1</v>
      </c>
      <c r="D14" s="5">
        <v>1</v>
      </c>
      <c r="E14" s="5">
        <v>1</v>
      </c>
      <c r="F14" s="5">
        <v>1</v>
      </c>
      <c r="G14" s="5">
        <v>1</v>
      </c>
      <c r="H14" s="5">
        <v>1</v>
      </c>
      <c r="I14" s="5">
        <v>1</v>
      </c>
      <c r="J14" s="5">
        <v>1</v>
      </c>
    </row>
    <row r="15" spans="1:10">
      <c r="A15" s="5" t="s">
        <v>484</v>
      </c>
      <c r="B15" s="5" t="s">
        <v>137</v>
      </c>
      <c r="C15" s="5">
        <v>1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>
        <v>1</v>
      </c>
    </row>
    <row r="16" spans="1:10">
      <c r="A16" s="5" t="s">
        <v>484</v>
      </c>
      <c r="B16" s="5" t="s">
        <v>191</v>
      </c>
      <c r="C16" s="5">
        <v>1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>
        <v>1</v>
      </c>
      <c r="J16" s="5">
        <v>1</v>
      </c>
    </row>
    <row r="17" spans="1:10">
      <c r="A17" s="5" t="s">
        <v>484</v>
      </c>
      <c r="B17" s="5" t="s">
        <v>130</v>
      </c>
      <c r="C17" s="5">
        <v>0.95</v>
      </c>
      <c r="D17" s="5">
        <v>0.94999999999999984</v>
      </c>
      <c r="E17" s="5">
        <v>0.95</v>
      </c>
      <c r="F17" s="5">
        <v>0.95</v>
      </c>
      <c r="G17" s="5">
        <v>0.95</v>
      </c>
      <c r="H17" s="5">
        <v>0.95</v>
      </c>
      <c r="I17" s="5">
        <v>0.94999999999999984</v>
      </c>
      <c r="J17" s="5">
        <v>0.95</v>
      </c>
    </row>
    <row r="18" spans="1:10">
      <c r="A18" s="5" t="s">
        <v>484</v>
      </c>
      <c r="B18" s="5" t="s">
        <v>131</v>
      </c>
      <c r="C18" s="5">
        <v>0.95</v>
      </c>
      <c r="D18" s="5">
        <v>0.94999999999999984</v>
      </c>
      <c r="E18" s="5">
        <v>0.95</v>
      </c>
      <c r="F18" s="5">
        <v>0.95</v>
      </c>
      <c r="G18" s="5">
        <v>0.95</v>
      </c>
      <c r="H18" s="5">
        <v>0.95</v>
      </c>
      <c r="I18" s="5">
        <v>0.94999999999999984</v>
      </c>
      <c r="J18" s="5">
        <v>0.95</v>
      </c>
    </row>
    <row r="19" spans="1:10">
      <c r="A19" s="5" t="s">
        <v>484</v>
      </c>
      <c r="B19" s="5" t="s">
        <v>176</v>
      </c>
      <c r="C19" s="5">
        <v>0</v>
      </c>
      <c r="D19" s="5">
        <v>0</v>
      </c>
      <c r="E19" s="5">
        <v>0</v>
      </c>
      <c r="F19" s="5">
        <v>0.95</v>
      </c>
      <c r="G19" s="5">
        <v>0.95</v>
      </c>
      <c r="H19" s="5">
        <v>0.95</v>
      </c>
      <c r="I19" s="5">
        <v>0.94999999999999984</v>
      </c>
      <c r="J19" s="5">
        <v>0.95</v>
      </c>
    </row>
    <row r="20" spans="1:10">
      <c r="A20" s="5" t="s">
        <v>484</v>
      </c>
      <c r="B20" s="5" t="s">
        <v>125</v>
      </c>
      <c r="C20" s="5">
        <v>0</v>
      </c>
      <c r="D20" s="5">
        <v>0.91734003623078653</v>
      </c>
      <c r="E20" s="5">
        <v>0.9325813526564195</v>
      </c>
      <c r="F20" s="5">
        <v>0.93639168176282772</v>
      </c>
      <c r="G20" s="5">
        <v>0.93829684631603183</v>
      </c>
      <c r="H20" s="5">
        <v>0.93924942859263383</v>
      </c>
      <c r="I20" s="5">
        <v>0.93972571973093488</v>
      </c>
      <c r="J20" s="5">
        <v>0.94020201086923594</v>
      </c>
    </row>
    <row r="21" spans="1:10">
      <c r="A21" s="5" t="s">
        <v>484</v>
      </c>
      <c r="B21" s="5" t="s">
        <v>57</v>
      </c>
      <c r="C21" s="5">
        <v>0</v>
      </c>
      <c r="D21" s="5">
        <v>0</v>
      </c>
      <c r="E21" s="5">
        <v>0.95</v>
      </c>
      <c r="F21" s="5">
        <v>0.95</v>
      </c>
      <c r="G21" s="5">
        <v>0.95</v>
      </c>
      <c r="H21" s="5">
        <v>0.95</v>
      </c>
      <c r="I21" s="5">
        <v>0.94999999999999984</v>
      </c>
      <c r="J21" s="5">
        <v>0.95</v>
      </c>
    </row>
    <row r="22" spans="1:10">
      <c r="A22" s="5" t="s">
        <v>484</v>
      </c>
      <c r="B22" s="5" t="s">
        <v>126</v>
      </c>
      <c r="C22" s="5">
        <v>0.95</v>
      </c>
      <c r="D22" s="5">
        <v>0.94999999999999984</v>
      </c>
      <c r="E22" s="5">
        <v>0.95</v>
      </c>
      <c r="F22" s="5">
        <v>0.95</v>
      </c>
      <c r="G22" s="5">
        <v>0.95</v>
      </c>
      <c r="H22" s="5">
        <v>0.95</v>
      </c>
      <c r="I22" s="5">
        <v>0.94999999999999984</v>
      </c>
      <c r="J22" s="5">
        <v>0.95</v>
      </c>
    </row>
    <row r="23" spans="1:10">
      <c r="A23" s="5" t="s">
        <v>484</v>
      </c>
      <c r="B23" s="5" t="s">
        <v>127</v>
      </c>
      <c r="C23" s="5">
        <v>0</v>
      </c>
      <c r="D23" s="5">
        <v>0.94999999999999984</v>
      </c>
      <c r="E23" s="5">
        <v>0.95</v>
      </c>
      <c r="F23" s="5">
        <v>0.95</v>
      </c>
      <c r="G23" s="5">
        <v>0.95</v>
      </c>
      <c r="H23" s="5">
        <v>0.95</v>
      </c>
      <c r="I23" s="5">
        <v>0.94999999999999984</v>
      </c>
      <c r="J23" s="5">
        <v>0.95</v>
      </c>
    </row>
    <row r="24" spans="1:10">
      <c r="A24" s="5" t="s">
        <v>484</v>
      </c>
      <c r="B24" s="5" t="s">
        <v>183</v>
      </c>
      <c r="C24" s="5">
        <v>0.95</v>
      </c>
      <c r="D24" s="5">
        <v>0.94999999999999984</v>
      </c>
      <c r="E24" s="5">
        <v>0.95</v>
      </c>
      <c r="F24" s="5">
        <v>0.95</v>
      </c>
      <c r="G24" s="5">
        <v>0.95</v>
      </c>
      <c r="H24" s="5">
        <v>0.95</v>
      </c>
      <c r="I24" s="5">
        <v>0.94999999999999984</v>
      </c>
      <c r="J24" s="5">
        <v>0.95</v>
      </c>
    </row>
    <row r="25" spans="1:10">
      <c r="A25" s="5" t="s">
        <v>484</v>
      </c>
      <c r="B25" s="5" t="s">
        <v>184</v>
      </c>
      <c r="C25" s="5">
        <v>0.95</v>
      </c>
      <c r="D25" s="5">
        <v>0.94999999999999984</v>
      </c>
      <c r="E25" s="5">
        <v>0.95</v>
      </c>
      <c r="F25" s="5">
        <v>0.95</v>
      </c>
      <c r="G25" s="5">
        <v>0.95</v>
      </c>
      <c r="H25" s="5">
        <v>0.95</v>
      </c>
      <c r="I25" s="5">
        <v>0.94999999999999984</v>
      </c>
      <c r="J25" s="5">
        <v>0.95</v>
      </c>
    </row>
    <row r="26" spans="1:10">
      <c r="A26" s="5" t="s">
        <v>484</v>
      </c>
      <c r="B26" s="5" t="s">
        <v>495</v>
      </c>
      <c r="C26" s="5">
        <v>0.95</v>
      </c>
      <c r="D26" s="5">
        <v>0.94999999999999984</v>
      </c>
      <c r="E26" s="5">
        <v>0.95</v>
      </c>
      <c r="F26" s="5">
        <v>0.95</v>
      </c>
      <c r="G26" s="5">
        <v>0.95</v>
      </c>
      <c r="H26" s="5">
        <v>0.95</v>
      </c>
      <c r="I26" s="5">
        <v>0.94999999999999984</v>
      </c>
      <c r="J26" s="5">
        <v>0.95</v>
      </c>
    </row>
    <row r="27" spans="1:10">
      <c r="A27" s="5" t="s">
        <v>484</v>
      </c>
      <c r="B27" s="5" t="s">
        <v>496</v>
      </c>
      <c r="C27" s="5">
        <v>0.95</v>
      </c>
      <c r="D27" s="5">
        <v>0.94999999999999984</v>
      </c>
      <c r="E27" s="5">
        <v>0.95</v>
      </c>
      <c r="F27" s="5">
        <v>0.95</v>
      </c>
      <c r="G27" s="5">
        <v>0.95</v>
      </c>
      <c r="H27" s="5">
        <v>0.95</v>
      </c>
      <c r="I27" s="5">
        <v>0.94999999999999984</v>
      </c>
      <c r="J27" s="5">
        <v>0.95</v>
      </c>
    </row>
    <row r="28" spans="1:10">
      <c r="A28" s="5" t="s">
        <v>484</v>
      </c>
      <c r="B28" s="5" t="s">
        <v>158</v>
      </c>
      <c r="C28" s="5">
        <v>0.98</v>
      </c>
      <c r="D28" s="5">
        <v>0.98</v>
      </c>
      <c r="E28" s="5">
        <v>0.98</v>
      </c>
      <c r="F28" s="5">
        <v>0.98</v>
      </c>
      <c r="G28" s="5">
        <v>0.98</v>
      </c>
      <c r="H28" s="5">
        <v>0.98</v>
      </c>
      <c r="I28" s="5">
        <v>0.98</v>
      </c>
      <c r="J28" s="5">
        <v>0.98</v>
      </c>
    </row>
    <row r="29" spans="1:10">
      <c r="A29" s="5" t="s">
        <v>484</v>
      </c>
      <c r="B29" s="5" t="s">
        <v>103</v>
      </c>
      <c r="C29" s="5">
        <v>0.98</v>
      </c>
      <c r="D29" s="5">
        <v>0.98</v>
      </c>
      <c r="E29" s="5">
        <v>0.98</v>
      </c>
      <c r="F29" s="5">
        <v>0.98</v>
      </c>
      <c r="G29" s="5">
        <v>0.98</v>
      </c>
      <c r="H29" s="5">
        <v>0.98</v>
      </c>
      <c r="I29" s="5">
        <v>0.98</v>
      </c>
      <c r="J29" s="5">
        <v>0.98</v>
      </c>
    </row>
    <row r="30" spans="1:10">
      <c r="A30" s="5" t="s">
        <v>484</v>
      </c>
      <c r="B30" s="5" t="s">
        <v>102</v>
      </c>
      <c r="C30" s="5">
        <v>0.98</v>
      </c>
      <c r="D30" s="5">
        <v>0.98</v>
      </c>
      <c r="E30" s="5">
        <v>0.98</v>
      </c>
      <c r="F30" s="5">
        <v>0.98</v>
      </c>
      <c r="G30" s="5">
        <v>0.98</v>
      </c>
      <c r="H30" s="5">
        <v>0.98</v>
      </c>
      <c r="I30" s="5">
        <v>0.98</v>
      </c>
      <c r="J30" s="5">
        <v>0.98</v>
      </c>
    </row>
    <row r="31" spans="1:10">
      <c r="A31" s="5" t="s">
        <v>484</v>
      </c>
      <c r="B31" s="5" t="s">
        <v>22</v>
      </c>
      <c r="C31" s="5">
        <v>0.98</v>
      </c>
      <c r="D31" s="5">
        <v>0.98</v>
      </c>
      <c r="E31" s="5">
        <v>0.98</v>
      </c>
      <c r="F31" s="5">
        <v>0.98</v>
      </c>
      <c r="G31" s="5">
        <v>0.98</v>
      </c>
      <c r="H31" s="5">
        <v>0.98</v>
      </c>
      <c r="I31" s="5">
        <v>0.98</v>
      </c>
      <c r="J31" s="5">
        <v>0.98</v>
      </c>
    </row>
    <row r="32" spans="1:10">
      <c r="A32" s="5" t="s">
        <v>484</v>
      </c>
      <c r="B32" s="5" t="s">
        <v>23</v>
      </c>
      <c r="C32" s="5">
        <v>0.9</v>
      </c>
      <c r="D32" s="5">
        <v>0.9</v>
      </c>
      <c r="E32" s="5">
        <v>0.9</v>
      </c>
      <c r="F32" s="5">
        <v>0.9</v>
      </c>
      <c r="G32" s="5">
        <v>0.9</v>
      </c>
      <c r="H32" s="5">
        <v>0.9</v>
      </c>
      <c r="I32" s="5">
        <v>0.9</v>
      </c>
      <c r="J32" s="5">
        <v>0.9</v>
      </c>
    </row>
    <row r="33" spans="1:10">
      <c r="A33" s="5" t="s">
        <v>484</v>
      </c>
      <c r="B33" s="5" t="s">
        <v>56</v>
      </c>
      <c r="C33" s="5">
        <v>0.98</v>
      </c>
      <c r="D33" s="5">
        <v>0.98</v>
      </c>
      <c r="E33" s="5">
        <v>0.98</v>
      </c>
      <c r="F33" s="5">
        <v>0.98</v>
      </c>
      <c r="G33" s="5">
        <v>0.98</v>
      </c>
      <c r="H33" s="5">
        <v>0.98</v>
      </c>
      <c r="I33" s="5">
        <v>0.98</v>
      </c>
      <c r="J33" s="5">
        <v>0.98</v>
      </c>
    </row>
    <row r="34" spans="1:10">
      <c r="A34" s="5" t="s">
        <v>484</v>
      </c>
      <c r="B34" s="5" t="s">
        <v>132</v>
      </c>
      <c r="C34" s="5">
        <v>0</v>
      </c>
      <c r="D34" s="5">
        <v>0</v>
      </c>
      <c r="E34" s="5">
        <v>0</v>
      </c>
      <c r="F34" s="5">
        <v>0</v>
      </c>
      <c r="G34" s="5">
        <v>0.95</v>
      </c>
      <c r="H34" s="5">
        <v>0.95</v>
      </c>
      <c r="I34" s="5">
        <v>0.94999999999999984</v>
      </c>
      <c r="J34" s="5">
        <v>0.95</v>
      </c>
    </row>
    <row r="35" spans="1:10">
      <c r="A35" s="5" t="s">
        <v>484</v>
      </c>
      <c r="B35" s="5" t="s">
        <v>58</v>
      </c>
      <c r="C35" s="5">
        <v>0.95</v>
      </c>
      <c r="D35" s="5">
        <v>0.94999999999999984</v>
      </c>
      <c r="E35" s="5">
        <v>0.95</v>
      </c>
      <c r="F35" s="5">
        <v>0.95</v>
      </c>
      <c r="G35" s="5">
        <v>0.95</v>
      </c>
      <c r="H35" s="5">
        <v>0.95</v>
      </c>
      <c r="I35" s="5">
        <v>0.94999999999999984</v>
      </c>
      <c r="J35" s="5">
        <v>0.95</v>
      </c>
    </row>
    <row r="36" spans="1:10">
      <c r="A36" s="5" t="s">
        <v>484</v>
      </c>
      <c r="B36" s="5" t="s">
        <v>133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0.95</v>
      </c>
      <c r="I36" s="5">
        <v>0.94999999999999984</v>
      </c>
      <c r="J36" s="5">
        <v>0.95</v>
      </c>
    </row>
    <row r="37" spans="1:10">
      <c r="A37" s="5" t="s">
        <v>484</v>
      </c>
      <c r="B37" s="5" t="s">
        <v>128</v>
      </c>
      <c r="C37" s="5">
        <v>0.95</v>
      </c>
      <c r="D37" s="5">
        <v>0.94999999999999984</v>
      </c>
      <c r="E37" s="5">
        <v>0.95</v>
      </c>
      <c r="F37" s="5">
        <v>0.95</v>
      </c>
      <c r="G37" s="5">
        <v>0.95</v>
      </c>
      <c r="H37" s="5">
        <v>0.95</v>
      </c>
      <c r="I37" s="5">
        <v>0.94999999999999984</v>
      </c>
      <c r="J37" s="5">
        <v>0.95</v>
      </c>
    </row>
    <row r="38" spans="1:10">
      <c r="A38" s="5" t="s">
        <v>484</v>
      </c>
      <c r="B38" s="5" t="s">
        <v>129</v>
      </c>
      <c r="C38" s="5">
        <v>0.95</v>
      </c>
      <c r="D38" s="5">
        <v>0.94999999999999984</v>
      </c>
      <c r="E38" s="5">
        <v>0.95</v>
      </c>
      <c r="F38" s="5">
        <v>0.95</v>
      </c>
      <c r="G38" s="5">
        <v>0.95</v>
      </c>
      <c r="H38" s="5">
        <v>0.95</v>
      </c>
      <c r="I38" s="5">
        <v>0.94999999999999984</v>
      </c>
      <c r="J38" s="5">
        <v>0.95</v>
      </c>
    </row>
    <row r="39" spans="1:10">
      <c r="A39" s="5" t="s">
        <v>484</v>
      </c>
      <c r="B39" s="5" t="s">
        <v>60</v>
      </c>
      <c r="C39" s="5">
        <v>0</v>
      </c>
      <c r="D39" s="30">
        <v>0.91734003623078653</v>
      </c>
      <c r="E39" s="30">
        <v>0.91734003623078653</v>
      </c>
      <c r="F39" s="30">
        <v>0.91734003623078653</v>
      </c>
      <c r="G39" s="30">
        <v>0.91734003623078653</v>
      </c>
      <c r="H39" s="30">
        <v>0.91734003623078653</v>
      </c>
      <c r="I39" s="30">
        <v>0.91734003623078653</v>
      </c>
      <c r="J39" s="30">
        <v>0.91734003623078653</v>
      </c>
    </row>
    <row r="40" spans="1:10">
      <c r="A40" s="5" t="s">
        <v>484</v>
      </c>
      <c r="B40" s="5" t="s">
        <v>123</v>
      </c>
      <c r="C40" s="5">
        <v>0</v>
      </c>
      <c r="D40" s="5">
        <v>0</v>
      </c>
      <c r="E40" s="5">
        <v>0.95</v>
      </c>
      <c r="F40" s="5">
        <v>0.95</v>
      </c>
      <c r="G40" s="5">
        <v>0.95</v>
      </c>
      <c r="H40" s="5">
        <v>0.95</v>
      </c>
      <c r="I40" s="5">
        <v>0.94999999999999984</v>
      </c>
      <c r="J40" s="5">
        <v>0.95</v>
      </c>
    </row>
    <row r="41" spans="1:10">
      <c r="A41" s="5" t="s">
        <v>484</v>
      </c>
      <c r="B41" s="5" t="s">
        <v>59</v>
      </c>
      <c r="C41" s="5">
        <v>0.95</v>
      </c>
      <c r="D41" s="5">
        <v>0.94999999999999984</v>
      </c>
      <c r="E41" s="5">
        <v>0.95</v>
      </c>
      <c r="F41" s="5">
        <v>0.95</v>
      </c>
      <c r="G41" s="5">
        <v>0.95</v>
      </c>
      <c r="H41" s="5">
        <v>0.95</v>
      </c>
      <c r="I41" s="5">
        <v>0.94999999999999984</v>
      </c>
      <c r="J41" s="5">
        <v>0.95</v>
      </c>
    </row>
    <row r="42" spans="1:10">
      <c r="A42" s="5" t="s">
        <v>484</v>
      </c>
      <c r="B42" s="5" t="s">
        <v>124</v>
      </c>
      <c r="C42" s="5">
        <v>0</v>
      </c>
      <c r="D42" s="5">
        <v>0.94999999999999984</v>
      </c>
      <c r="E42" s="5">
        <v>0.95</v>
      </c>
      <c r="F42" s="5">
        <v>0.95</v>
      </c>
      <c r="G42" s="5">
        <v>0.95</v>
      </c>
      <c r="H42" s="5">
        <v>0.95</v>
      </c>
      <c r="I42" s="5">
        <v>0.94999999999999984</v>
      </c>
      <c r="J42" s="5">
        <v>0.95</v>
      </c>
    </row>
    <row r="43" spans="1:10">
      <c r="A43" s="5" t="s">
        <v>484</v>
      </c>
      <c r="B43" s="5" t="s">
        <v>185</v>
      </c>
      <c r="C43" s="5">
        <v>0.95</v>
      </c>
      <c r="D43" s="5">
        <v>0.94999999999999984</v>
      </c>
      <c r="E43" s="5">
        <v>0.95</v>
      </c>
      <c r="F43" s="5">
        <v>0.95</v>
      </c>
      <c r="G43" s="5">
        <v>0.95</v>
      </c>
      <c r="H43" s="5">
        <v>0.95</v>
      </c>
      <c r="I43" s="5">
        <v>0.94999999999999984</v>
      </c>
      <c r="J43" s="5">
        <v>0.95</v>
      </c>
    </row>
    <row r="44" spans="1:10">
      <c r="A44" s="5" t="s">
        <v>484</v>
      </c>
      <c r="B44" s="5" t="s">
        <v>186</v>
      </c>
      <c r="C44" s="5">
        <v>0.95</v>
      </c>
      <c r="D44" s="5">
        <v>0.94999999999999984</v>
      </c>
      <c r="E44" s="5">
        <v>0.95</v>
      </c>
      <c r="F44" s="5">
        <v>0.95</v>
      </c>
      <c r="G44" s="5">
        <v>0.95</v>
      </c>
      <c r="H44" s="5">
        <v>0.95</v>
      </c>
      <c r="I44" s="5">
        <v>0.94999999999999984</v>
      </c>
      <c r="J44" s="5">
        <v>0.95</v>
      </c>
    </row>
    <row r="45" spans="1:10">
      <c r="A45" s="5" t="s">
        <v>484</v>
      </c>
      <c r="B45" s="5" t="s">
        <v>86</v>
      </c>
      <c r="C45" s="5">
        <v>1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>
        <v>1</v>
      </c>
      <c r="J45" s="5">
        <v>1</v>
      </c>
    </row>
    <row r="46" spans="1:10">
      <c r="A46" s="5" t="s">
        <v>484</v>
      </c>
      <c r="B46" s="5" t="s">
        <v>85</v>
      </c>
      <c r="C46" s="5">
        <v>1</v>
      </c>
      <c r="D46" s="5">
        <v>1</v>
      </c>
      <c r="E46" s="5">
        <v>1</v>
      </c>
      <c r="F46" s="5">
        <v>1</v>
      </c>
      <c r="G46" s="5">
        <v>1</v>
      </c>
      <c r="H46" s="5">
        <v>1</v>
      </c>
      <c r="I46" s="5">
        <v>1</v>
      </c>
      <c r="J46" s="5">
        <v>1</v>
      </c>
    </row>
    <row r="47" spans="1:10">
      <c r="A47" s="5" t="s">
        <v>484</v>
      </c>
      <c r="B47" s="5" t="s">
        <v>84</v>
      </c>
      <c r="C47" s="5">
        <v>1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>
        <v>1</v>
      </c>
      <c r="J47" s="5">
        <v>1</v>
      </c>
    </row>
    <row r="48" spans="1:10">
      <c r="A48" s="5" t="s">
        <v>484</v>
      </c>
      <c r="B48" s="5" t="s">
        <v>87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>
        <v>1</v>
      </c>
      <c r="J48" s="5">
        <v>1</v>
      </c>
    </row>
    <row r="49" spans="1:10">
      <c r="A49" s="5" t="s">
        <v>484</v>
      </c>
      <c r="B49" s="5" t="s">
        <v>88</v>
      </c>
      <c r="C49" s="5">
        <v>1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</row>
    <row r="50" spans="1:10">
      <c r="A50" s="5" t="s">
        <v>484</v>
      </c>
      <c r="B50" s="5" t="s">
        <v>153</v>
      </c>
      <c r="C50" s="5">
        <v>1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>
        <v>1</v>
      </c>
      <c r="J50" s="5">
        <v>1</v>
      </c>
    </row>
    <row r="51" spans="1:10">
      <c r="A51" s="5" t="s">
        <v>484</v>
      </c>
      <c r="B51" s="5" t="s">
        <v>96</v>
      </c>
      <c r="C51" s="5">
        <v>0.98</v>
      </c>
      <c r="D51" s="5">
        <v>0.98</v>
      </c>
      <c r="E51" s="5">
        <v>0.98</v>
      </c>
      <c r="F51" s="5">
        <v>0.98</v>
      </c>
      <c r="G51" s="5">
        <v>0.98</v>
      </c>
      <c r="H51" s="5">
        <v>0.98</v>
      </c>
      <c r="I51" s="5">
        <v>0.98</v>
      </c>
      <c r="J51" s="5">
        <v>0.98</v>
      </c>
    </row>
    <row r="52" spans="1:10">
      <c r="A52" s="5" t="s">
        <v>484</v>
      </c>
      <c r="B52" s="5" t="s">
        <v>97</v>
      </c>
      <c r="C52" s="5">
        <v>0.98</v>
      </c>
      <c r="D52" s="5">
        <v>0.98</v>
      </c>
      <c r="E52" s="5">
        <v>0.98</v>
      </c>
      <c r="F52" s="5">
        <v>0.98</v>
      </c>
      <c r="G52" s="5">
        <v>0.98</v>
      </c>
      <c r="H52" s="5">
        <v>0.98</v>
      </c>
      <c r="I52" s="5">
        <v>0.98</v>
      </c>
      <c r="J52" s="5">
        <v>0.98</v>
      </c>
    </row>
    <row r="53" spans="1:10">
      <c r="A53" s="5" t="s">
        <v>484</v>
      </c>
      <c r="B53" s="5" t="s">
        <v>101</v>
      </c>
      <c r="C53" s="5">
        <v>0.92</v>
      </c>
      <c r="D53" s="5">
        <v>0.92</v>
      </c>
      <c r="E53" s="5">
        <v>0.92</v>
      </c>
      <c r="F53" s="5">
        <v>0.92</v>
      </c>
      <c r="G53" s="5">
        <v>0.92</v>
      </c>
      <c r="H53" s="5">
        <v>0.92</v>
      </c>
      <c r="I53" s="5">
        <v>0.92</v>
      </c>
      <c r="J53" s="5">
        <v>0.92</v>
      </c>
    </row>
    <row r="54" spans="1:10">
      <c r="A54" s="5" t="s">
        <v>484</v>
      </c>
      <c r="B54" s="5" t="s">
        <v>99</v>
      </c>
      <c r="C54" s="5">
        <v>0.9</v>
      </c>
      <c r="D54" s="5">
        <v>0.9</v>
      </c>
      <c r="E54" s="5">
        <v>0.9</v>
      </c>
      <c r="F54" s="5">
        <v>0.9</v>
      </c>
      <c r="G54" s="5">
        <v>0.9</v>
      </c>
      <c r="H54" s="5">
        <v>0.9</v>
      </c>
      <c r="I54" s="5">
        <v>0.9</v>
      </c>
      <c r="J54" s="5">
        <v>0.9</v>
      </c>
    </row>
    <row r="55" spans="1:10">
      <c r="A55" s="5" t="s">
        <v>484</v>
      </c>
      <c r="B55" s="5" t="s">
        <v>100</v>
      </c>
      <c r="C55" s="5">
        <v>0.36</v>
      </c>
      <c r="D55" s="5">
        <v>0.45</v>
      </c>
      <c r="E55" s="5">
        <v>0.46</v>
      </c>
      <c r="F55" s="5">
        <v>0.47</v>
      </c>
      <c r="G55" s="5">
        <v>0.47</v>
      </c>
      <c r="H55" s="5">
        <v>0.47</v>
      </c>
      <c r="I55" s="5">
        <v>0.48</v>
      </c>
      <c r="J55" s="5">
        <v>0.5</v>
      </c>
    </row>
    <row r="56" spans="1:10">
      <c r="A56" s="5" t="s">
        <v>484</v>
      </c>
      <c r="B56" s="5" t="s">
        <v>172</v>
      </c>
      <c r="C56" s="5">
        <v>0.98</v>
      </c>
      <c r="D56" s="5">
        <v>0.98</v>
      </c>
      <c r="E56" s="5">
        <v>0.98</v>
      </c>
      <c r="F56" s="5">
        <v>0.98</v>
      </c>
      <c r="G56" s="5">
        <v>0.98</v>
      </c>
      <c r="H56" s="5">
        <v>0.98</v>
      </c>
      <c r="I56" s="5">
        <v>0.98</v>
      </c>
      <c r="J56" s="5">
        <v>0.98</v>
      </c>
    </row>
    <row r="57" spans="1:10">
      <c r="A57" s="5" t="s">
        <v>484</v>
      </c>
      <c r="B57" s="5" t="s">
        <v>173</v>
      </c>
      <c r="C57" s="5">
        <v>0.98</v>
      </c>
      <c r="D57" s="5">
        <v>0.98</v>
      </c>
      <c r="E57" s="5">
        <v>0.98</v>
      </c>
      <c r="F57" s="5">
        <v>0.98</v>
      </c>
      <c r="G57" s="5">
        <v>0.98</v>
      </c>
      <c r="H57" s="5">
        <v>0.98</v>
      </c>
      <c r="I57" s="5">
        <v>0.98</v>
      </c>
      <c r="J57" s="5">
        <v>0.98</v>
      </c>
    </row>
    <row r="58" spans="1:10">
      <c r="A58" s="5" t="s">
        <v>484</v>
      </c>
      <c r="B58" s="5" t="s">
        <v>90</v>
      </c>
      <c r="C58" s="5">
        <v>0.98</v>
      </c>
      <c r="D58" s="5">
        <v>0.98</v>
      </c>
      <c r="E58" s="5">
        <v>0.98</v>
      </c>
      <c r="F58" s="5">
        <v>0.98</v>
      </c>
      <c r="G58" s="5">
        <v>0.98</v>
      </c>
      <c r="H58" s="5">
        <v>0.98</v>
      </c>
      <c r="I58" s="5">
        <v>0.98</v>
      </c>
      <c r="J58" s="5">
        <v>0.98</v>
      </c>
    </row>
    <row r="59" spans="1:10">
      <c r="A59" s="5" t="s">
        <v>484</v>
      </c>
      <c r="B59" s="5" t="s">
        <v>89</v>
      </c>
      <c r="C59" s="5">
        <v>0.98</v>
      </c>
      <c r="D59" s="5">
        <v>0.98</v>
      </c>
      <c r="E59" s="5">
        <v>0.98</v>
      </c>
      <c r="F59" s="5">
        <v>0.98</v>
      </c>
      <c r="G59" s="5">
        <v>0.98</v>
      </c>
      <c r="H59" s="5">
        <v>0.98</v>
      </c>
      <c r="I59" s="5">
        <v>0.98</v>
      </c>
      <c r="J59" s="5">
        <v>0.98</v>
      </c>
    </row>
    <row r="60" spans="1:10">
      <c r="A60" s="5" t="s">
        <v>484</v>
      </c>
      <c r="B60" s="5" t="s">
        <v>91</v>
      </c>
      <c r="C60" s="5">
        <v>0.98</v>
      </c>
      <c r="D60" s="5">
        <v>0.98</v>
      </c>
      <c r="E60" s="5">
        <v>0.98</v>
      </c>
      <c r="F60" s="5">
        <v>0.98</v>
      </c>
      <c r="G60" s="5">
        <v>0.98</v>
      </c>
      <c r="H60" s="5">
        <v>0.98</v>
      </c>
      <c r="I60" s="5">
        <v>0.98</v>
      </c>
      <c r="J60" s="5">
        <v>0.98</v>
      </c>
    </row>
    <row r="61" spans="1:10">
      <c r="A61" s="5" t="s">
        <v>484</v>
      </c>
      <c r="B61" s="5" t="s">
        <v>165</v>
      </c>
      <c r="C61" s="5">
        <v>0.98</v>
      </c>
      <c r="D61" s="5">
        <v>0.98</v>
      </c>
      <c r="E61" s="5">
        <v>0.98</v>
      </c>
      <c r="F61" s="5">
        <v>0.98</v>
      </c>
      <c r="G61" s="5">
        <v>0.98</v>
      </c>
      <c r="H61" s="5">
        <v>0.98</v>
      </c>
      <c r="I61" s="5">
        <v>0.98</v>
      </c>
      <c r="J61" s="5">
        <v>0.98</v>
      </c>
    </row>
    <row r="62" spans="1:10">
      <c r="A62" s="5" t="s">
        <v>484</v>
      </c>
      <c r="B62" s="5" t="s">
        <v>166</v>
      </c>
      <c r="C62" s="5">
        <v>0.98</v>
      </c>
      <c r="D62" s="5">
        <v>0.98</v>
      </c>
      <c r="E62" s="5">
        <v>0.98</v>
      </c>
      <c r="F62" s="5">
        <v>0.98</v>
      </c>
      <c r="G62" s="5">
        <v>0.98</v>
      </c>
      <c r="H62" s="5">
        <v>0.98</v>
      </c>
      <c r="I62" s="5">
        <v>0.98</v>
      </c>
      <c r="J62" s="5">
        <v>0.98</v>
      </c>
    </row>
    <row r="63" spans="1:10">
      <c r="A63" s="5" t="s">
        <v>484</v>
      </c>
      <c r="B63" s="5" t="s">
        <v>167</v>
      </c>
      <c r="C63" s="5">
        <v>0.98</v>
      </c>
      <c r="D63" s="5">
        <v>0.98</v>
      </c>
      <c r="E63" s="5">
        <v>0.98</v>
      </c>
      <c r="F63" s="5">
        <v>0.98</v>
      </c>
      <c r="G63" s="5">
        <v>0.98</v>
      </c>
      <c r="H63" s="5">
        <v>0.98</v>
      </c>
      <c r="I63" s="5">
        <v>0.98</v>
      </c>
      <c r="J63" s="5">
        <v>0.98</v>
      </c>
    </row>
    <row r="64" spans="1:10">
      <c r="A64" s="5" t="s">
        <v>484</v>
      </c>
      <c r="B64" s="5" t="s">
        <v>93</v>
      </c>
      <c r="C64" s="5">
        <v>0.98</v>
      </c>
      <c r="D64" s="5">
        <v>0.98</v>
      </c>
      <c r="E64" s="5">
        <v>0.98</v>
      </c>
      <c r="F64" s="5">
        <v>0.98</v>
      </c>
      <c r="G64" s="5">
        <v>0.98</v>
      </c>
      <c r="H64" s="5">
        <v>0.98</v>
      </c>
      <c r="I64" s="5">
        <v>0.98</v>
      </c>
      <c r="J64" s="5">
        <v>0.98</v>
      </c>
    </row>
    <row r="65" spans="1:10">
      <c r="A65" s="5" t="s">
        <v>484</v>
      </c>
      <c r="B65" s="5" t="s">
        <v>92</v>
      </c>
      <c r="C65" s="5">
        <v>0.98</v>
      </c>
      <c r="D65" s="5">
        <v>0.98</v>
      </c>
      <c r="E65" s="5">
        <v>0.98</v>
      </c>
      <c r="F65" s="5">
        <v>0.98</v>
      </c>
      <c r="G65" s="5">
        <v>0.98</v>
      </c>
      <c r="H65" s="5">
        <v>0.98</v>
      </c>
      <c r="I65" s="5">
        <v>0.98</v>
      </c>
      <c r="J65" s="5">
        <v>0.98</v>
      </c>
    </row>
    <row r="66" spans="1:10">
      <c r="A66" s="5" t="s">
        <v>484</v>
      </c>
      <c r="B66" s="5" t="s">
        <v>94</v>
      </c>
      <c r="C66" s="5">
        <v>0.98</v>
      </c>
      <c r="D66" s="5">
        <v>0.98</v>
      </c>
      <c r="E66" s="5">
        <v>0.98</v>
      </c>
      <c r="F66" s="5">
        <v>0.98</v>
      </c>
      <c r="G66" s="5">
        <v>0.98</v>
      </c>
      <c r="H66" s="5">
        <v>0.98</v>
      </c>
      <c r="I66" s="5">
        <v>0.98</v>
      </c>
      <c r="J66" s="5">
        <v>0.98</v>
      </c>
    </row>
    <row r="67" spans="1:10">
      <c r="A67" s="5" t="s">
        <v>484</v>
      </c>
      <c r="B67" s="5" t="s">
        <v>121</v>
      </c>
      <c r="C67" s="5">
        <v>0.98199999999999998</v>
      </c>
      <c r="D67" s="5">
        <v>0.98199999999999998</v>
      </c>
      <c r="E67" s="5">
        <v>0.98199999999999998</v>
      </c>
      <c r="F67" s="5">
        <v>0.98199999999999998</v>
      </c>
      <c r="G67" s="5">
        <v>0.98199999999999998</v>
      </c>
      <c r="H67" s="5">
        <v>0.98199999999999998</v>
      </c>
      <c r="I67" s="5">
        <v>0.98199999999999998</v>
      </c>
      <c r="J67" s="5">
        <v>0.98199999999999998</v>
      </c>
    </row>
    <row r="68" spans="1:10">
      <c r="A68" s="5" t="s">
        <v>484</v>
      </c>
      <c r="B68" s="5" t="s">
        <v>122</v>
      </c>
      <c r="C68" s="5">
        <v>0.98199999999999998</v>
      </c>
      <c r="D68" s="5">
        <v>0.98199999999999998</v>
      </c>
      <c r="E68" s="5">
        <v>0.98199999999999998</v>
      </c>
      <c r="F68" s="5">
        <v>0.98199999999999998</v>
      </c>
      <c r="G68" s="5">
        <v>0.98199999999999998</v>
      </c>
      <c r="H68" s="5">
        <v>0.98199999999999998</v>
      </c>
      <c r="I68" s="5">
        <v>0.98199999999999998</v>
      </c>
      <c r="J68" s="5">
        <v>0.98199999999999998</v>
      </c>
    </row>
    <row r="69" spans="1:10">
      <c r="A69" s="5" t="s">
        <v>484</v>
      </c>
      <c r="B69" s="5" t="s">
        <v>157</v>
      </c>
      <c r="C69" s="5">
        <v>0.98199999999999998</v>
      </c>
      <c r="D69" s="5">
        <v>0.98199999999999998</v>
      </c>
      <c r="E69" s="5">
        <v>0.98199999999999998</v>
      </c>
      <c r="F69" s="5">
        <v>0.98199999999999998</v>
      </c>
      <c r="G69" s="5">
        <v>0.98199999999999998</v>
      </c>
      <c r="H69" s="5">
        <v>0.98199999999999998</v>
      </c>
      <c r="I69" s="5">
        <v>0.98199999999999998</v>
      </c>
      <c r="J69" s="5">
        <v>0.98199999999999998</v>
      </c>
    </row>
    <row r="70" spans="1:10">
      <c r="A70" s="5" t="s">
        <v>484</v>
      </c>
      <c r="B70" s="5" t="s">
        <v>195</v>
      </c>
      <c r="C70" s="5">
        <v>1</v>
      </c>
      <c r="D70" s="5">
        <v>1</v>
      </c>
      <c r="E70" s="5">
        <v>1</v>
      </c>
      <c r="F70" s="5">
        <v>1</v>
      </c>
      <c r="G70" s="5">
        <v>1</v>
      </c>
      <c r="H70" s="5">
        <v>1</v>
      </c>
      <c r="I70" s="5">
        <v>1</v>
      </c>
      <c r="J70" s="5">
        <v>1</v>
      </c>
    </row>
    <row r="71" spans="1:10">
      <c r="A71" s="5" t="s">
        <v>484</v>
      </c>
      <c r="B71" s="5" t="s">
        <v>193</v>
      </c>
      <c r="C71" s="5">
        <v>0.84</v>
      </c>
      <c r="D71" s="5">
        <v>0.84</v>
      </c>
      <c r="E71" s="5">
        <v>0.84</v>
      </c>
      <c r="F71" s="5">
        <v>0.84</v>
      </c>
      <c r="G71" s="5">
        <v>0.84</v>
      </c>
      <c r="H71" s="5">
        <v>0.84</v>
      </c>
      <c r="I71" s="5">
        <v>0.84</v>
      </c>
      <c r="J71" s="5">
        <v>0.84</v>
      </c>
    </row>
    <row r="72" spans="1:10">
      <c r="A72" s="5" t="s">
        <v>484</v>
      </c>
      <c r="B72" s="5" t="s">
        <v>194</v>
      </c>
      <c r="C72" s="5">
        <v>0.84</v>
      </c>
      <c r="D72" s="5">
        <v>0.84</v>
      </c>
      <c r="E72" s="5">
        <v>0.84</v>
      </c>
      <c r="F72" s="5">
        <v>0.84</v>
      </c>
      <c r="G72" s="5">
        <v>0.84</v>
      </c>
      <c r="H72" s="5">
        <v>0.84</v>
      </c>
      <c r="I72" s="5">
        <v>0.84</v>
      </c>
      <c r="J72" s="5">
        <v>0.84</v>
      </c>
    </row>
    <row r="73" spans="1:10">
      <c r="A73" s="5" t="s">
        <v>484</v>
      </c>
      <c r="B73" s="5" t="s">
        <v>219</v>
      </c>
      <c r="C73" s="5">
        <v>0.98</v>
      </c>
      <c r="D73" s="5">
        <v>0.98</v>
      </c>
      <c r="E73" s="5">
        <v>0.98</v>
      </c>
      <c r="F73" s="5">
        <v>0.98</v>
      </c>
      <c r="G73" s="5">
        <v>0.98</v>
      </c>
      <c r="H73" s="5">
        <v>0.98</v>
      </c>
      <c r="I73" s="5">
        <v>0.98</v>
      </c>
      <c r="J73" s="5">
        <v>0.98</v>
      </c>
    </row>
    <row r="74" spans="1:10">
      <c r="A74" s="5" t="s">
        <v>484</v>
      </c>
      <c r="B74" s="5" t="s">
        <v>206</v>
      </c>
      <c r="C74" s="5">
        <v>0.98</v>
      </c>
      <c r="D74" s="5">
        <v>0.98</v>
      </c>
      <c r="E74" s="5">
        <v>0.98</v>
      </c>
      <c r="F74" s="5">
        <v>0.98</v>
      </c>
      <c r="G74" s="5">
        <v>0.98</v>
      </c>
      <c r="H74" s="5">
        <v>0.98</v>
      </c>
      <c r="I74" s="5">
        <v>0.98</v>
      </c>
      <c r="J74" s="5">
        <v>0.98</v>
      </c>
    </row>
    <row r="75" spans="1:10">
      <c r="A75" s="5" t="s">
        <v>484</v>
      </c>
      <c r="B75" s="5" t="s">
        <v>201</v>
      </c>
      <c r="C75" s="5">
        <v>0.98</v>
      </c>
      <c r="D75" s="5">
        <v>0.98</v>
      </c>
      <c r="E75" s="5">
        <v>0.98</v>
      </c>
      <c r="F75" s="5">
        <v>0.98</v>
      </c>
      <c r="G75" s="5">
        <v>0.98</v>
      </c>
      <c r="H75" s="5">
        <v>0.98</v>
      </c>
      <c r="I75" s="5">
        <v>0.98</v>
      </c>
      <c r="J75" s="5">
        <v>0.98</v>
      </c>
    </row>
    <row r="76" spans="1:10">
      <c r="A76" s="5" t="s">
        <v>484</v>
      </c>
      <c r="B76" s="5" t="s">
        <v>205</v>
      </c>
      <c r="C76" s="5">
        <v>0.98</v>
      </c>
      <c r="D76" s="5">
        <v>0.98</v>
      </c>
      <c r="E76" s="5">
        <v>0.98</v>
      </c>
      <c r="F76" s="5">
        <v>0.98</v>
      </c>
      <c r="G76" s="5">
        <v>0.98</v>
      </c>
      <c r="H76" s="5">
        <v>0.98</v>
      </c>
      <c r="I76" s="5">
        <v>0.98</v>
      </c>
      <c r="J76" s="5">
        <v>0.98</v>
      </c>
    </row>
    <row r="77" spans="1:10">
      <c r="A77" s="5" t="s">
        <v>484</v>
      </c>
      <c r="B77" s="5" t="s">
        <v>202</v>
      </c>
      <c r="C77" s="5">
        <v>0.98</v>
      </c>
      <c r="D77" s="5">
        <v>0.98</v>
      </c>
      <c r="E77" s="5">
        <v>0.98</v>
      </c>
      <c r="F77" s="5">
        <v>0.98</v>
      </c>
      <c r="G77" s="5">
        <v>0.98</v>
      </c>
      <c r="H77" s="5">
        <v>0.98</v>
      </c>
      <c r="I77" s="5">
        <v>0.98</v>
      </c>
      <c r="J77" s="5">
        <v>0.98</v>
      </c>
    </row>
    <row r="78" spans="1:10">
      <c r="A78" s="5" t="s">
        <v>484</v>
      </c>
      <c r="B78" s="5" t="s">
        <v>203</v>
      </c>
      <c r="C78" s="5">
        <v>0.98</v>
      </c>
      <c r="D78" s="5">
        <v>0.98</v>
      </c>
      <c r="E78" s="5">
        <v>0.98</v>
      </c>
      <c r="F78" s="5">
        <v>0.98</v>
      </c>
      <c r="G78" s="5">
        <v>0.98</v>
      </c>
      <c r="H78" s="5">
        <v>0.98</v>
      </c>
      <c r="I78" s="5">
        <v>0.98</v>
      </c>
      <c r="J78" s="5">
        <v>0.98</v>
      </c>
    </row>
    <row r="79" spans="1:10">
      <c r="A79" s="5" t="s">
        <v>484</v>
      </c>
      <c r="B79" s="5" t="s">
        <v>204</v>
      </c>
      <c r="C79" s="5">
        <v>0.98</v>
      </c>
      <c r="D79" s="5">
        <v>0.98</v>
      </c>
      <c r="E79" s="5">
        <v>0.98</v>
      </c>
      <c r="F79" s="5">
        <v>0.98</v>
      </c>
      <c r="G79" s="5">
        <v>0.98</v>
      </c>
      <c r="H79" s="5">
        <v>0.98</v>
      </c>
      <c r="I79" s="5">
        <v>0.98</v>
      </c>
      <c r="J79" s="5">
        <v>0.98</v>
      </c>
    </row>
    <row r="80" spans="1:10">
      <c r="A80" s="5" t="s">
        <v>484</v>
      </c>
      <c r="B80" s="5" t="s">
        <v>227</v>
      </c>
      <c r="C80" s="5">
        <v>0.98</v>
      </c>
      <c r="D80" s="5">
        <v>0.98</v>
      </c>
      <c r="E80" s="5">
        <v>0.98</v>
      </c>
      <c r="F80" s="5">
        <v>0.98</v>
      </c>
      <c r="G80" s="5">
        <v>0.98</v>
      </c>
      <c r="H80" s="5">
        <v>0.98</v>
      </c>
      <c r="I80" s="5">
        <v>0.98</v>
      </c>
      <c r="J80" s="5">
        <v>0.98</v>
      </c>
    </row>
    <row r="81" spans="1:10">
      <c r="A81" s="5" t="s">
        <v>484</v>
      </c>
      <c r="B81" s="5" t="s">
        <v>228</v>
      </c>
      <c r="C81" s="5">
        <v>0.98</v>
      </c>
      <c r="D81" s="5">
        <v>0.98</v>
      </c>
      <c r="E81" s="5">
        <v>0.98</v>
      </c>
      <c r="F81" s="5">
        <v>0.98</v>
      </c>
      <c r="G81" s="5">
        <v>0.98</v>
      </c>
      <c r="H81" s="5">
        <v>0.98</v>
      </c>
      <c r="I81" s="5">
        <v>0.98</v>
      </c>
      <c r="J81" s="5">
        <v>0.98</v>
      </c>
    </row>
    <row r="82" spans="1:10">
      <c r="A82" s="5" t="s">
        <v>484</v>
      </c>
      <c r="B82" s="5" t="s">
        <v>229</v>
      </c>
      <c r="C82" s="5">
        <v>0.98</v>
      </c>
      <c r="D82" s="5">
        <v>0.98</v>
      </c>
      <c r="E82" s="5">
        <v>0.98</v>
      </c>
      <c r="F82" s="5">
        <v>0.98</v>
      </c>
      <c r="G82" s="5">
        <v>0.98</v>
      </c>
      <c r="H82" s="5">
        <v>0.98</v>
      </c>
      <c r="I82" s="5">
        <v>0.98</v>
      </c>
      <c r="J82" s="5">
        <v>0.98</v>
      </c>
    </row>
    <row r="83" spans="1:10">
      <c r="A83" s="5" t="s">
        <v>484</v>
      </c>
      <c r="B83" s="5" t="s">
        <v>230</v>
      </c>
      <c r="C83" s="5">
        <v>0.98</v>
      </c>
      <c r="D83" s="5">
        <v>0.98</v>
      </c>
      <c r="E83" s="5">
        <v>0.98</v>
      </c>
      <c r="F83" s="5">
        <v>0.98</v>
      </c>
      <c r="G83" s="5">
        <v>0.98</v>
      </c>
      <c r="H83" s="5">
        <v>0.98</v>
      </c>
      <c r="I83" s="5">
        <v>0.98</v>
      </c>
      <c r="J83" s="5">
        <v>0.98</v>
      </c>
    </row>
    <row r="84" spans="1:10">
      <c r="A84" s="5" t="s">
        <v>484</v>
      </c>
      <c r="B84" s="5" t="s">
        <v>231</v>
      </c>
      <c r="C84" s="5">
        <v>0.98</v>
      </c>
      <c r="D84" s="5">
        <v>0.98</v>
      </c>
      <c r="E84" s="5">
        <v>0.98</v>
      </c>
      <c r="F84" s="5">
        <v>0.98</v>
      </c>
      <c r="G84" s="5">
        <v>0.98</v>
      </c>
      <c r="H84" s="5">
        <v>0.98</v>
      </c>
      <c r="I84" s="5">
        <v>0.98</v>
      </c>
      <c r="J84" s="5">
        <v>0.98</v>
      </c>
    </row>
    <row r="85" spans="1:10">
      <c r="A85" s="5" t="s">
        <v>484</v>
      </c>
      <c r="B85" s="5" t="s">
        <v>210</v>
      </c>
      <c r="C85" s="5">
        <v>0</v>
      </c>
      <c r="D85" s="5">
        <v>0.98</v>
      </c>
      <c r="E85" s="5">
        <v>0.98</v>
      </c>
      <c r="F85" s="5">
        <v>0.98</v>
      </c>
      <c r="G85" s="5">
        <v>0.98</v>
      </c>
      <c r="H85" s="5">
        <v>0.98</v>
      </c>
      <c r="I85" s="5">
        <v>0.98</v>
      </c>
      <c r="J85" s="5">
        <v>0.98</v>
      </c>
    </row>
    <row r="86" spans="1:10">
      <c r="A86" s="5" t="s">
        <v>484</v>
      </c>
      <c r="B86" s="5" t="s">
        <v>220</v>
      </c>
      <c r="C86" s="5">
        <v>0.98</v>
      </c>
      <c r="D86" s="5">
        <v>0.98</v>
      </c>
      <c r="E86" s="5">
        <v>0.98</v>
      </c>
      <c r="F86" s="5">
        <v>0.98</v>
      </c>
      <c r="G86" s="5">
        <v>0.98</v>
      </c>
      <c r="H86" s="5">
        <v>0.98</v>
      </c>
      <c r="I86" s="5">
        <v>0.98</v>
      </c>
      <c r="J86" s="5">
        <v>0.98</v>
      </c>
    </row>
    <row r="87" spans="1:10">
      <c r="A87" s="5" t="s">
        <v>484</v>
      </c>
      <c r="B87" s="5" t="s">
        <v>221</v>
      </c>
      <c r="C87" s="5">
        <v>0.98</v>
      </c>
      <c r="D87" s="5">
        <v>0.98</v>
      </c>
      <c r="E87" s="5">
        <v>0.98</v>
      </c>
      <c r="F87" s="5">
        <v>0.98</v>
      </c>
      <c r="G87" s="5">
        <v>0.98</v>
      </c>
      <c r="H87" s="5">
        <v>0.98</v>
      </c>
      <c r="I87" s="5">
        <v>0.98</v>
      </c>
      <c r="J87" s="5">
        <v>0.98</v>
      </c>
    </row>
    <row r="88" spans="1:10">
      <c r="A88" s="5" t="s">
        <v>484</v>
      </c>
      <c r="B88" s="5" t="s">
        <v>211</v>
      </c>
      <c r="C88" s="5">
        <v>0.98</v>
      </c>
      <c r="D88" s="5">
        <v>0.98</v>
      </c>
      <c r="E88" s="5">
        <v>0.98</v>
      </c>
      <c r="F88" s="5">
        <v>0.98</v>
      </c>
      <c r="G88" s="5">
        <v>0.98</v>
      </c>
      <c r="H88" s="5">
        <v>0.98</v>
      </c>
      <c r="I88" s="5">
        <v>0.98</v>
      </c>
      <c r="J88" s="5">
        <v>0.98</v>
      </c>
    </row>
    <row r="89" spans="1:10">
      <c r="A89" s="5" t="s">
        <v>484</v>
      </c>
      <c r="B89" s="5" t="s">
        <v>212</v>
      </c>
      <c r="C89" s="5">
        <v>0.98</v>
      </c>
      <c r="D89" s="5">
        <v>0.98</v>
      </c>
      <c r="E89" s="5">
        <v>0.98</v>
      </c>
      <c r="F89" s="5">
        <v>0.98</v>
      </c>
      <c r="G89" s="5">
        <v>0.98</v>
      </c>
      <c r="H89" s="5">
        <v>0.98</v>
      </c>
      <c r="I89" s="5">
        <v>0.98</v>
      </c>
      <c r="J89" s="5">
        <v>0.98</v>
      </c>
    </row>
    <row r="90" spans="1:10">
      <c r="A90" s="5" t="s">
        <v>484</v>
      </c>
      <c r="B90" s="5" t="s">
        <v>213</v>
      </c>
      <c r="C90" s="5">
        <v>0.98</v>
      </c>
      <c r="D90" s="5">
        <v>0.98</v>
      </c>
      <c r="E90" s="5">
        <v>0.98</v>
      </c>
      <c r="F90" s="5">
        <v>0.98</v>
      </c>
      <c r="G90" s="5">
        <v>0.98</v>
      </c>
      <c r="H90" s="5">
        <v>0.98</v>
      </c>
      <c r="I90" s="5">
        <v>0.98</v>
      </c>
      <c r="J90" s="5">
        <v>0.98</v>
      </c>
    </row>
    <row r="91" spans="1:10">
      <c r="A91" s="5" t="s">
        <v>484</v>
      </c>
      <c r="B91" s="5" t="s">
        <v>214</v>
      </c>
      <c r="C91" s="5">
        <v>0.98</v>
      </c>
      <c r="D91" s="5">
        <v>0.98</v>
      </c>
      <c r="E91" s="5">
        <v>0.98</v>
      </c>
      <c r="F91" s="5">
        <v>0.98</v>
      </c>
      <c r="G91" s="5">
        <v>0.98</v>
      </c>
      <c r="H91" s="5">
        <v>0.98</v>
      </c>
      <c r="I91" s="5">
        <v>0.98</v>
      </c>
      <c r="J91" s="5">
        <v>0.98</v>
      </c>
    </row>
    <row r="92" spans="1:10">
      <c r="A92" s="5" t="s">
        <v>484</v>
      </c>
      <c r="B92" s="5" t="s">
        <v>215</v>
      </c>
      <c r="C92" s="5">
        <v>0.98</v>
      </c>
      <c r="D92" s="5">
        <v>0.98</v>
      </c>
      <c r="E92" s="5">
        <v>0.98</v>
      </c>
      <c r="F92" s="5">
        <v>0.98</v>
      </c>
      <c r="G92" s="5">
        <v>0.98</v>
      </c>
      <c r="H92" s="5">
        <v>0.98</v>
      </c>
      <c r="I92" s="5">
        <v>0.98</v>
      </c>
      <c r="J92" s="5">
        <v>0.98</v>
      </c>
    </row>
    <row r="93" spans="1:10">
      <c r="A93" s="5" t="s">
        <v>484</v>
      </c>
      <c r="B93" s="5" t="s">
        <v>216</v>
      </c>
      <c r="C93" s="5">
        <v>0.98</v>
      </c>
      <c r="D93" s="5">
        <v>0.98</v>
      </c>
      <c r="E93" s="5">
        <v>0.98</v>
      </c>
      <c r="F93" s="5">
        <v>0.98</v>
      </c>
      <c r="G93" s="5">
        <v>0.98</v>
      </c>
      <c r="H93" s="5">
        <v>0.98</v>
      </c>
      <c r="I93" s="5">
        <v>0.98</v>
      </c>
      <c r="J93" s="5">
        <v>0.98</v>
      </c>
    </row>
    <row r="94" spans="1:10">
      <c r="A94" s="5" t="s">
        <v>484</v>
      </c>
      <c r="B94" s="5" t="s">
        <v>244</v>
      </c>
      <c r="C94" s="5">
        <v>0.98</v>
      </c>
      <c r="D94" s="5">
        <v>0.98</v>
      </c>
      <c r="E94" s="5">
        <v>0.98</v>
      </c>
      <c r="F94" s="5">
        <v>0.98</v>
      </c>
      <c r="G94" s="5">
        <v>0.98</v>
      </c>
      <c r="H94" s="5">
        <v>0.98</v>
      </c>
      <c r="I94" s="5">
        <v>0.98</v>
      </c>
      <c r="J94" s="5">
        <v>0.98</v>
      </c>
    </row>
    <row r="95" spans="1:10">
      <c r="A95" s="5" t="s">
        <v>484</v>
      </c>
      <c r="B95" s="5" t="s">
        <v>233</v>
      </c>
      <c r="C95" s="5">
        <v>0.98</v>
      </c>
      <c r="D95" s="5">
        <v>0.98</v>
      </c>
      <c r="E95" s="5">
        <v>0.98</v>
      </c>
      <c r="F95" s="5">
        <v>0.98</v>
      </c>
      <c r="G95" s="5">
        <v>0.98</v>
      </c>
      <c r="H95" s="5">
        <v>0.98</v>
      </c>
      <c r="I95" s="5">
        <v>0.98</v>
      </c>
      <c r="J95" s="5">
        <v>0.98</v>
      </c>
    </row>
    <row r="96" spans="1:10">
      <c r="A96" s="5" t="s">
        <v>484</v>
      </c>
      <c r="B96" s="5" t="s">
        <v>234</v>
      </c>
      <c r="C96" s="5">
        <v>0</v>
      </c>
      <c r="D96" s="5">
        <v>0</v>
      </c>
      <c r="E96" s="5">
        <v>0</v>
      </c>
      <c r="F96" s="5">
        <v>0.98</v>
      </c>
      <c r="G96" s="5">
        <v>0.98</v>
      </c>
      <c r="H96" s="5">
        <v>0.98</v>
      </c>
      <c r="I96" s="5">
        <v>0.98</v>
      </c>
      <c r="J96" s="5">
        <v>0.98</v>
      </c>
    </row>
    <row r="97" spans="1:10">
      <c r="A97" s="5" t="s">
        <v>484</v>
      </c>
      <c r="B97" s="5" t="s">
        <v>217</v>
      </c>
      <c r="C97" s="5">
        <v>0</v>
      </c>
      <c r="D97" s="5">
        <v>0.98</v>
      </c>
      <c r="E97" s="5">
        <v>0.98</v>
      </c>
      <c r="F97" s="5">
        <v>0.98</v>
      </c>
      <c r="G97" s="5">
        <v>0.98</v>
      </c>
      <c r="H97" s="5">
        <v>0.98</v>
      </c>
      <c r="I97" s="5">
        <v>0.98</v>
      </c>
      <c r="J97" s="5">
        <v>0.98</v>
      </c>
    </row>
    <row r="98" spans="1:10">
      <c r="A98" s="5" t="s">
        <v>484</v>
      </c>
      <c r="B98" s="5" t="s">
        <v>222</v>
      </c>
      <c r="C98" s="5">
        <v>0.98</v>
      </c>
      <c r="D98" s="5">
        <v>0.98</v>
      </c>
      <c r="E98" s="5">
        <v>0.98</v>
      </c>
      <c r="F98" s="5">
        <v>0.98</v>
      </c>
      <c r="G98" s="5">
        <v>0.98</v>
      </c>
      <c r="H98" s="5">
        <v>0.98</v>
      </c>
      <c r="I98" s="5">
        <v>0.98</v>
      </c>
      <c r="J98" s="5">
        <v>0.98</v>
      </c>
    </row>
    <row r="99" spans="1:10">
      <c r="A99" s="5" t="s">
        <v>484</v>
      </c>
      <c r="B99" s="5" t="s">
        <v>232</v>
      </c>
      <c r="C99" s="5">
        <v>0.98</v>
      </c>
      <c r="D99" s="5">
        <v>0.98</v>
      </c>
      <c r="E99" s="5">
        <v>0.98</v>
      </c>
      <c r="F99" s="5">
        <v>0.98</v>
      </c>
      <c r="G99" s="5">
        <v>0.98</v>
      </c>
      <c r="H99" s="5">
        <v>0.98</v>
      </c>
      <c r="I99" s="5">
        <v>0.98</v>
      </c>
      <c r="J99" s="5">
        <v>0.98</v>
      </c>
    </row>
    <row r="100" spans="1:10">
      <c r="A100" s="5" t="s">
        <v>484</v>
      </c>
      <c r="B100" s="5" t="s">
        <v>218</v>
      </c>
      <c r="C100" s="5">
        <v>0.98</v>
      </c>
      <c r="D100" s="5">
        <v>0.98</v>
      </c>
      <c r="E100" s="5">
        <v>0.98</v>
      </c>
      <c r="F100" s="5">
        <v>0.98</v>
      </c>
      <c r="G100" s="5">
        <v>0.98</v>
      </c>
      <c r="H100" s="5">
        <v>0.98</v>
      </c>
      <c r="I100" s="5">
        <v>0.98</v>
      </c>
      <c r="J100" s="5">
        <v>0.98</v>
      </c>
    </row>
    <row r="101" spans="1:10">
      <c r="A101" s="5" t="s">
        <v>484</v>
      </c>
      <c r="B101" s="5" t="s">
        <v>225</v>
      </c>
      <c r="C101" s="5">
        <v>0.98</v>
      </c>
      <c r="D101" s="5">
        <v>0.98</v>
      </c>
      <c r="E101" s="5">
        <v>0.98</v>
      </c>
      <c r="F101" s="5">
        <v>0.98</v>
      </c>
      <c r="G101" s="5">
        <v>0.98</v>
      </c>
      <c r="H101" s="5">
        <v>0.98</v>
      </c>
      <c r="I101" s="5">
        <v>0.98</v>
      </c>
      <c r="J101" s="5">
        <v>0.98</v>
      </c>
    </row>
    <row r="102" spans="1:10">
      <c r="A102" s="5" t="s">
        <v>484</v>
      </c>
      <c r="B102" s="5" t="s">
        <v>236</v>
      </c>
      <c r="C102" s="5">
        <v>0</v>
      </c>
      <c r="D102" s="5">
        <v>0</v>
      </c>
      <c r="E102" s="5">
        <v>0.98</v>
      </c>
      <c r="F102" s="5">
        <v>0.98</v>
      </c>
      <c r="G102" s="5">
        <v>0.98</v>
      </c>
      <c r="H102" s="5">
        <v>0.98</v>
      </c>
      <c r="I102" s="5">
        <v>0.98</v>
      </c>
      <c r="J102" s="5">
        <v>0.98</v>
      </c>
    </row>
    <row r="103" spans="1:10">
      <c r="A103" s="5" t="s">
        <v>484</v>
      </c>
      <c r="B103" s="5" t="s">
        <v>223</v>
      </c>
      <c r="C103" s="5">
        <v>0.98</v>
      </c>
      <c r="D103" s="5">
        <v>0.98</v>
      </c>
      <c r="E103" s="5">
        <v>0.98</v>
      </c>
      <c r="F103" s="5">
        <v>0.98</v>
      </c>
      <c r="G103" s="5">
        <v>0.98</v>
      </c>
      <c r="H103" s="5">
        <v>0.98</v>
      </c>
      <c r="I103" s="5">
        <v>0.98</v>
      </c>
      <c r="J103" s="5">
        <v>0.98</v>
      </c>
    </row>
    <row r="104" spans="1:10">
      <c r="A104" s="5" t="s">
        <v>484</v>
      </c>
      <c r="B104" s="5" t="s">
        <v>224</v>
      </c>
      <c r="C104" s="5">
        <v>0.98</v>
      </c>
      <c r="D104" s="5">
        <v>0.98</v>
      </c>
      <c r="E104" s="5">
        <v>0.98</v>
      </c>
      <c r="F104" s="5">
        <v>0.98</v>
      </c>
      <c r="G104" s="5">
        <v>0.98</v>
      </c>
      <c r="H104" s="5">
        <v>0.98</v>
      </c>
      <c r="I104" s="5">
        <v>0.98</v>
      </c>
      <c r="J104" s="5">
        <v>0.98</v>
      </c>
    </row>
    <row r="105" spans="1:10">
      <c r="A105" s="5" t="s">
        <v>484</v>
      </c>
      <c r="B105" s="5" t="s">
        <v>235</v>
      </c>
      <c r="C105" s="5">
        <v>0.98</v>
      </c>
      <c r="D105" s="5">
        <v>0.98</v>
      </c>
      <c r="E105" s="5">
        <v>0.98</v>
      </c>
      <c r="F105" s="5">
        <v>0.98</v>
      </c>
      <c r="G105" s="5">
        <v>0.98</v>
      </c>
      <c r="H105" s="5">
        <v>0.98</v>
      </c>
      <c r="I105" s="5">
        <v>0.98</v>
      </c>
      <c r="J105" s="5">
        <v>0.98</v>
      </c>
    </row>
    <row r="106" spans="1:10">
      <c r="A106" s="5" t="s">
        <v>484</v>
      </c>
      <c r="B106" s="5" t="s">
        <v>226</v>
      </c>
      <c r="C106" s="5">
        <v>0.98</v>
      </c>
      <c r="D106" s="5">
        <v>0.98</v>
      </c>
      <c r="E106" s="5">
        <v>0.98</v>
      </c>
      <c r="F106" s="5">
        <v>0.98</v>
      </c>
      <c r="G106" s="5">
        <v>0.98</v>
      </c>
      <c r="H106" s="5">
        <v>0.98</v>
      </c>
      <c r="I106" s="5">
        <v>0.98</v>
      </c>
      <c r="J106" s="5">
        <v>0.98</v>
      </c>
    </row>
    <row r="107" spans="1:10">
      <c r="A107" s="5" t="s">
        <v>484</v>
      </c>
      <c r="B107" s="5" t="s">
        <v>238</v>
      </c>
      <c r="C107" s="5">
        <v>0.98</v>
      </c>
      <c r="D107" s="5">
        <v>0.98</v>
      </c>
      <c r="E107" s="5">
        <v>0.98</v>
      </c>
      <c r="F107" s="5">
        <v>0.98</v>
      </c>
      <c r="G107" s="5">
        <v>0.98</v>
      </c>
      <c r="H107" s="5">
        <v>0.98</v>
      </c>
      <c r="I107" s="5">
        <v>0.98</v>
      </c>
      <c r="J107" s="5">
        <v>0.98</v>
      </c>
    </row>
    <row r="108" spans="1:10">
      <c r="A108" s="5" t="s">
        <v>484</v>
      </c>
      <c r="B108" s="5" t="s">
        <v>239</v>
      </c>
      <c r="C108" s="5">
        <v>0.98</v>
      </c>
      <c r="D108" s="5">
        <v>0.98</v>
      </c>
      <c r="E108" s="5">
        <v>0.98</v>
      </c>
      <c r="F108" s="5">
        <v>0.98</v>
      </c>
      <c r="G108" s="5">
        <v>0.98</v>
      </c>
      <c r="H108" s="5">
        <v>0.98</v>
      </c>
      <c r="I108" s="5">
        <v>0.98</v>
      </c>
      <c r="J108" s="5">
        <v>0.98</v>
      </c>
    </row>
    <row r="109" spans="1:10">
      <c r="A109" s="5" t="s">
        <v>484</v>
      </c>
      <c r="B109" s="5" t="s">
        <v>240</v>
      </c>
      <c r="C109" s="5">
        <v>0.98</v>
      </c>
      <c r="D109" s="5">
        <v>0.98</v>
      </c>
      <c r="E109" s="5">
        <v>0.98</v>
      </c>
      <c r="F109" s="5">
        <v>0.98</v>
      </c>
      <c r="G109" s="5">
        <v>0.98</v>
      </c>
      <c r="H109" s="5">
        <v>0.98</v>
      </c>
      <c r="I109" s="5">
        <v>0.98</v>
      </c>
      <c r="J109" s="5">
        <v>0.98</v>
      </c>
    </row>
    <row r="110" spans="1:10">
      <c r="A110" s="5" t="s">
        <v>484</v>
      </c>
      <c r="B110" s="5" t="s">
        <v>241</v>
      </c>
      <c r="C110" s="5">
        <v>0</v>
      </c>
      <c r="D110" s="5">
        <v>0</v>
      </c>
      <c r="E110" s="5">
        <v>0</v>
      </c>
      <c r="F110" s="5">
        <v>0.98</v>
      </c>
      <c r="G110" s="5">
        <v>0.98</v>
      </c>
      <c r="H110" s="5">
        <v>0.98</v>
      </c>
      <c r="I110" s="5">
        <v>0.98</v>
      </c>
      <c r="J110" s="5">
        <v>0.98</v>
      </c>
    </row>
    <row r="111" spans="1:10">
      <c r="A111" s="5" t="s">
        <v>484</v>
      </c>
      <c r="B111" s="5" t="s">
        <v>242</v>
      </c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0.98</v>
      </c>
      <c r="I111" s="5">
        <v>0.98</v>
      </c>
      <c r="J111" s="5">
        <v>0.98</v>
      </c>
    </row>
    <row r="112" spans="1:10">
      <c r="A112" s="5" t="s">
        <v>484</v>
      </c>
      <c r="B112" s="5" t="s">
        <v>243</v>
      </c>
      <c r="C112" s="5">
        <v>0</v>
      </c>
      <c r="D112" s="5">
        <v>0</v>
      </c>
      <c r="E112" s="5">
        <v>0.98</v>
      </c>
      <c r="F112" s="5">
        <v>0.98</v>
      </c>
      <c r="G112" s="5">
        <v>0.98</v>
      </c>
      <c r="H112" s="5">
        <v>0.98</v>
      </c>
      <c r="I112" s="5">
        <v>0.98</v>
      </c>
      <c r="J112" s="5">
        <v>0.98</v>
      </c>
    </row>
    <row r="113" spans="1:10">
      <c r="A113" s="5" t="s">
        <v>484</v>
      </c>
      <c r="B113" s="5" t="s">
        <v>23</v>
      </c>
      <c r="C113" s="5">
        <v>0.8</v>
      </c>
      <c r="D113" s="5">
        <v>0.8</v>
      </c>
      <c r="E113" s="5">
        <v>0.8</v>
      </c>
      <c r="F113" s="5">
        <v>0.8</v>
      </c>
      <c r="G113" s="5">
        <v>0.8</v>
      </c>
      <c r="H113" s="5">
        <v>0.8</v>
      </c>
      <c r="I113" s="5">
        <v>0.8</v>
      </c>
      <c r="J113" s="5">
        <v>0.8</v>
      </c>
    </row>
    <row r="114" spans="1:10">
      <c r="A114" s="5" t="s">
        <v>484</v>
      </c>
      <c r="B114" s="5" t="s">
        <v>23</v>
      </c>
      <c r="C114" s="5">
        <v>0.8</v>
      </c>
      <c r="D114" s="5">
        <v>0.8</v>
      </c>
      <c r="E114" s="5">
        <v>0.8</v>
      </c>
      <c r="F114" s="5">
        <v>0.8</v>
      </c>
      <c r="G114" s="5">
        <v>0.8</v>
      </c>
      <c r="H114" s="5">
        <v>0.8</v>
      </c>
      <c r="I114" s="5">
        <v>0.8</v>
      </c>
      <c r="J114" s="5">
        <v>0.8</v>
      </c>
    </row>
    <row r="115" spans="1:10">
      <c r="A115" s="5" t="s">
        <v>484</v>
      </c>
      <c r="B115" s="5" t="s">
        <v>107</v>
      </c>
      <c r="C115" s="5">
        <v>0.8</v>
      </c>
      <c r="D115" s="5">
        <v>0.8</v>
      </c>
      <c r="E115" s="5">
        <v>0.8</v>
      </c>
      <c r="F115" s="5">
        <v>0.8</v>
      </c>
      <c r="G115" s="5">
        <v>0.8</v>
      </c>
      <c r="H115" s="5">
        <v>0.8</v>
      </c>
      <c r="I115" s="5">
        <v>0.8</v>
      </c>
      <c r="J115" s="5">
        <v>0.8</v>
      </c>
    </row>
    <row r="116" spans="1:10">
      <c r="A116" s="5" t="s">
        <v>484</v>
      </c>
      <c r="B116" s="5" t="s">
        <v>107</v>
      </c>
      <c r="C116" s="5">
        <v>0.8</v>
      </c>
      <c r="D116" s="5">
        <v>0.8</v>
      </c>
      <c r="E116" s="5">
        <v>0.8</v>
      </c>
      <c r="F116" s="5">
        <v>0.8</v>
      </c>
      <c r="G116" s="5">
        <v>0.8</v>
      </c>
      <c r="H116" s="5">
        <v>0.8</v>
      </c>
      <c r="I116" s="5">
        <v>0.8</v>
      </c>
      <c r="J116" s="5">
        <v>0.8</v>
      </c>
    </row>
    <row r="117" spans="1:10">
      <c r="A117" s="5" t="s">
        <v>484</v>
      </c>
      <c r="B117" s="5" t="s">
        <v>249</v>
      </c>
      <c r="C117" s="5">
        <v>0.98</v>
      </c>
      <c r="D117" s="5">
        <v>0.98</v>
      </c>
      <c r="E117" s="5">
        <v>0.98</v>
      </c>
      <c r="F117" s="5">
        <v>0.98</v>
      </c>
      <c r="G117" s="5">
        <v>0.98</v>
      </c>
      <c r="H117" s="5">
        <v>0.98</v>
      </c>
      <c r="I117" s="5">
        <v>0.98</v>
      </c>
      <c r="J117" s="5">
        <v>0.98</v>
      </c>
    </row>
    <row r="118" spans="1:10">
      <c r="A118" s="5" t="s">
        <v>484</v>
      </c>
      <c r="B118" s="5" t="s">
        <v>250</v>
      </c>
      <c r="C118" s="5">
        <v>0.98</v>
      </c>
      <c r="D118" s="5">
        <v>0.98</v>
      </c>
      <c r="E118" s="5">
        <v>0.98</v>
      </c>
      <c r="F118" s="5">
        <v>0.98</v>
      </c>
      <c r="G118" s="5">
        <v>0.98</v>
      </c>
      <c r="H118" s="5">
        <v>0.98</v>
      </c>
      <c r="I118" s="5">
        <v>0.98</v>
      </c>
      <c r="J118" s="5">
        <v>0.98</v>
      </c>
    </row>
    <row r="119" spans="1:10">
      <c r="A119" s="5" t="s">
        <v>484</v>
      </c>
      <c r="B119" s="5" t="s">
        <v>262</v>
      </c>
      <c r="C119" s="5">
        <v>0.98</v>
      </c>
      <c r="D119" s="5">
        <v>0.98</v>
      </c>
      <c r="E119" s="5">
        <v>0.98</v>
      </c>
      <c r="F119" s="5">
        <v>0.98</v>
      </c>
      <c r="G119" s="5">
        <v>0.98</v>
      </c>
      <c r="H119" s="5">
        <v>0.98</v>
      </c>
      <c r="I119" s="5">
        <v>0.98</v>
      </c>
      <c r="J119" s="5">
        <v>0.98</v>
      </c>
    </row>
    <row r="120" spans="1:10">
      <c r="A120" s="5" t="s">
        <v>484</v>
      </c>
      <c r="B120" s="5" t="s">
        <v>256</v>
      </c>
      <c r="C120" s="5">
        <v>0.98</v>
      </c>
      <c r="D120" s="5">
        <v>0.98</v>
      </c>
      <c r="E120" s="5">
        <v>0.98</v>
      </c>
      <c r="F120" s="5">
        <v>0.98</v>
      </c>
      <c r="G120" s="5">
        <v>0.98</v>
      </c>
      <c r="H120" s="5">
        <v>0.98</v>
      </c>
      <c r="I120" s="5">
        <v>0.98</v>
      </c>
      <c r="J120" s="5">
        <v>0.98</v>
      </c>
    </row>
    <row r="121" spans="1:10">
      <c r="A121" s="5" t="s">
        <v>484</v>
      </c>
      <c r="B121" s="5" t="s">
        <v>257</v>
      </c>
      <c r="C121" s="5">
        <v>0.98</v>
      </c>
      <c r="D121" s="5">
        <v>0.98</v>
      </c>
      <c r="E121" s="5">
        <v>0.98</v>
      </c>
      <c r="F121" s="5">
        <v>0.98</v>
      </c>
      <c r="G121" s="5">
        <v>0.98</v>
      </c>
      <c r="H121" s="5">
        <v>0.98</v>
      </c>
      <c r="I121" s="5">
        <v>0.98</v>
      </c>
      <c r="J121" s="5">
        <v>0.98</v>
      </c>
    </row>
    <row r="122" spans="1:10">
      <c r="A122" s="5" t="s">
        <v>484</v>
      </c>
      <c r="B122" s="5" t="s">
        <v>263</v>
      </c>
      <c r="C122" s="5">
        <v>0.98</v>
      </c>
      <c r="D122" s="5">
        <v>0.98</v>
      </c>
      <c r="E122" s="5">
        <v>0.98</v>
      </c>
      <c r="F122" s="5">
        <v>0.98</v>
      </c>
      <c r="G122" s="5">
        <v>0.98</v>
      </c>
      <c r="H122" s="5">
        <v>0.98</v>
      </c>
      <c r="I122" s="5">
        <v>0.98</v>
      </c>
      <c r="J122" s="5">
        <v>0.98</v>
      </c>
    </row>
    <row r="123" spans="1:10">
      <c r="A123" s="5" t="s">
        <v>484</v>
      </c>
      <c r="B123" s="5" t="s">
        <v>254</v>
      </c>
      <c r="C123" s="5">
        <v>0.98</v>
      </c>
      <c r="D123" s="5">
        <v>0.98</v>
      </c>
      <c r="E123" s="5">
        <v>0.98</v>
      </c>
      <c r="F123" s="5">
        <v>0.98</v>
      </c>
      <c r="G123" s="5">
        <v>0.98</v>
      </c>
      <c r="H123" s="5">
        <v>0.98</v>
      </c>
      <c r="I123" s="5">
        <v>0.98</v>
      </c>
      <c r="J123" s="5">
        <v>0.98</v>
      </c>
    </row>
    <row r="124" spans="1:10">
      <c r="A124" s="5" t="s">
        <v>484</v>
      </c>
      <c r="B124" s="5" t="s">
        <v>255</v>
      </c>
      <c r="C124" s="5">
        <v>0.98</v>
      </c>
      <c r="D124" s="5">
        <v>0.98</v>
      </c>
      <c r="E124" s="5">
        <v>0.98</v>
      </c>
      <c r="F124" s="5">
        <v>0.98</v>
      </c>
      <c r="G124" s="5">
        <v>0.98</v>
      </c>
      <c r="H124" s="5">
        <v>0.98</v>
      </c>
      <c r="I124" s="5">
        <v>0.98</v>
      </c>
      <c r="J124" s="5">
        <v>0.98</v>
      </c>
    </row>
    <row r="125" spans="1:10">
      <c r="A125" s="5" t="s">
        <v>484</v>
      </c>
      <c r="B125" s="5" t="s">
        <v>258</v>
      </c>
      <c r="C125" s="5">
        <v>0.98</v>
      </c>
      <c r="D125" s="5">
        <v>0.98</v>
      </c>
      <c r="E125" s="5">
        <v>0.98</v>
      </c>
      <c r="F125" s="5">
        <v>0.98</v>
      </c>
      <c r="G125" s="5">
        <v>0.98</v>
      </c>
      <c r="H125" s="5">
        <v>0.98</v>
      </c>
      <c r="I125" s="5">
        <v>0.98</v>
      </c>
      <c r="J125" s="5">
        <v>0.98</v>
      </c>
    </row>
    <row r="126" spans="1:10">
      <c r="A126" s="5" t="s">
        <v>484</v>
      </c>
      <c r="B126" s="5" t="s">
        <v>259</v>
      </c>
      <c r="C126" s="5">
        <v>0.98</v>
      </c>
      <c r="D126" s="5">
        <v>0.98</v>
      </c>
      <c r="E126" s="5">
        <v>0.98</v>
      </c>
      <c r="F126" s="5">
        <v>0.98</v>
      </c>
      <c r="G126" s="5">
        <v>0.98</v>
      </c>
      <c r="H126" s="5">
        <v>0.98</v>
      </c>
      <c r="I126" s="5">
        <v>0.98</v>
      </c>
      <c r="J126" s="5">
        <v>0.98</v>
      </c>
    </row>
    <row r="127" spans="1:10">
      <c r="A127" s="5" t="s">
        <v>484</v>
      </c>
      <c r="B127" s="5" t="s">
        <v>251</v>
      </c>
      <c r="C127" s="5">
        <v>0.98</v>
      </c>
      <c r="D127" s="5">
        <v>0.98</v>
      </c>
      <c r="E127" s="5">
        <v>0.98</v>
      </c>
      <c r="F127" s="5">
        <v>0.98</v>
      </c>
      <c r="G127" s="5">
        <v>0.98</v>
      </c>
      <c r="H127" s="5">
        <v>0.98</v>
      </c>
      <c r="I127" s="5">
        <v>0.98</v>
      </c>
      <c r="J127" s="5">
        <v>0.98</v>
      </c>
    </row>
    <row r="128" spans="1:10">
      <c r="A128" s="5" t="s">
        <v>484</v>
      </c>
      <c r="B128" s="5" t="s">
        <v>252</v>
      </c>
      <c r="C128" s="5">
        <v>0.98</v>
      </c>
      <c r="D128" s="5">
        <v>0.98</v>
      </c>
      <c r="E128" s="5">
        <v>0.98</v>
      </c>
      <c r="F128" s="5">
        <v>0.98</v>
      </c>
      <c r="G128" s="5">
        <v>0.98</v>
      </c>
      <c r="H128" s="5">
        <v>0.98</v>
      </c>
      <c r="I128" s="5">
        <v>0.98</v>
      </c>
      <c r="J128" s="5">
        <v>0.98</v>
      </c>
    </row>
    <row r="129" spans="1:10">
      <c r="A129" s="5" t="s">
        <v>484</v>
      </c>
      <c r="B129" s="5" t="s">
        <v>253</v>
      </c>
      <c r="C129" s="5">
        <v>0.98</v>
      </c>
      <c r="D129" s="5">
        <v>0.98</v>
      </c>
      <c r="E129" s="5">
        <v>0.98</v>
      </c>
      <c r="F129" s="5">
        <v>0.98</v>
      </c>
      <c r="G129" s="5">
        <v>0.98</v>
      </c>
      <c r="H129" s="5">
        <v>0.98</v>
      </c>
      <c r="I129" s="5">
        <v>0.98</v>
      </c>
      <c r="J129" s="5">
        <v>0.98</v>
      </c>
    </row>
    <row r="130" spans="1:10">
      <c r="A130" s="5" t="s">
        <v>484</v>
      </c>
      <c r="B130" s="5" t="s">
        <v>260</v>
      </c>
      <c r="C130" s="5">
        <v>0.98</v>
      </c>
      <c r="D130" s="5">
        <v>0.98</v>
      </c>
      <c r="E130" s="5">
        <v>0.98</v>
      </c>
      <c r="F130" s="5">
        <v>0.98</v>
      </c>
      <c r="G130" s="5">
        <v>0.98</v>
      </c>
      <c r="H130" s="5">
        <v>0.98</v>
      </c>
      <c r="I130" s="5">
        <v>0.98</v>
      </c>
      <c r="J130" s="5">
        <v>0.98</v>
      </c>
    </row>
    <row r="131" spans="1:10">
      <c r="A131" s="5" t="s">
        <v>484</v>
      </c>
      <c r="B131" s="5" t="s">
        <v>261</v>
      </c>
      <c r="C131" s="5">
        <v>0.98</v>
      </c>
      <c r="D131" s="5">
        <v>0.98</v>
      </c>
      <c r="E131" s="5">
        <v>0.98</v>
      </c>
      <c r="F131" s="5">
        <v>0.98</v>
      </c>
      <c r="G131" s="5">
        <v>0.98</v>
      </c>
      <c r="H131" s="5">
        <v>0.98</v>
      </c>
      <c r="I131" s="5">
        <v>0.98</v>
      </c>
      <c r="J131" s="5">
        <v>0.98</v>
      </c>
    </row>
    <row r="132" spans="1:10">
      <c r="A132" s="5" t="s">
        <v>484</v>
      </c>
      <c r="B132" s="5" t="s">
        <v>264</v>
      </c>
      <c r="C132" s="5">
        <v>0.98</v>
      </c>
      <c r="D132" s="5">
        <v>0.98</v>
      </c>
      <c r="E132" s="5">
        <v>0.98</v>
      </c>
      <c r="F132" s="5">
        <v>0.98</v>
      </c>
      <c r="G132" s="5">
        <v>0.98</v>
      </c>
      <c r="H132" s="5">
        <v>0.98</v>
      </c>
      <c r="I132" s="5">
        <v>0.98</v>
      </c>
      <c r="J132" s="5">
        <v>0.98</v>
      </c>
    </row>
    <row r="133" spans="1:10">
      <c r="A133" s="5" t="s">
        <v>484</v>
      </c>
      <c r="B133" s="5" t="s">
        <v>265</v>
      </c>
      <c r="C133" s="5">
        <v>1</v>
      </c>
      <c r="D133" s="5">
        <v>1</v>
      </c>
      <c r="E133" s="5">
        <v>1</v>
      </c>
      <c r="F133" s="5">
        <v>1</v>
      </c>
      <c r="G133" s="5">
        <v>1</v>
      </c>
      <c r="H133" s="5">
        <v>1</v>
      </c>
      <c r="I133" s="5">
        <v>1</v>
      </c>
      <c r="J133" s="5">
        <v>1</v>
      </c>
    </row>
    <row r="134" spans="1:10">
      <c r="A134" s="5" t="s">
        <v>484</v>
      </c>
      <c r="B134" s="5" t="s">
        <v>267</v>
      </c>
      <c r="C134" s="5">
        <v>0</v>
      </c>
      <c r="D134" s="5">
        <v>0</v>
      </c>
      <c r="E134" s="5">
        <v>0.98</v>
      </c>
      <c r="F134" s="5">
        <v>0.98</v>
      </c>
      <c r="G134" s="5">
        <v>0.98</v>
      </c>
      <c r="H134" s="5">
        <v>0.98</v>
      </c>
      <c r="I134" s="5">
        <v>0.98</v>
      </c>
      <c r="J134" s="5">
        <v>0.98</v>
      </c>
    </row>
    <row r="135" spans="1:10">
      <c r="A135" s="5" t="s">
        <v>484</v>
      </c>
      <c r="B135" s="5" t="s">
        <v>268</v>
      </c>
      <c r="C135" s="5">
        <v>0</v>
      </c>
      <c r="D135" s="5">
        <v>0</v>
      </c>
      <c r="E135" s="5">
        <v>0.98</v>
      </c>
      <c r="F135" s="5">
        <v>0.98</v>
      </c>
      <c r="G135" s="5">
        <v>0.98</v>
      </c>
      <c r="H135" s="5">
        <v>0.98</v>
      </c>
      <c r="I135" s="5">
        <v>0.98</v>
      </c>
      <c r="J135" s="5">
        <v>0.98</v>
      </c>
    </row>
    <row r="136" spans="1:10">
      <c r="A136" s="5" t="s">
        <v>484</v>
      </c>
      <c r="B136" s="5" t="s">
        <v>269</v>
      </c>
      <c r="C136" s="5">
        <v>0</v>
      </c>
      <c r="D136" s="5">
        <v>1</v>
      </c>
      <c r="E136" s="5">
        <v>1</v>
      </c>
      <c r="F136" s="5">
        <v>1</v>
      </c>
      <c r="G136" s="5">
        <v>1</v>
      </c>
      <c r="H136" s="5">
        <v>1</v>
      </c>
      <c r="I136" s="5">
        <v>1</v>
      </c>
      <c r="J136" s="5">
        <v>1</v>
      </c>
    </row>
    <row r="137" spans="1:10">
      <c r="A137" s="5" t="s">
        <v>484</v>
      </c>
      <c r="B137" s="5" t="s">
        <v>300</v>
      </c>
      <c r="C137" s="5">
        <v>0</v>
      </c>
      <c r="D137" s="5">
        <v>0</v>
      </c>
      <c r="E137" s="5">
        <v>0</v>
      </c>
      <c r="F137" s="5">
        <v>1</v>
      </c>
      <c r="G137" s="5">
        <v>1</v>
      </c>
      <c r="H137" s="5">
        <v>1</v>
      </c>
      <c r="I137" s="5">
        <v>1</v>
      </c>
      <c r="J137" s="5">
        <v>1</v>
      </c>
    </row>
    <row r="138" spans="1:10">
      <c r="A138" s="5" t="s">
        <v>484</v>
      </c>
      <c r="B138" s="5" t="s">
        <v>306</v>
      </c>
      <c r="C138" s="5">
        <v>1</v>
      </c>
      <c r="D138" s="5">
        <v>1</v>
      </c>
      <c r="E138" s="5">
        <v>1</v>
      </c>
      <c r="F138" s="5">
        <v>1</v>
      </c>
      <c r="G138" s="5">
        <v>1</v>
      </c>
      <c r="H138" s="5">
        <v>1</v>
      </c>
      <c r="I138" s="5">
        <v>1</v>
      </c>
      <c r="J138" s="5">
        <v>1</v>
      </c>
    </row>
    <row r="139" spans="1:10">
      <c r="A139" s="5" t="s">
        <v>484</v>
      </c>
      <c r="B139" s="5" t="s">
        <v>301</v>
      </c>
      <c r="C139" s="5">
        <v>1</v>
      </c>
      <c r="D139" s="5">
        <v>1</v>
      </c>
      <c r="E139" s="5">
        <v>1</v>
      </c>
      <c r="F139" s="5">
        <v>1</v>
      </c>
      <c r="G139" s="5">
        <v>1</v>
      </c>
      <c r="H139" s="5">
        <v>1</v>
      </c>
      <c r="I139" s="5">
        <v>1</v>
      </c>
      <c r="J139" s="5">
        <v>1</v>
      </c>
    </row>
    <row r="140" spans="1:10">
      <c r="A140" s="5" t="s">
        <v>484</v>
      </c>
      <c r="B140" s="5" t="s">
        <v>304</v>
      </c>
      <c r="C140" s="5">
        <v>1</v>
      </c>
      <c r="D140" s="5">
        <v>1</v>
      </c>
      <c r="E140" s="5">
        <v>1</v>
      </c>
      <c r="F140" s="5">
        <v>1</v>
      </c>
      <c r="G140" s="5">
        <v>1</v>
      </c>
      <c r="H140" s="5">
        <v>1</v>
      </c>
      <c r="I140" s="5">
        <v>1</v>
      </c>
      <c r="J140" s="5">
        <v>1</v>
      </c>
    </row>
    <row r="141" spans="1:10">
      <c r="A141" s="5" t="s">
        <v>484</v>
      </c>
      <c r="B141" s="5" t="s">
        <v>303</v>
      </c>
      <c r="C141" s="5">
        <v>1</v>
      </c>
      <c r="D141" s="5">
        <v>1</v>
      </c>
      <c r="E141" s="5">
        <v>1</v>
      </c>
      <c r="F141" s="5">
        <v>1</v>
      </c>
      <c r="G141" s="5">
        <v>1</v>
      </c>
      <c r="H141" s="5">
        <v>1</v>
      </c>
      <c r="I141" s="5">
        <v>1</v>
      </c>
      <c r="J141" s="5">
        <v>1</v>
      </c>
    </row>
    <row r="142" spans="1:10">
      <c r="A142" s="5" t="s">
        <v>484</v>
      </c>
      <c r="B142" s="5" t="s">
        <v>305</v>
      </c>
      <c r="C142" s="5">
        <v>1</v>
      </c>
      <c r="D142" s="5">
        <v>1</v>
      </c>
      <c r="E142" s="5">
        <v>1</v>
      </c>
      <c r="F142" s="5">
        <v>1</v>
      </c>
      <c r="G142" s="5">
        <v>1</v>
      </c>
      <c r="H142" s="5">
        <v>1</v>
      </c>
      <c r="I142" s="5">
        <v>1</v>
      </c>
      <c r="J142" s="5">
        <v>1</v>
      </c>
    </row>
    <row r="143" spans="1:10">
      <c r="A143" s="5" t="s">
        <v>484</v>
      </c>
      <c r="B143" s="5" t="s">
        <v>302</v>
      </c>
      <c r="C143" s="5">
        <v>1</v>
      </c>
      <c r="D143" s="5">
        <v>1</v>
      </c>
      <c r="E143" s="5">
        <v>1</v>
      </c>
      <c r="F143" s="5">
        <v>1</v>
      </c>
      <c r="G143" s="5">
        <v>1</v>
      </c>
      <c r="H143" s="5">
        <v>1</v>
      </c>
      <c r="I143" s="5">
        <v>1</v>
      </c>
      <c r="J143" s="5">
        <v>1</v>
      </c>
    </row>
    <row r="144" spans="1:10">
      <c r="A144" s="5" t="s">
        <v>484</v>
      </c>
      <c r="B144" s="2" t="s">
        <v>310</v>
      </c>
      <c r="C144" s="5">
        <v>0.98</v>
      </c>
      <c r="D144" s="5">
        <v>0.98</v>
      </c>
      <c r="E144" s="5">
        <v>0.98</v>
      </c>
      <c r="F144" s="5">
        <v>0.98</v>
      </c>
      <c r="G144" s="5">
        <v>0.98</v>
      </c>
      <c r="H144" s="5">
        <v>0.98</v>
      </c>
      <c r="I144" s="5">
        <v>0.98</v>
      </c>
      <c r="J144" s="5">
        <v>0.98</v>
      </c>
    </row>
    <row r="145" spans="1:16">
      <c r="A145" s="5" t="s">
        <v>484</v>
      </c>
      <c r="B145" s="2" t="s">
        <v>311</v>
      </c>
      <c r="C145" s="5">
        <v>0.98</v>
      </c>
      <c r="D145" s="5">
        <v>0.98</v>
      </c>
      <c r="E145" s="5">
        <v>0.98</v>
      </c>
      <c r="F145" s="5">
        <v>0.98</v>
      </c>
      <c r="G145" s="5">
        <v>0.98</v>
      </c>
      <c r="H145" s="5">
        <v>0.98</v>
      </c>
      <c r="I145" s="5">
        <v>0.98</v>
      </c>
      <c r="J145" s="5">
        <v>0.98</v>
      </c>
    </row>
    <row r="146" spans="1:16">
      <c r="A146" s="5" t="s">
        <v>484</v>
      </c>
      <c r="B146" s="2" t="s">
        <v>316</v>
      </c>
      <c r="C146" s="5">
        <v>0.98</v>
      </c>
      <c r="D146" s="5">
        <v>0.98</v>
      </c>
      <c r="E146" s="5">
        <v>0.98</v>
      </c>
      <c r="F146" s="5">
        <v>0.98</v>
      </c>
      <c r="G146" s="5">
        <v>0.98</v>
      </c>
      <c r="H146" s="5">
        <v>0.98</v>
      </c>
      <c r="I146" s="5">
        <v>0.98</v>
      </c>
      <c r="J146" s="5">
        <v>0.98</v>
      </c>
    </row>
    <row r="147" spans="1:16">
      <c r="A147" s="5" t="s">
        <v>484</v>
      </c>
      <c r="B147" s="2" t="s">
        <v>497</v>
      </c>
      <c r="C147" s="5">
        <v>0.98</v>
      </c>
      <c r="D147" s="5">
        <v>0.98</v>
      </c>
      <c r="E147" s="5">
        <v>0.98</v>
      </c>
      <c r="F147" s="5">
        <v>0.98</v>
      </c>
      <c r="G147" s="5">
        <v>0.98</v>
      </c>
      <c r="H147" s="5">
        <v>0.98</v>
      </c>
      <c r="I147" s="5">
        <v>0.98</v>
      </c>
      <c r="J147" s="5">
        <v>0.98</v>
      </c>
    </row>
    <row r="148" spans="1:16">
      <c r="A148" s="5" t="s">
        <v>484</v>
      </c>
      <c r="B148" s="2" t="s">
        <v>317</v>
      </c>
      <c r="C148" s="5">
        <v>0.98</v>
      </c>
      <c r="D148" s="5">
        <v>0.98</v>
      </c>
      <c r="E148" s="5">
        <v>0.98</v>
      </c>
      <c r="F148" s="5">
        <v>0.98</v>
      </c>
      <c r="G148" s="5">
        <v>0.98</v>
      </c>
      <c r="H148" s="5">
        <v>0.98</v>
      </c>
      <c r="I148" s="5">
        <v>0.98</v>
      </c>
      <c r="J148" s="5">
        <v>0.98</v>
      </c>
    </row>
    <row r="149" spans="1:16">
      <c r="A149" s="5" t="s">
        <v>484</v>
      </c>
      <c r="B149" t="s">
        <v>327</v>
      </c>
      <c r="C149" s="5">
        <v>0.98</v>
      </c>
      <c r="D149" s="5">
        <v>0.98</v>
      </c>
      <c r="E149" s="5">
        <v>0.98</v>
      </c>
      <c r="F149" s="5">
        <v>0.98</v>
      </c>
      <c r="G149" s="5">
        <v>0.98</v>
      </c>
      <c r="H149" s="5">
        <v>0.98</v>
      </c>
      <c r="I149" s="5">
        <v>0.98</v>
      </c>
      <c r="J149" s="5">
        <v>0.98</v>
      </c>
    </row>
    <row r="150" spans="1:16">
      <c r="A150" s="5" t="s">
        <v>484</v>
      </c>
      <c r="B150" s="2" t="s">
        <v>329</v>
      </c>
      <c r="C150" s="5">
        <v>0.98</v>
      </c>
      <c r="D150" s="5">
        <v>0.98</v>
      </c>
      <c r="E150" s="5">
        <v>0.98</v>
      </c>
      <c r="F150" s="5">
        <v>0.98</v>
      </c>
      <c r="G150" s="5">
        <v>0.98</v>
      </c>
      <c r="H150" s="5">
        <v>0.98</v>
      </c>
      <c r="I150" s="5">
        <v>0.98</v>
      </c>
      <c r="J150" s="5">
        <v>0.98</v>
      </c>
    </row>
    <row r="151" spans="1:16">
      <c r="A151" s="5" t="s">
        <v>484</v>
      </c>
      <c r="B151" s="2" t="s">
        <v>330</v>
      </c>
      <c r="C151" s="5">
        <v>0.98</v>
      </c>
      <c r="D151" s="5">
        <v>0.98</v>
      </c>
      <c r="E151" s="5">
        <v>0.98</v>
      </c>
      <c r="F151" s="5">
        <v>0.98</v>
      </c>
      <c r="G151" s="5">
        <v>0.98</v>
      </c>
      <c r="H151" s="5">
        <v>0.98</v>
      </c>
      <c r="I151" s="5">
        <v>0.98</v>
      </c>
      <c r="J151" s="5">
        <v>0.98</v>
      </c>
    </row>
    <row r="152" spans="1:16">
      <c r="A152" t="s">
        <v>484</v>
      </c>
      <c r="B152" s="2" t="s">
        <v>331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</row>
    <row r="153" spans="1:16">
      <c r="A153" t="s">
        <v>484</v>
      </c>
      <c r="B153" t="s">
        <v>332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</row>
    <row r="154" spans="1:16">
      <c r="A154" t="s">
        <v>484</v>
      </c>
      <c r="B154" t="s">
        <v>333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</row>
    <row r="155" spans="1:16">
      <c r="A155" t="s">
        <v>277</v>
      </c>
      <c r="B155" s="5" t="s">
        <v>98</v>
      </c>
      <c r="C155" s="5">
        <v>0.4</v>
      </c>
      <c r="D155" s="5">
        <v>0.33</v>
      </c>
      <c r="E155" s="5">
        <v>0.33</v>
      </c>
      <c r="F155" s="5">
        <v>0.33</v>
      </c>
      <c r="G155" s="5">
        <v>0.33</v>
      </c>
      <c r="H155" s="5">
        <v>0.33</v>
      </c>
      <c r="I155" s="5">
        <v>0.33</v>
      </c>
      <c r="J155" s="5">
        <v>0.33</v>
      </c>
    </row>
    <row r="156" spans="1:16">
      <c r="A156" t="s">
        <v>280</v>
      </c>
      <c r="B156" s="5" t="s">
        <v>98</v>
      </c>
      <c r="C156" s="5">
        <v>0.6</v>
      </c>
      <c r="D156" s="5">
        <v>0.33</v>
      </c>
      <c r="E156" s="5">
        <v>0.33</v>
      </c>
      <c r="F156" s="5">
        <v>0.33</v>
      </c>
      <c r="G156" s="5">
        <v>0.33</v>
      </c>
      <c r="H156" s="5">
        <v>0.33</v>
      </c>
      <c r="I156" s="5">
        <v>0.33</v>
      </c>
      <c r="J156" s="5">
        <v>0.33</v>
      </c>
    </row>
    <row r="157" spans="1:16">
      <c r="A157" s="5" t="s">
        <v>484</v>
      </c>
      <c r="B157" s="5" t="s">
        <v>449</v>
      </c>
      <c r="C157" s="5">
        <v>0.87</v>
      </c>
      <c r="D157" s="5">
        <v>0.87</v>
      </c>
      <c r="E157" s="5">
        <v>0.87</v>
      </c>
      <c r="F157" s="5">
        <v>0.87</v>
      </c>
      <c r="G157" s="5">
        <v>0.87</v>
      </c>
      <c r="H157" s="5">
        <v>0.87</v>
      </c>
      <c r="I157" s="5">
        <v>0.87</v>
      </c>
      <c r="J157" s="5">
        <v>0.87</v>
      </c>
      <c r="N157" s="5" t="s">
        <v>458</v>
      </c>
      <c r="P157" s="5" t="s">
        <v>469</v>
      </c>
    </row>
    <row r="158" spans="1:16">
      <c r="A158" s="5" t="s">
        <v>484</v>
      </c>
      <c r="B158" s="5" t="s">
        <v>451</v>
      </c>
      <c r="C158" s="5">
        <v>0.87</v>
      </c>
      <c r="D158" s="5">
        <v>0.87</v>
      </c>
      <c r="E158" s="5">
        <v>0.87</v>
      </c>
      <c r="F158" s="5">
        <v>0.87</v>
      </c>
      <c r="G158" s="5">
        <v>0.87</v>
      </c>
      <c r="H158" s="5">
        <v>0.87</v>
      </c>
      <c r="I158" s="5">
        <v>0.87</v>
      </c>
      <c r="J158" s="5">
        <v>0.87</v>
      </c>
    </row>
    <row r="159" spans="1:16">
      <c r="A159" s="5" t="s">
        <v>484</v>
      </c>
      <c r="B159" s="5" t="s">
        <v>450</v>
      </c>
      <c r="C159" s="5">
        <v>0.87</v>
      </c>
      <c r="D159" s="5">
        <v>0.87</v>
      </c>
      <c r="E159" s="5">
        <v>0.87</v>
      </c>
      <c r="F159" s="5">
        <v>0.87</v>
      </c>
      <c r="G159" s="5">
        <v>0.87</v>
      </c>
      <c r="H159" s="5">
        <v>0.87</v>
      </c>
      <c r="I159" s="5">
        <v>0.87</v>
      </c>
      <c r="J159" s="5">
        <v>0.87</v>
      </c>
    </row>
    <row r="160" spans="1:16">
      <c r="A160" s="5" t="s">
        <v>484</v>
      </c>
      <c r="B160" s="5" t="s">
        <v>436</v>
      </c>
      <c r="C160" s="5">
        <v>0.9</v>
      </c>
      <c r="D160" s="5">
        <v>0.9</v>
      </c>
      <c r="E160" s="5">
        <v>0.9</v>
      </c>
      <c r="F160" s="5">
        <v>0.9</v>
      </c>
      <c r="G160" s="5">
        <v>0.9</v>
      </c>
      <c r="H160" s="5">
        <v>0.9</v>
      </c>
      <c r="I160" s="5">
        <v>0.9</v>
      </c>
      <c r="J160" s="5">
        <v>0.9</v>
      </c>
      <c r="N160" s="5" t="s">
        <v>470</v>
      </c>
    </row>
    <row r="161" spans="1:14">
      <c r="A161" s="5" t="s">
        <v>484</v>
      </c>
      <c r="B161" s="5" t="s">
        <v>104</v>
      </c>
      <c r="C161" s="5">
        <v>0.9</v>
      </c>
      <c r="D161" s="5">
        <v>0.9</v>
      </c>
      <c r="E161" s="5">
        <v>0.9</v>
      </c>
      <c r="F161" s="5">
        <v>0.9</v>
      </c>
      <c r="G161" s="5">
        <v>0.9</v>
      </c>
      <c r="H161" s="5">
        <v>0.9</v>
      </c>
      <c r="I161" s="5">
        <v>0.9</v>
      </c>
      <c r="J161" s="5">
        <v>0.9</v>
      </c>
      <c r="N161" s="5" t="s">
        <v>470</v>
      </c>
    </row>
    <row r="162" spans="1:14">
      <c r="A162" s="5" t="s">
        <v>484</v>
      </c>
      <c r="B162" s="5" t="s">
        <v>105</v>
      </c>
      <c r="C162" s="5">
        <v>0.9</v>
      </c>
      <c r="D162" s="5">
        <v>0.9</v>
      </c>
      <c r="E162" s="5">
        <v>0.9</v>
      </c>
      <c r="F162" s="5">
        <v>0.9</v>
      </c>
      <c r="G162" s="5">
        <v>0.9</v>
      </c>
      <c r="H162" s="5">
        <v>0.9</v>
      </c>
      <c r="I162" s="5">
        <v>0.9</v>
      </c>
      <c r="J162" s="5">
        <v>0.9</v>
      </c>
      <c r="N162" s="5" t="s">
        <v>470</v>
      </c>
    </row>
    <row r="163" spans="1:14">
      <c r="A163" s="5" t="s">
        <v>484</v>
      </c>
      <c r="B163" s="5" t="s">
        <v>442</v>
      </c>
      <c r="C163" s="5">
        <v>0.9</v>
      </c>
      <c r="D163" s="5">
        <v>0.9</v>
      </c>
      <c r="E163" s="5">
        <v>0.9</v>
      </c>
      <c r="F163" s="5">
        <v>0.9</v>
      </c>
      <c r="G163" s="5">
        <v>0.9</v>
      </c>
      <c r="H163" s="5">
        <v>0.9</v>
      </c>
      <c r="I163" s="5">
        <v>0.9</v>
      </c>
      <c r="J163" s="5">
        <v>0.9</v>
      </c>
      <c r="N163" s="5" t="s">
        <v>470</v>
      </c>
    </row>
    <row r="164" spans="1:14">
      <c r="A164" s="5" t="s">
        <v>484</v>
      </c>
      <c r="B164" s="5" t="s">
        <v>440</v>
      </c>
      <c r="C164" s="5">
        <v>0.9</v>
      </c>
      <c r="D164" s="5">
        <v>0.9</v>
      </c>
      <c r="E164" s="5">
        <v>0.9</v>
      </c>
      <c r="F164" s="5">
        <v>0.9</v>
      </c>
      <c r="G164" s="5">
        <v>0.9</v>
      </c>
      <c r="H164" s="5">
        <v>0.9</v>
      </c>
      <c r="I164" s="5">
        <v>0.9</v>
      </c>
      <c r="J164" s="5">
        <v>0.9</v>
      </c>
      <c r="N164" s="5" t="s">
        <v>470</v>
      </c>
    </row>
    <row r="165" spans="1:14">
      <c r="A165" s="5" t="s">
        <v>484</v>
      </c>
      <c r="B165" s="5" t="s">
        <v>444</v>
      </c>
      <c r="C165" s="5">
        <v>0.9</v>
      </c>
      <c r="D165" s="5">
        <v>0.9</v>
      </c>
      <c r="E165" s="5">
        <v>0.9</v>
      </c>
      <c r="F165" s="5">
        <v>0.9</v>
      </c>
      <c r="G165" s="5">
        <v>0.9</v>
      </c>
      <c r="H165" s="5">
        <v>0.9</v>
      </c>
      <c r="I165" s="5">
        <v>0.9</v>
      </c>
      <c r="J165" s="5">
        <v>0.9</v>
      </c>
      <c r="N165" s="5" t="s">
        <v>470</v>
      </c>
    </row>
    <row r="166" spans="1:14">
      <c r="A166" s="5" t="s">
        <v>484</v>
      </c>
      <c r="B166" s="5" t="s">
        <v>437</v>
      </c>
      <c r="C166" s="5">
        <v>0.9</v>
      </c>
      <c r="D166" s="5">
        <v>0.9</v>
      </c>
      <c r="E166" s="5">
        <v>0.9</v>
      </c>
      <c r="F166" s="5">
        <v>0.9</v>
      </c>
      <c r="G166" s="5">
        <v>0.9</v>
      </c>
      <c r="H166" s="5">
        <v>0.9</v>
      </c>
      <c r="I166" s="5">
        <v>0.9</v>
      </c>
      <c r="J166" s="5">
        <v>0.9</v>
      </c>
      <c r="N166" s="5" t="s">
        <v>470</v>
      </c>
    </row>
    <row r="167" spans="1:14">
      <c r="A167" s="5" t="s">
        <v>484</v>
      </c>
      <c r="B167" s="5" t="s">
        <v>438</v>
      </c>
      <c r="C167" s="5">
        <v>0.9</v>
      </c>
      <c r="D167" s="5">
        <v>0.9</v>
      </c>
      <c r="E167" s="5">
        <v>0.9</v>
      </c>
      <c r="F167" s="5">
        <v>0.9</v>
      </c>
      <c r="G167" s="5">
        <v>0.9</v>
      </c>
      <c r="H167" s="5">
        <v>0.9</v>
      </c>
      <c r="I167" s="5">
        <v>0.9</v>
      </c>
      <c r="J167" s="5">
        <v>0.9</v>
      </c>
      <c r="N167" s="5" t="s">
        <v>470</v>
      </c>
    </row>
    <row r="168" spans="1:14">
      <c r="A168" s="5" t="s">
        <v>484</v>
      </c>
      <c r="B168" s="5" t="s">
        <v>439</v>
      </c>
      <c r="C168" s="5">
        <v>0.9</v>
      </c>
      <c r="D168" s="5">
        <v>0.9</v>
      </c>
      <c r="E168" s="5">
        <v>0.9</v>
      </c>
      <c r="F168" s="5">
        <v>0.9</v>
      </c>
      <c r="G168" s="5">
        <v>0.9</v>
      </c>
      <c r="H168" s="5">
        <v>0.9</v>
      </c>
      <c r="I168" s="5">
        <v>0.9</v>
      </c>
      <c r="J168" s="5">
        <v>0.9</v>
      </c>
      <c r="N168" s="5" t="s">
        <v>470</v>
      </c>
    </row>
    <row r="169" spans="1:14">
      <c r="A169" s="5" t="s">
        <v>484</v>
      </c>
      <c r="B169" s="5" t="s">
        <v>443</v>
      </c>
      <c r="C169" s="5">
        <v>0.9</v>
      </c>
      <c r="D169" s="5">
        <v>0.9</v>
      </c>
      <c r="E169" s="5">
        <v>0.9</v>
      </c>
      <c r="F169" s="5">
        <v>0.9</v>
      </c>
      <c r="G169" s="5">
        <v>0.9</v>
      </c>
      <c r="H169" s="5">
        <v>0.9</v>
      </c>
      <c r="I169" s="5">
        <v>0.9</v>
      </c>
      <c r="J169" s="5">
        <v>0.9</v>
      </c>
      <c r="N169" s="5" t="s">
        <v>470</v>
      </c>
    </row>
    <row r="170" spans="1:14">
      <c r="A170" s="5" t="s">
        <v>484</v>
      </c>
      <c r="B170" s="5" t="s">
        <v>441</v>
      </c>
      <c r="C170" s="5">
        <v>0.9</v>
      </c>
      <c r="D170" s="5">
        <v>0.9</v>
      </c>
      <c r="E170" s="5">
        <v>0.9</v>
      </c>
      <c r="F170" s="5">
        <v>0.9</v>
      </c>
      <c r="G170" s="5">
        <v>0.9</v>
      </c>
      <c r="H170" s="5">
        <v>0.9</v>
      </c>
      <c r="I170" s="5">
        <v>0.9</v>
      </c>
      <c r="J170" s="5">
        <v>0.9</v>
      </c>
      <c r="N170" s="5" t="s">
        <v>470</v>
      </c>
    </row>
    <row r="171" spans="1:14">
      <c r="A171" s="5" t="s">
        <v>484</v>
      </c>
      <c r="B171" s="5" t="s">
        <v>445</v>
      </c>
      <c r="C171" s="5">
        <v>0</v>
      </c>
      <c r="D171" s="5">
        <v>0</v>
      </c>
      <c r="E171" s="5">
        <v>0</v>
      </c>
      <c r="F171" s="5">
        <v>0.98</v>
      </c>
      <c r="G171" s="5">
        <v>0.98</v>
      </c>
      <c r="H171" s="5">
        <v>0.98</v>
      </c>
      <c r="I171" s="5">
        <v>0.98</v>
      </c>
      <c r="J171" s="5">
        <v>0.98</v>
      </c>
    </row>
    <row r="172" spans="1:14">
      <c r="A172" s="5" t="s">
        <v>484</v>
      </c>
      <c r="B172" s="5" t="s">
        <v>447</v>
      </c>
      <c r="C172" s="5">
        <v>1</v>
      </c>
      <c r="D172" s="5">
        <v>1</v>
      </c>
      <c r="E172" s="5">
        <v>1</v>
      </c>
      <c r="F172" s="5">
        <v>1</v>
      </c>
      <c r="G172" s="5">
        <v>1</v>
      </c>
      <c r="H172" s="5">
        <v>1</v>
      </c>
      <c r="I172" s="5">
        <v>1</v>
      </c>
      <c r="J172" s="5">
        <v>1</v>
      </c>
    </row>
    <row r="173" spans="1:14">
      <c r="A173" s="5" t="s">
        <v>484</v>
      </c>
      <c r="B173" s="5" t="s">
        <v>448</v>
      </c>
      <c r="C173" s="5">
        <v>1</v>
      </c>
      <c r="D173" s="5">
        <v>1</v>
      </c>
      <c r="E173" s="5">
        <v>1</v>
      </c>
      <c r="F173" s="5">
        <v>1</v>
      </c>
      <c r="G173" s="5">
        <v>1</v>
      </c>
      <c r="H173" s="5">
        <v>1</v>
      </c>
      <c r="I173" s="5">
        <v>1</v>
      </c>
      <c r="J173" s="5">
        <v>1</v>
      </c>
    </row>
    <row r="174" spans="1:14">
      <c r="A174" s="5" t="s">
        <v>484</v>
      </c>
      <c r="B174" s="5" t="s">
        <v>446</v>
      </c>
      <c r="C174" s="5">
        <v>0.9</v>
      </c>
      <c r="D174" s="5">
        <v>0.9</v>
      </c>
      <c r="E174" s="5">
        <v>0.9</v>
      </c>
      <c r="F174" s="5">
        <v>0.9</v>
      </c>
      <c r="G174" s="5">
        <v>0.9</v>
      </c>
      <c r="H174" s="5">
        <v>0.9</v>
      </c>
      <c r="I174" s="5">
        <v>0.9</v>
      </c>
      <c r="J174" s="5">
        <v>0.9</v>
      </c>
      <c r="N174" s="5" t="s">
        <v>471</v>
      </c>
    </row>
    <row r="175" spans="1:14">
      <c r="A175" s="5" t="s">
        <v>484</v>
      </c>
      <c r="B175" s="5" t="s">
        <v>460</v>
      </c>
      <c r="C175" s="5">
        <v>0.98</v>
      </c>
      <c r="D175" s="5">
        <v>0.98</v>
      </c>
      <c r="E175" s="5">
        <v>0.98</v>
      </c>
      <c r="F175" s="5">
        <v>0.98</v>
      </c>
      <c r="G175" s="5">
        <v>0.98</v>
      </c>
      <c r="H175" s="5">
        <v>0.98</v>
      </c>
      <c r="I175" s="5">
        <v>0.98</v>
      </c>
      <c r="J175" s="5">
        <v>0.98</v>
      </c>
    </row>
  </sheetData>
  <dataValidations count="1">
    <dataValidation type="list" allowBlank="1" showInputMessage="1" showErrorMessage="1" sqref="B147" xr:uid="{00000000-0002-0000-1F00-000000000000}">
      <formula1>Technologies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Tabelle17"/>
  <dimension ref="A1:O19145"/>
  <sheetViews>
    <sheetView workbookViewId="0">
      <selection activeCell="I25" sqref="I25"/>
    </sheetView>
  </sheetViews>
  <sheetFormatPr defaultColWidth="11.42578125" defaultRowHeight="15"/>
  <cols>
    <col min="1" max="1" width="24" customWidth="1"/>
    <col min="2" max="2" width="40.5703125" customWidth="1"/>
    <col min="3" max="3" width="10.140625" bestFit="1" customWidth="1"/>
    <col min="11" max="11" width="11.42578125" customWidth="1"/>
    <col min="12" max="12" width="3.42578125" customWidth="1"/>
  </cols>
  <sheetData>
    <row r="1" spans="1:11">
      <c r="A1" t="s">
        <v>405</v>
      </c>
    </row>
    <row r="2" spans="1:11">
      <c r="A2" t="s">
        <v>6</v>
      </c>
    </row>
    <row r="3" spans="1:11">
      <c r="A3" t="s">
        <v>383</v>
      </c>
    </row>
    <row r="5" spans="1:11">
      <c r="A5" t="s">
        <v>20</v>
      </c>
      <c r="B5" t="s">
        <v>26</v>
      </c>
      <c r="C5" t="s">
        <v>28</v>
      </c>
      <c r="D5">
        <v>2018</v>
      </c>
      <c r="E5">
        <v>2021</v>
      </c>
      <c r="F5">
        <v>2025</v>
      </c>
      <c r="G5">
        <v>2030</v>
      </c>
      <c r="H5">
        <v>2035</v>
      </c>
      <c r="I5">
        <v>2040</v>
      </c>
      <c r="J5">
        <v>2045</v>
      </c>
      <c r="K5">
        <v>2050</v>
      </c>
    </row>
    <row r="998" spans="14:14">
      <c r="N998" t="s">
        <v>159</v>
      </c>
    </row>
    <row r="999" spans="14:14">
      <c r="N999" t="s">
        <v>159</v>
      </c>
    </row>
    <row r="1000" spans="14:14">
      <c r="N1000" t="s">
        <v>159</v>
      </c>
    </row>
    <row r="1001" spans="14:14">
      <c r="N1001" t="s">
        <v>159</v>
      </c>
    </row>
    <row r="1002" spans="14:14">
      <c r="N1002" t="s">
        <v>159</v>
      </c>
    </row>
    <row r="1003" spans="14:14">
      <c r="N1003" t="s">
        <v>159</v>
      </c>
    </row>
    <row r="1004" spans="14:14">
      <c r="N1004" t="s">
        <v>159</v>
      </c>
    </row>
    <row r="1005" spans="14:14">
      <c r="N1005" t="s">
        <v>159</v>
      </c>
    </row>
    <row r="1006" spans="14:14">
      <c r="N1006" t="s">
        <v>159</v>
      </c>
    </row>
    <row r="1007" spans="14:14">
      <c r="N1007" t="s">
        <v>159</v>
      </c>
    </row>
    <row r="1008" spans="14:14">
      <c r="N1008" t="s">
        <v>159</v>
      </c>
    </row>
    <row r="1009" spans="14:14">
      <c r="N1009" t="s">
        <v>159</v>
      </c>
    </row>
    <row r="1010" spans="14:14">
      <c r="N1010" t="s">
        <v>159</v>
      </c>
    </row>
    <row r="1011" spans="14:14">
      <c r="N1011" t="s">
        <v>159</v>
      </c>
    </row>
    <row r="1012" spans="14:14">
      <c r="N1012" t="s">
        <v>159</v>
      </c>
    </row>
    <row r="1013" spans="14:14">
      <c r="N1013" t="s">
        <v>159</v>
      </c>
    </row>
    <row r="1030" spans="14:14">
      <c r="N1030" t="s">
        <v>159</v>
      </c>
    </row>
    <row r="1031" spans="14:14">
      <c r="N1031" t="s">
        <v>159</v>
      </c>
    </row>
    <row r="1032" spans="14:14">
      <c r="N1032" t="s">
        <v>159</v>
      </c>
    </row>
    <row r="1033" spans="14:14">
      <c r="N1033" t="s">
        <v>159</v>
      </c>
    </row>
    <row r="1034" spans="14:14">
      <c r="N1034" t="s">
        <v>159</v>
      </c>
    </row>
    <row r="1035" spans="14:14">
      <c r="N1035" t="s">
        <v>159</v>
      </c>
    </row>
    <row r="1036" spans="14:14">
      <c r="N1036" t="s">
        <v>159</v>
      </c>
    </row>
    <row r="1037" spans="14:14">
      <c r="N1037" t="s">
        <v>159</v>
      </c>
    </row>
    <row r="1038" spans="14:14">
      <c r="N1038" t="s">
        <v>159</v>
      </c>
    </row>
    <row r="1039" spans="14:14">
      <c r="N1039" t="s">
        <v>159</v>
      </c>
    </row>
    <row r="1040" spans="14:14">
      <c r="N1040" t="s">
        <v>159</v>
      </c>
    </row>
    <row r="1041" spans="14:14">
      <c r="N1041" t="s">
        <v>159</v>
      </c>
    </row>
    <row r="1042" spans="14:14">
      <c r="N1042" t="s">
        <v>159</v>
      </c>
    </row>
    <row r="1043" spans="14:14">
      <c r="N1043" t="s">
        <v>159</v>
      </c>
    </row>
    <row r="1044" spans="14:14">
      <c r="N1044" t="s">
        <v>159</v>
      </c>
    </row>
    <row r="1045" spans="14:14">
      <c r="N1045" t="s">
        <v>159</v>
      </c>
    </row>
    <row r="7286" spans="15:15">
      <c r="O7286" t="s">
        <v>162</v>
      </c>
    </row>
    <row r="7302" spans="15:15">
      <c r="O7302" t="s">
        <v>162</v>
      </c>
    </row>
    <row r="7318" spans="15:15">
      <c r="O7318" t="s">
        <v>162</v>
      </c>
    </row>
    <row r="7337" spans="15:15">
      <c r="O7337" t="s">
        <v>162</v>
      </c>
    </row>
    <row r="7382" spans="15:15">
      <c r="O7382" t="s">
        <v>163</v>
      </c>
    </row>
    <row r="7383" spans="15:15">
      <c r="O7383" t="s">
        <v>164</v>
      </c>
    </row>
    <row r="7398" spans="15:15">
      <c r="O7398" t="s">
        <v>160</v>
      </c>
    </row>
    <row r="7399" spans="15:15">
      <c r="O7399" t="s">
        <v>161</v>
      </c>
    </row>
    <row r="19126" spans="15:15">
      <c r="O19126" t="s">
        <v>162</v>
      </c>
    </row>
    <row r="19145" spans="15:15">
      <c r="O19145" t="s">
        <v>162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Tabelle23"/>
  <dimension ref="A1:F168"/>
  <sheetViews>
    <sheetView workbookViewId="0">
      <selection activeCell="I208" sqref="I208"/>
    </sheetView>
  </sheetViews>
  <sheetFormatPr defaultColWidth="11.42578125" defaultRowHeight="15"/>
  <cols>
    <col min="2" max="2" width="25.42578125" customWidth="1"/>
  </cols>
  <sheetData>
    <row r="1" spans="1:3">
      <c r="A1" t="s">
        <v>407</v>
      </c>
    </row>
    <row r="2" spans="1:3">
      <c r="A2" t="s">
        <v>11</v>
      </c>
    </row>
    <row r="3" spans="1:3">
      <c r="A3" t="s">
        <v>406</v>
      </c>
    </row>
    <row r="5" spans="1:3">
      <c r="A5" t="s">
        <v>484</v>
      </c>
      <c r="B5" t="s">
        <v>170</v>
      </c>
      <c r="C5">
        <v>101</v>
      </c>
    </row>
    <row r="6" spans="1:3">
      <c r="A6" t="s">
        <v>484</v>
      </c>
      <c r="B6" t="s">
        <v>171</v>
      </c>
      <c r="C6">
        <v>101</v>
      </c>
    </row>
    <row r="7" spans="1:3">
      <c r="A7" t="s">
        <v>484</v>
      </c>
      <c r="B7" t="s">
        <v>135</v>
      </c>
      <c r="C7">
        <v>11</v>
      </c>
    </row>
    <row r="8" spans="1:3">
      <c r="A8" t="s">
        <v>484</v>
      </c>
      <c r="B8" t="s">
        <v>136</v>
      </c>
      <c r="C8">
        <v>20</v>
      </c>
    </row>
    <row r="9" spans="1:3">
      <c r="A9" t="s">
        <v>484</v>
      </c>
      <c r="B9" t="s">
        <v>147</v>
      </c>
      <c r="C9">
        <v>40</v>
      </c>
    </row>
    <row r="10" spans="1:3">
      <c r="A10" t="s">
        <v>484</v>
      </c>
      <c r="B10" t="s">
        <v>148</v>
      </c>
      <c r="C10">
        <v>40</v>
      </c>
    </row>
    <row r="11" spans="1:3">
      <c r="A11" t="s">
        <v>484</v>
      </c>
      <c r="B11" t="s">
        <v>245</v>
      </c>
      <c r="C11">
        <v>30</v>
      </c>
    </row>
    <row r="12" spans="1:3">
      <c r="A12" t="s">
        <v>484</v>
      </c>
      <c r="B12" t="s">
        <v>247</v>
      </c>
      <c r="C12">
        <v>30</v>
      </c>
    </row>
    <row r="13" spans="1:3">
      <c r="A13" t="s">
        <v>484</v>
      </c>
      <c r="B13" t="s">
        <v>134</v>
      </c>
      <c r="C13">
        <v>40</v>
      </c>
    </row>
    <row r="14" spans="1:3">
      <c r="A14" t="s">
        <v>484</v>
      </c>
      <c r="B14" t="s">
        <v>137</v>
      </c>
      <c r="C14">
        <v>40</v>
      </c>
    </row>
    <row r="15" spans="1:3">
      <c r="A15" t="s">
        <v>484</v>
      </c>
      <c r="B15" t="s">
        <v>191</v>
      </c>
      <c r="C15">
        <v>30</v>
      </c>
    </row>
    <row r="16" spans="1:3">
      <c r="A16" t="s">
        <v>484</v>
      </c>
      <c r="B16" s="2" t="s">
        <v>130</v>
      </c>
      <c r="C16">
        <v>26</v>
      </c>
    </row>
    <row r="17" spans="1:3">
      <c r="A17" t="s">
        <v>484</v>
      </c>
      <c r="B17" s="2" t="s">
        <v>131</v>
      </c>
      <c r="C17">
        <v>31</v>
      </c>
    </row>
    <row r="18" spans="1:3">
      <c r="A18" t="s">
        <v>484</v>
      </c>
      <c r="B18" s="2" t="s">
        <v>125</v>
      </c>
      <c r="C18">
        <v>21</v>
      </c>
    </row>
    <row r="19" spans="1:3">
      <c r="A19" t="s">
        <v>484</v>
      </c>
      <c r="B19" s="2" t="s">
        <v>57</v>
      </c>
      <c r="C19">
        <v>21</v>
      </c>
    </row>
    <row r="20" spans="1:3">
      <c r="A20" t="s">
        <v>484</v>
      </c>
      <c r="B20" s="2" t="s">
        <v>126</v>
      </c>
      <c r="C20">
        <v>21</v>
      </c>
    </row>
    <row r="21" spans="1:3">
      <c r="A21" t="s">
        <v>484</v>
      </c>
      <c r="B21" s="2" t="s">
        <v>127</v>
      </c>
      <c r="C21">
        <v>26</v>
      </c>
    </row>
    <row r="22" spans="1:3">
      <c r="A22" t="s">
        <v>484</v>
      </c>
      <c r="B22" s="2" t="s">
        <v>183</v>
      </c>
      <c r="C22">
        <v>21</v>
      </c>
    </row>
    <row r="23" spans="1:3">
      <c r="A23" t="s">
        <v>484</v>
      </c>
      <c r="B23" s="2" t="s">
        <v>188</v>
      </c>
      <c r="C23">
        <v>26</v>
      </c>
    </row>
    <row r="24" spans="1:3">
      <c r="A24" t="s">
        <v>484</v>
      </c>
      <c r="B24" s="2" t="s">
        <v>176</v>
      </c>
      <c r="C24">
        <v>26</v>
      </c>
    </row>
    <row r="25" spans="1:3">
      <c r="A25" t="s">
        <v>484</v>
      </c>
      <c r="B25" s="2" t="s">
        <v>495</v>
      </c>
      <c r="C25">
        <v>31</v>
      </c>
    </row>
    <row r="26" spans="1:3">
      <c r="A26" t="s">
        <v>484</v>
      </c>
      <c r="B26" s="2" t="s">
        <v>496</v>
      </c>
      <c r="C26">
        <v>31</v>
      </c>
    </row>
    <row r="27" spans="1:3">
      <c r="A27" t="s">
        <v>484</v>
      </c>
      <c r="B27" t="s">
        <v>158</v>
      </c>
      <c r="C27">
        <v>31</v>
      </c>
    </row>
    <row r="28" spans="1:3">
      <c r="A28" t="s">
        <v>484</v>
      </c>
      <c r="B28" t="s">
        <v>103</v>
      </c>
      <c r="C28">
        <v>51</v>
      </c>
    </row>
    <row r="29" spans="1:3">
      <c r="A29" t="s">
        <v>484</v>
      </c>
      <c r="B29" t="s">
        <v>102</v>
      </c>
      <c r="C29">
        <v>31</v>
      </c>
    </row>
    <row r="30" spans="1:3">
      <c r="A30" t="s">
        <v>484</v>
      </c>
      <c r="B30" t="s">
        <v>22</v>
      </c>
      <c r="C30">
        <v>31</v>
      </c>
    </row>
    <row r="31" spans="1:3">
      <c r="A31" t="s">
        <v>484</v>
      </c>
      <c r="B31" t="s">
        <v>23</v>
      </c>
      <c r="C31">
        <v>41</v>
      </c>
    </row>
    <row r="32" spans="1:3">
      <c r="A32" t="s">
        <v>484</v>
      </c>
      <c r="B32" t="s">
        <v>56</v>
      </c>
      <c r="C32">
        <v>31</v>
      </c>
    </row>
    <row r="33" spans="1:3">
      <c r="A33" t="s">
        <v>484</v>
      </c>
      <c r="B33" s="2" t="s">
        <v>132</v>
      </c>
      <c r="C33">
        <v>16</v>
      </c>
    </row>
    <row r="34" spans="1:3">
      <c r="A34" t="s">
        <v>484</v>
      </c>
      <c r="B34" s="2" t="s">
        <v>58</v>
      </c>
      <c r="C34">
        <v>16</v>
      </c>
    </row>
    <row r="35" spans="1:3">
      <c r="A35" t="s">
        <v>484</v>
      </c>
      <c r="B35" s="2" t="s">
        <v>133</v>
      </c>
      <c r="C35">
        <v>16</v>
      </c>
    </row>
    <row r="36" spans="1:3">
      <c r="A36" t="s">
        <v>484</v>
      </c>
      <c r="B36" s="2" t="s">
        <v>128</v>
      </c>
      <c r="C36">
        <v>26</v>
      </c>
    </row>
    <row r="37" spans="1:3">
      <c r="A37" t="s">
        <v>484</v>
      </c>
      <c r="B37" s="2" t="s">
        <v>129</v>
      </c>
      <c r="C37">
        <v>31</v>
      </c>
    </row>
    <row r="38" spans="1:3">
      <c r="A38" t="s">
        <v>484</v>
      </c>
      <c r="B38" s="2" t="s">
        <v>60</v>
      </c>
      <c r="C38">
        <v>16</v>
      </c>
    </row>
    <row r="39" spans="1:3">
      <c r="A39" t="s">
        <v>484</v>
      </c>
      <c r="B39" s="2" t="s">
        <v>123</v>
      </c>
      <c r="C39">
        <v>21</v>
      </c>
    </row>
    <row r="40" spans="1:3">
      <c r="A40" t="s">
        <v>484</v>
      </c>
      <c r="B40" s="2" t="s">
        <v>59</v>
      </c>
      <c r="C40">
        <v>21</v>
      </c>
    </row>
    <row r="41" spans="1:3">
      <c r="A41" t="s">
        <v>484</v>
      </c>
      <c r="B41" s="2" t="s">
        <v>124</v>
      </c>
      <c r="C41">
        <v>21</v>
      </c>
    </row>
    <row r="42" spans="1:3">
      <c r="A42" t="s">
        <v>484</v>
      </c>
      <c r="B42" s="2" t="s">
        <v>189</v>
      </c>
      <c r="C42">
        <v>21</v>
      </c>
    </row>
    <row r="43" spans="1:3">
      <c r="A43" t="s">
        <v>484</v>
      </c>
      <c r="B43" s="2" t="s">
        <v>187</v>
      </c>
      <c r="C43">
        <v>21</v>
      </c>
    </row>
    <row r="44" spans="1:3">
      <c r="A44" t="s">
        <v>484</v>
      </c>
      <c r="B44" t="s">
        <v>86</v>
      </c>
      <c r="C44">
        <v>31</v>
      </c>
    </row>
    <row r="45" spans="1:3">
      <c r="A45" t="s">
        <v>484</v>
      </c>
      <c r="B45" t="s">
        <v>85</v>
      </c>
      <c r="C45">
        <v>31</v>
      </c>
    </row>
    <row r="46" spans="1:3">
      <c r="A46" t="s">
        <v>484</v>
      </c>
      <c r="B46" t="s">
        <v>84</v>
      </c>
      <c r="C46">
        <v>31</v>
      </c>
    </row>
    <row r="47" spans="1:3">
      <c r="A47" t="s">
        <v>484</v>
      </c>
      <c r="B47" t="s">
        <v>87</v>
      </c>
      <c r="C47">
        <v>31</v>
      </c>
    </row>
    <row r="48" spans="1:3">
      <c r="A48" t="s">
        <v>484</v>
      </c>
      <c r="B48" t="s">
        <v>88</v>
      </c>
      <c r="C48">
        <v>31</v>
      </c>
    </row>
    <row r="49" spans="1:3">
      <c r="A49" t="s">
        <v>484</v>
      </c>
      <c r="B49" t="s">
        <v>153</v>
      </c>
      <c r="C49">
        <v>101</v>
      </c>
    </row>
    <row r="50" spans="1:3">
      <c r="A50" t="s">
        <v>484</v>
      </c>
      <c r="B50" t="s">
        <v>96</v>
      </c>
      <c r="C50">
        <v>31</v>
      </c>
    </row>
    <row r="51" spans="1:3">
      <c r="A51" t="s">
        <v>484</v>
      </c>
      <c r="B51" t="s">
        <v>101</v>
      </c>
      <c r="C51">
        <v>41</v>
      </c>
    </row>
    <row r="52" spans="1:3">
      <c r="A52" t="s">
        <v>484</v>
      </c>
      <c r="B52" t="s">
        <v>98</v>
      </c>
      <c r="C52">
        <v>81</v>
      </c>
    </row>
    <row r="53" spans="1:3">
      <c r="A53" t="s">
        <v>484</v>
      </c>
      <c r="B53" t="s">
        <v>99</v>
      </c>
      <c r="C53">
        <v>81</v>
      </c>
    </row>
    <row r="54" spans="1:3">
      <c r="A54" t="s">
        <v>484</v>
      </c>
      <c r="B54" t="s">
        <v>100</v>
      </c>
      <c r="C54">
        <v>21</v>
      </c>
    </row>
    <row r="55" spans="1:3">
      <c r="A55" t="s">
        <v>484</v>
      </c>
      <c r="B55" t="s">
        <v>172</v>
      </c>
      <c r="C55">
        <v>21</v>
      </c>
    </row>
    <row r="56" spans="1:3">
      <c r="A56" t="s">
        <v>484</v>
      </c>
      <c r="B56" t="s">
        <v>173</v>
      </c>
      <c r="C56">
        <v>21</v>
      </c>
    </row>
    <row r="57" spans="1:3">
      <c r="A57" t="s">
        <v>484</v>
      </c>
      <c r="B57" t="s">
        <v>90</v>
      </c>
      <c r="C57">
        <v>21</v>
      </c>
    </row>
    <row r="58" spans="1:3">
      <c r="A58" t="s">
        <v>484</v>
      </c>
      <c r="B58" t="s">
        <v>89</v>
      </c>
      <c r="C58">
        <v>21</v>
      </c>
    </row>
    <row r="59" spans="1:3">
      <c r="A59" t="s">
        <v>484</v>
      </c>
      <c r="B59" t="s">
        <v>91</v>
      </c>
      <c r="C59">
        <v>21</v>
      </c>
    </row>
    <row r="60" spans="1:3">
      <c r="A60" t="s">
        <v>484</v>
      </c>
      <c r="B60" t="s">
        <v>165</v>
      </c>
      <c r="C60">
        <v>21</v>
      </c>
    </row>
    <row r="61" spans="1:3">
      <c r="A61" t="s">
        <v>484</v>
      </c>
      <c r="B61" t="s">
        <v>166</v>
      </c>
      <c r="C61">
        <v>21</v>
      </c>
    </row>
    <row r="62" spans="1:3">
      <c r="A62" t="s">
        <v>484</v>
      </c>
      <c r="B62" t="s">
        <v>167</v>
      </c>
      <c r="C62">
        <v>21</v>
      </c>
    </row>
    <row r="63" spans="1:3">
      <c r="A63" t="s">
        <v>484</v>
      </c>
      <c r="B63" t="s">
        <v>93</v>
      </c>
      <c r="C63">
        <v>21</v>
      </c>
    </row>
    <row r="64" spans="1:3">
      <c r="A64" t="s">
        <v>484</v>
      </c>
      <c r="B64" t="s">
        <v>92</v>
      </c>
      <c r="C64">
        <v>21</v>
      </c>
    </row>
    <row r="65" spans="1:3">
      <c r="A65" t="s">
        <v>484</v>
      </c>
      <c r="B65" t="s">
        <v>94</v>
      </c>
      <c r="C65">
        <v>21</v>
      </c>
    </row>
    <row r="66" spans="1:3">
      <c r="A66" t="s">
        <v>484</v>
      </c>
      <c r="B66" t="s">
        <v>121</v>
      </c>
      <c r="C66">
        <v>31</v>
      </c>
    </row>
    <row r="67" spans="1:3">
      <c r="A67" t="s">
        <v>484</v>
      </c>
      <c r="B67" t="s">
        <v>122</v>
      </c>
      <c r="C67">
        <v>31</v>
      </c>
    </row>
    <row r="68" spans="1:3">
      <c r="A68" t="s">
        <v>484</v>
      </c>
      <c r="B68" t="s">
        <v>157</v>
      </c>
      <c r="C68">
        <v>31</v>
      </c>
    </row>
    <row r="69" spans="1:3">
      <c r="A69" t="s">
        <v>484</v>
      </c>
      <c r="B69" t="s">
        <v>195</v>
      </c>
      <c r="C69">
        <v>101</v>
      </c>
    </row>
    <row r="70" spans="1:3">
      <c r="A70" t="s">
        <v>484</v>
      </c>
      <c r="B70" t="s">
        <v>193</v>
      </c>
      <c r="C70">
        <v>31</v>
      </c>
    </row>
    <row r="71" spans="1:3">
      <c r="A71" t="s">
        <v>484</v>
      </c>
      <c r="B71" t="s">
        <v>194</v>
      </c>
      <c r="C71">
        <v>31</v>
      </c>
    </row>
    <row r="72" spans="1:3">
      <c r="A72" t="s">
        <v>484</v>
      </c>
      <c r="B72" t="s">
        <v>219</v>
      </c>
      <c r="C72">
        <v>26</v>
      </c>
    </row>
    <row r="73" spans="1:3">
      <c r="A73" t="s">
        <v>484</v>
      </c>
      <c r="B73" t="s">
        <v>206</v>
      </c>
      <c r="C73">
        <v>26</v>
      </c>
    </row>
    <row r="74" spans="1:3">
      <c r="A74" t="s">
        <v>484</v>
      </c>
      <c r="B74" t="s">
        <v>201</v>
      </c>
      <c r="C74">
        <v>26</v>
      </c>
    </row>
    <row r="75" spans="1:3">
      <c r="A75" t="s">
        <v>484</v>
      </c>
      <c r="B75" t="s">
        <v>205</v>
      </c>
      <c r="C75">
        <v>26</v>
      </c>
    </row>
    <row r="76" spans="1:3">
      <c r="A76" t="s">
        <v>484</v>
      </c>
      <c r="B76" t="s">
        <v>202</v>
      </c>
      <c r="C76">
        <v>26</v>
      </c>
    </row>
    <row r="77" spans="1:3">
      <c r="A77" t="s">
        <v>484</v>
      </c>
      <c r="B77" t="s">
        <v>203</v>
      </c>
      <c r="C77">
        <v>26</v>
      </c>
    </row>
    <row r="78" spans="1:3">
      <c r="A78" t="s">
        <v>484</v>
      </c>
      <c r="B78" t="s">
        <v>204</v>
      </c>
      <c r="C78">
        <v>26</v>
      </c>
    </row>
    <row r="79" spans="1:3">
      <c r="A79" t="s">
        <v>484</v>
      </c>
      <c r="B79" t="s">
        <v>227</v>
      </c>
      <c r="C79">
        <v>26</v>
      </c>
    </row>
    <row r="80" spans="1:3">
      <c r="A80" t="s">
        <v>484</v>
      </c>
      <c r="B80" t="s">
        <v>228</v>
      </c>
      <c r="C80">
        <v>26</v>
      </c>
    </row>
    <row r="81" spans="1:3">
      <c r="A81" t="s">
        <v>484</v>
      </c>
      <c r="B81" t="s">
        <v>229</v>
      </c>
      <c r="C81">
        <v>26</v>
      </c>
    </row>
    <row r="82" spans="1:3">
      <c r="A82" t="s">
        <v>484</v>
      </c>
      <c r="B82" t="s">
        <v>230</v>
      </c>
      <c r="C82">
        <v>21</v>
      </c>
    </row>
    <row r="83" spans="1:3">
      <c r="A83" t="s">
        <v>484</v>
      </c>
      <c r="B83" t="s">
        <v>231</v>
      </c>
      <c r="C83">
        <v>21</v>
      </c>
    </row>
    <row r="84" spans="1:3">
      <c r="A84" t="s">
        <v>484</v>
      </c>
      <c r="B84" t="s">
        <v>210</v>
      </c>
      <c r="C84">
        <v>41</v>
      </c>
    </row>
    <row r="85" spans="1:3">
      <c r="A85" t="s">
        <v>484</v>
      </c>
      <c r="B85" t="s">
        <v>220</v>
      </c>
      <c r="C85">
        <v>26</v>
      </c>
    </row>
    <row r="86" spans="1:3">
      <c r="A86" t="s">
        <v>484</v>
      </c>
      <c r="B86" t="s">
        <v>221</v>
      </c>
      <c r="C86">
        <v>26</v>
      </c>
    </row>
    <row r="87" spans="1:3">
      <c r="A87" t="s">
        <v>484</v>
      </c>
      <c r="B87" t="s">
        <v>211</v>
      </c>
      <c r="C87">
        <v>26</v>
      </c>
    </row>
    <row r="88" spans="1:3">
      <c r="A88" t="s">
        <v>484</v>
      </c>
      <c r="B88" t="s">
        <v>212</v>
      </c>
      <c r="C88">
        <v>26</v>
      </c>
    </row>
    <row r="89" spans="1:3">
      <c r="A89" t="s">
        <v>484</v>
      </c>
      <c r="B89" t="s">
        <v>213</v>
      </c>
      <c r="C89">
        <v>26</v>
      </c>
    </row>
    <row r="90" spans="1:3">
      <c r="A90" t="s">
        <v>484</v>
      </c>
      <c r="B90" t="s">
        <v>214</v>
      </c>
      <c r="C90">
        <v>26</v>
      </c>
    </row>
    <row r="91" spans="1:3">
      <c r="A91" t="s">
        <v>484</v>
      </c>
      <c r="B91" t="s">
        <v>215</v>
      </c>
      <c r="C91">
        <v>26</v>
      </c>
    </row>
    <row r="92" spans="1:3">
      <c r="A92" t="s">
        <v>484</v>
      </c>
      <c r="B92" t="s">
        <v>216</v>
      </c>
      <c r="C92">
        <v>26</v>
      </c>
    </row>
    <row r="93" spans="1:3">
      <c r="A93" t="s">
        <v>484</v>
      </c>
      <c r="B93" t="s">
        <v>244</v>
      </c>
      <c r="C93">
        <v>26</v>
      </c>
    </row>
    <row r="94" spans="1:3">
      <c r="A94" t="s">
        <v>484</v>
      </c>
      <c r="B94" t="s">
        <v>233</v>
      </c>
      <c r="C94">
        <v>21</v>
      </c>
    </row>
    <row r="95" spans="1:3">
      <c r="A95" t="s">
        <v>484</v>
      </c>
      <c r="B95" t="s">
        <v>234</v>
      </c>
      <c r="C95">
        <v>31</v>
      </c>
    </row>
    <row r="96" spans="1:3">
      <c r="A96" t="s">
        <v>484</v>
      </c>
      <c r="B96" t="s">
        <v>217</v>
      </c>
      <c r="C96">
        <v>41</v>
      </c>
    </row>
    <row r="97" spans="1:3">
      <c r="A97" t="s">
        <v>484</v>
      </c>
      <c r="B97" t="s">
        <v>222</v>
      </c>
      <c r="C97">
        <v>21</v>
      </c>
    </row>
    <row r="98" spans="1:3">
      <c r="A98" t="s">
        <v>484</v>
      </c>
      <c r="B98" t="s">
        <v>218</v>
      </c>
      <c r="C98">
        <v>31</v>
      </c>
    </row>
    <row r="99" spans="1:3">
      <c r="A99" t="s">
        <v>484</v>
      </c>
      <c r="B99" t="s">
        <v>232</v>
      </c>
      <c r="C99">
        <v>26</v>
      </c>
    </row>
    <row r="100" spans="1:3">
      <c r="A100" t="s">
        <v>484</v>
      </c>
      <c r="B100" s="15" t="s">
        <v>225</v>
      </c>
      <c r="C100">
        <v>31</v>
      </c>
    </row>
    <row r="101" spans="1:3">
      <c r="A101" t="s">
        <v>484</v>
      </c>
      <c r="B101" s="15" t="s">
        <v>236</v>
      </c>
      <c r="C101">
        <v>31</v>
      </c>
    </row>
    <row r="102" spans="1:3">
      <c r="A102" t="s">
        <v>484</v>
      </c>
      <c r="B102" s="15" t="s">
        <v>223</v>
      </c>
      <c r="C102">
        <v>31</v>
      </c>
    </row>
    <row r="103" spans="1:3">
      <c r="A103" t="s">
        <v>484</v>
      </c>
      <c r="B103" s="15" t="s">
        <v>224</v>
      </c>
      <c r="C103">
        <v>31</v>
      </c>
    </row>
    <row r="104" spans="1:3">
      <c r="A104" t="s">
        <v>484</v>
      </c>
      <c r="B104" s="15" t="s">
        <v>235</v>
      </c>
      <c r="C104">
        <v>31</v>
      </c>
    </row>
    <row r="105" spans="1:3">
      <c r="A105" t="s">
        <v>484</v>
      </c>
      <c r="B105" s="15" t="s">
        <v>226</v>
      </c>
      <c r="C105">
        <v>31</v>
      </c>
    </row>
    <row r="106" spans="1:3">
      <c r="A106" t="s">
        <v>484</v>
      </c>
      <c r="B106" t="s">
        <v>238</v>
      </c>
      <c r="C106">
        <v>26</v>
      </c>
    </row>
    <row r="107" spans="1:3">
      <c r="A107" t="s">
        <v>484</v>
      </c>
      <c r="B107" t="s">
        <v>239</v>
      </c>
      <c r="C107">
        <v>21</v>
      </c>
    </row>
    <row r="108" spans="1:3">
      <c r="A108" t="s">
        <v>484</v>
      </c>
      <c r="B108" t="s">
        <v>240</v>
      </c>
      <c r="C108">
        <v>21</v>
      </c>
    </row>
    <row r="109" spans="1:3">
      <c r="A109" t="s">
        <v>484</v>
      </c>
      <c r="B109" t="s">
        <v>241</v>
      </c>
      <c r="C109">
        <v>21</v>
      </c>
    </row>
    <row r="110" spans="1:3">
      <c r="A110" t="s">
        <v>484</v>
      </c>
      <c r="B110" t="s">
        <v>242</v>
      </c>
      <c r="C110">
        <v>21</v>
      </c>
    </row>
    <row r="111" spans="1:3">
      <c r="A111" t="s">
        <v>484</v>
      </c>
      <c r="B111" t="s">
        <v>243</v>
      </c>
      <c r="C111">
        <v>26</v>
      </c>
    </row>
    <row r="112" spans="1:3">
      <c r="A112" t="s">
        <v>484</v>
      </c>
      <c r="B112" t="s">
        <v>249</v>
      </c>
      <c r="C112">
        <v>21</v>
      </c>
    </row>
    <row r="113" spans="1:3">
      <c r="A113" t="s">
        <v>484</v>
      </c>
      <c r="B113" t="s">
        <v>250</v>
      </c>
      <c r="C113">
        <v>21</v>
      </c>
    </row>
    <row r="114" spans="1:3">
      <c r="A114" t="s">
        <v>484</v>
      </c>
      <c r="B114" t="s">
        <v>262</v>
      </c>
      <c r="C114">
        <v>26</v>
      </c>
    </row>
    <row r="115" spans="1:3">
      <c r="A115" t="s">
        <v>484</v>
      </c>
      <c r="B115" t="s">
        <v>256</v>
      </c>
      <c r="C115">
        <v>31</v>
      </c>
    </row>
    <row r="116" spans="1:3">
      <c r="A116" t="s">
        <v>484</v>
      </c>
      <c r="B116" t="s">
        <v>257</v>
      </c>
      <c r="C116">
        <v>26</v>
      </c>
    </row>
    <row r="117" spans="1:3">
      <c r="A117" t="s">
        <v>484</v>
      </c>
      <c r="B117" t="s">
        <v>263</v>
      </c>
      <c r="C117">
        <v>26</v>
      </c>
    </row>
    <row r="118" spans="1:3">
      <c r="A118" t="s">
        <v>484</v>
      </c>
      <c r="B118" t="s">
        <v>254</v>
      </c>
      <c r="C118">
        <v>26</v>
      </c>
    </row>
    <row r="119" spans="1:3">
      <c r="A119" t="s">
        <v>484</v>
      </c>
      <c r="B119" t="s">
        <v>255</v>
      </c>
      <c r="C119">
        <v>26</v>
      </c>
    </row>
    <row r="120" spans="1:3">
      <c r="A120" t="s">
        <v>484</v>
      </c>
      <c r="B120" t="s">
        <v>258</v>
      </c>
      <c r="C120">
        <v>26</v>
      </c>
    </row>
    <row r="121" spans="1:3">
      <c r="A121" t="s">
        <v>484</v>
      </c>
      <c r="B121" t="s">
        <v>259</v>
      </c>
      <c r="C121">
        <v>31</v>
      </c>
    </row>
    <row r="122" spans="1:3">
      <c r="A122" t="s">
        <v>484</v>
      </c>
      <c r="B122" t="s">
        <v>251</v>
      </c>
      <c r="C122">
        <v>51</v>
      </c>
    </row>
    <row r="123" spans="1:3">
      <c r="A123" t="s">
        <v>484</v>
      </c>
      <c r="B123" t="s">
        <v>252</v>
      </c>
      <c r="C123">
        <v>51</v>
      </c>
    </row>
    <row r="124" spans="1:3">
      <c r="A124" t="s">
        <v>484</v>
      </c>
      <c r="B124" t="s">
        <v>253</v>
      </c>
      <c r="C124">
        <v>41</v>
      </c>
    </row>
    <row r="125" spans="1:3">
      <c r="A125" t="s">
        <v>484</v>
      </c>
      <c r="B125" t="s">
        <v>260</v>
      </c>
      <c r="C125">
        <v>21</v>
      </c>
    </row>
    <row r="126" spans="1:3">
      <c r="A126" t="s">
        <v>484</v>
      </c>
      <c r="B126" t="s">
        <v>261</v>
      </c>
      <c r="C126">
        <v>21</v>
      </c>
    </row>
    <row r="127" spans="1:3">
      <c r="A127" t="s">
        <v>484</v>
      </c>
      <c r="B127" t="s">
        <v>264</v>
      </c>
      <c r="C127">
        <v>21</v>
      </c>
    </row>
    <row r="128" spans="1:3">
      <c r="A128" t="s">
        <v>484</v>
      </c>
      <c r="B128" t="s">
        <v>265</v>
      </c>
      <c r="C128">
        <v>100</v>
      </c>
    </row>
    <row r="129" spans="1:3">
      <c r="A129" s="11" t="s">
        <v>484</v>
      </c>
      <c r="B129" t="s">
        <v>267</v>
      </c>
      <c r="C129">
        <v>36</v>
      </c>
    </row>
    <row r="130" spans="1:3">
      <c r="A130" s="11" t="s">
        <v>484</v>
      </c>
      <c r="B130" t="s">
        <v>268</v>
      </c>
      <c r="C130">
        <v>36</v>
      </c>
    </row>
    <row r="131" spans="1:3">
      <c r="A131" s="11" t="s">
        <v>484</v>
      </c>
      <c r="B131" t="s">
        <v>269</v>
      </c>
      <c r="C131">
        <v>31</v>
      </c>
    </row>
    <row r="132" spans="1:3">
      <c r="A132" t="s">
        <v>484</v>
      </c>
      <c r="B132" t="s">
        <v>300</v>
      </c>
      <c r="C132">
        <v>21</v>
      </c>
    </row>
    <row r="133" spans="1:3">
      <c r="A133" t="s">
        <v>484</v>
      </c>
      <c r="B133" t="s">
        <v>306</v>
      </c>
      <c r="C133">
        <v>101</v>
      </c>
    </row>
    <row r="134" spans="1:3">
      <c r="A134" t="s">
        <v>484</v>
      </c>
      <c r="B134" t="s">
        <v>301</v>
      </c>
      <c r="C134">
        <v>101</v>
      </c>
    </row>
    <row r="135" spans="1:3">
      <c r="A135" t="s">
        <v>484</v>
      </c>
      <c r="B135" t="s">
        <v>304</v>
      </c>
      <c r="C135">
        <v>101</v>
      </c>
    </row>
    <row r="136" spans="1:3">
      <c r="A136" t="s">
        <v>484</v>
      </c>
      <c r="B136" t="s">
        <v>303</v>
      </c>
      <c r="C136">
        <v>101</v>
      </c>
    </row>
    <row r="137" spans="1:3">
      <c r="A137" t="s">
        <v>484</v>
      </c>
      <c r="B137" t="s">
        <v>305</v>
      </c>
      <c r="C137">
        <v>101</v>
      </c>
    </row>
    <row r="138" spans="1:3">
      <c r="A138" t="s">
        <v>484</v>
      </c>
      <c r="B138" t="s">
        <v>302</v>
      </c>
      <c r="C138">
        <v>101</v>
      </c>
    </row>
    <row r="139" spans="1:3">
      <c r="A139" s="18" t="s">
        <v>484</v>
      </c>
      <c r="B139" s="2" t="s">
        <v>310</v>
      </c>
      <c r="C139">
        <v>41</v>
      </c>
    </row>
    <row r="140" spans="1:3">
      <c r="A140" s="18" t="s">
        <v>484</v>
      </c>
      <c r="B140" s="2" t="s">
        <v>311</v>
      </c>
      <c r="C140">
        <v>41</v>
      </c>
    </row>
    <row r="141" spans="1:3">
      <c r="A141" s="18" t="s">
        <v>484</v>
      </c>
      <c r="B141" s="2" t="s">
        <v>316</v>
      </c>
      <c r="C141">
        <v>21</v>
      </c>
    </row>
    <row r="142" spans="1:3">
      <c r="A142" s="18" t="s">
        <v>484</v>
      </c>
      <c r="B142" s="2" t="s">
        <v>497</v>
      </c>
      <c r="C142">
        <v>31</v>
      </c>
    </row>
    <row r="143" spans="1:3">
      <c r="A143" s="18" t="s">
        <v>484</v>
      </c>
      <c r="B143" s="2" t="s">
        <v>317</v>
      </c>
      <c r="C143">
        <v>21</v>
      </c>
    </row>
    <row r="144" spans="1:3">
      <c r="A144" s="18" t="s">
        <v>484</v>
      </c>
      <c r="B144" t="s">
        <v>327</v>
      </c>
      <c r="C144">
        <v>31</v>
      </c>
    </row>
    <row r="145" spans="1:6">
      <c r="A145" s="6" t="s">
        <v>484</v>
      </c>
      <c r="B145" s="2" t="s">
        <v>329</v>
      </c>
      <c r="C145">
        <v>21</v>
      </c>
    </row>
    <row r="146" spans="1:6">
      <c r="A146" s="6" t="s">
        <v>484</v>
      </c>
      <c r="B146" s="2" t="s">
        <v>330</v>
      </c>
      <c r="C146">
        <v>21</v>
      </c>
    </row>
    <row r="147" spans="1:6">
      <c r="A147" t="s">
        <v>484</v>
      </c>
      <c r="B147" s="2" t="s">
        <v>331</v>
      </c>
      <c r="C147">
        <v>101</v>
      </c>
    </row>
    <row r="148" spans="1:6">
      <c r="A148" t="s">
        <v>484</v>
      </c>
      <c r="B148" t="s">
        <v>332</v>
      </c>
      <c r="C148">
        <v>101</v>
      </c>
    </row>
    <row r="149" spans="1:6">
      <c r="A149" t="s">
        <v>484</v>
      </c>
      <c r="B149" t="s">
        <v>333</v>
      </c>
      <c r="C149">
        <v>101</v>
      </c>
    </row>
    <row r="150" spans="1:6">
      <c r="A150" t="s">
        <v>484</v>
      </c>
      <c r="B150" t="s">
        <v>449</v>
      </c>
      <c r="C150">
        <v>31</v>
      </c>
    </row>
    <row r="151" spans="1:6">
      <c r="A151" t="s">
        <v>484</v>
      </c>
      <c r="B151" t="s">
        <v>451</v>
      </c>
      <c r="C151">
        <v>31</v>
      </c>
    </row>
    <row r="152" spans="1:6">
      <c r="A152" t="s">
        <v>484</v>
      </c>
      <c r="B152" t="s">
        <v>450</v>
      </c>
      <c r="C152">
        <v>31</v>
      </c>
    </row>
    <row r="153" spans="1:6">
      <c r="A153" t="s">
        <v>484</v>
      </c>
      <c r="B153" t="s">
        <v>436</v>
      </c>
      <c r="C153">
        <v>31</v>
      </c>
      <c r="E153" t="s">
        <v>470</v>
      </c>
      <c r="F153" t="s">
        <v>472</v>
      </c>
    </row>
    <row r="154" spans="1:6">
      <c r="A154" t="s">
        <v>484</v>
      </c>
      <c r="B154" t="s">
        <v>104</v>
      </c>
      <c r="C154">
        <v>31</v>
      </c>
      <c r="E154" t="s">
        <v>470</v>
      </c>
      <c r="F154" t="s">
        <v>472</v>
      </c>
    </row>
    <row r="155" spans="1:6">
      <c r="A155" t="s">
        <v>484</v>
      </c>
      <c r="B155" t="s">
        <v>105</v>
      </c>
      <c r="C155">
        <v>31</v>
      </c>
      <c r="E155" t="s">
        <v>470</v>
      </c>
      <c r="F155" t="s">
        <v>472</v>
      </c>
    </row>
    <row r="156" spans="1:6">
      <c r="A156" t="s">
        <v>484</v>
      </c>
      <c r="B156" t="s">
        <v>442</v>
      </c>
      <c r="C156">
        <v>26</v>
      </c>
      <c r="E156" t="s">
        <v>470</v>
      </c>
      <c r="F156" t="s">
        <v>472</v>
      </c>
    </row>
    <row r="157" spans="1:6">
      <c r="A157" t="s">
        <v>484</v>
      </c>
      <c r="B157" t="s">
        <v>440</v>
      </c>
      <c r="C157">
        <v>26</v>
      </c>
      <c r="E157" t="s">
        <v>470</v>
      </c>
      <c r="F157" t="s">
        <v>472</v>
      </c>
    </row>
    <row r="158" spans="1:6">
      <c r="A158" t="s">
        <v>484</v>
      </c>
      <c r="B158" t="s">
        <v>444</v>
      </c>
      <c r="C158">
        <v>26</v>
      </c>
      <c r="E158" t="s">
        <v>470</v>
      </c>
      <c r="F158" t="s">
        <v>472</v>
      </c>
    </row>
    <row r="159" spans="1:6">
      <c r="A159" t="s">
        <v>484</v>
      </c>
      <c r="B159" t="s">
        <v>437</v>
      </c>
      <c r="C159">
        <v>31</v>
      </c>
      <c r="E159" t="s">
        <v>470</v>
      </c>
      <c r="F159" t="s">
        <v>472</v>
      </c>
    </row>
    <row r="160" spans="1:6">
      <c r="A160" t="s">
        <v>484</v>
      </c>
      <c r="B160" t="s">
        <v>438</v>
      </c>
      <c r="C160">
        <v>31</v>
      </c>
      <c r="E160" t="s">
        <v>470</v>
      </c>
      <c r="F160" t="s">
        <v>472</v>
      </c>
    </row>
    <row r="161" spans="1:6">
      <c r="A161" t="s">
        <v>484</v>
      </c>
      <c r="B161" t="s">
        <v>439</v>
      </c>
      <c r="C161">
        <v>31</v>
      </c>
      <c r="E161" t="s">
        <v>470</v>
      </c>
      <c r="F161" t="s">
        <v>472</v>
      </c>
    </row>
    <row r="162" spans="1:6">
      <c r="A162" t="s">
        <v>484</v>
      </c>
      <c r="B162" t="s">
        <v>443</v>
      </c>
      <c r="C162">
        <v>26</v>
      </c>
      <c r="E162" t="s">
        <v>470</v>
      </c>
      <c r="F162" t="s">
        <v>472</v>
      </c>
    </row>
    <row r="163" spans="1:6">
      <c r="A163" t="s">
        <v>484</v>
      </c>
      <c r="B163" t="s">
        <v>441</v>
      </c>
      <c r="C163">
        <v>26</v>
      </c>
      <c r="E163" t="s">
        <v>470</v>
      </c>
      <c r="F163" t="s">
        <v>472</v>
      </c>
    </row>
    <row r="164" spans="1:6">
      <c r="A164" t="s">
        <v>484</v>
      </c>
      <c r="B164" t="s">
        <v>445</v>
      </c>
      <c r="C164">
        <v>31</v>
      </c>
      <c r="E164" t="s">
        <v>473</v>
      </c>
    </row>
    <row r="165" spans="1:6">
      <c r="A165" t="s">
        <v>484</v>
      </c>
      <c r="B165" t="s">
        <v>447</v>
      </c>
      <c r="C165">
        <v>100</v>
      </c>
    </row>
    <row r="166" spans="1:6">
      <c r="A166" t="s">
        <v>484</v>
      </c>
      <c r="B166" t="s">
        <v>448</v>
      </c>
      <c r="C166">
        <v>100</v>
      </c>
    </row>
    <row r="167" spans="1:6">
      <c r="A167" t="s">
        <v>484</v>
      </c>
      <c r="B167" t="s">
        <v>446</v>
      </c>
      <c r="C167">
        <v>31</v>
      </c>
      <c r="E167" t="s">
        <v>474</v>
      </c>
    </row>
    <row r="168" spans="1:6">
      <c r="A168" t="s">
        <v>484</v>
      </c>
      <c r="B168" t="s">
        <v>460</v>
      </c>
      <c r="C168">
        <v>25</v>
      </c>
    </row>
  </sheetData>
  <dataValidations count="2">
    <dataValidation type="list" allowBlank="1" showInputMessage="1" showErrorMessage="1" sqref="B67 B21 B23:B26 B142" xr:uid="{00000000-0002-0000-2100-000000000000}">
      <formula1>Technologies</formula1>
    </dataValidation>
    <dataValidation type="list" allowBlank="1" showInputMessage="1" showErrorMessage="1" sqref="A129:A131" xr:uid="{00000000-0002-0000-2100-000001000000}">
      <formula1>Regions</formula1>
    </dataValidation>
  </dataValidations>
  <pageMargins left="0.7" right="0.7" top="0.78740157499999996" bottom="0.78740157499999996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Tabelle26"/>
  <dimension ref="A1:J17"/>
  <sheetViews>
    <sheetView zoomScaleNormal="100" workbookViewId="0">
      <pane xSplit="1" topLeftCell="B1" activePane="topRight" state="frozen"/>
      <selection pane="topRight" activeCell="D17" sqref="D17"/>
    </sheetView>
  </sheetViews>
  <sheetFormatPr defaultColWidth="11.42578125" defaultRowHeight="15"/>
  <cols>
    <col min="1" max="1" width="11.42578125" style="4"/>
    <col min="2" max="2" width="29.42578125" style="4" customWidth="1"/>
    <col min="3" max="16384" width="11.42578125" style="4"/>
  </cols>
  <sheetData>
    <row r="1" spans="1:10">
      <c r="A1" s="4" t="s">
        <v>408</v>
      </c>
    </row>
    <row r="2" spans="1:10">
      <c r="A2" s="4" t="s">
        <v>54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17" spans="4:4">
      <c r="D17" s="4" t="s">
        <v>488</v>
      </c>
    </row>
  </sheetData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Tabelle9">
    <tabColor theme="5" tint="0.79998168889431442"/>
  </sheetPr>
  <dimension ref="A1:J271"/>
  <sheetViews>
    <sheetView zoomScaleNormal="100" workbookViewId="0">
      <pane xSplit="1" topLeftCell="B1" activePane="topRight" state="frozen"/>
      <selection pane="topRight" activeCell="C19" sqref="C19"/>
    </sheetView>
  </sheetViews>
  <sheetFormatPr defaultColWidth="11.42578125" defaultRowHeight="15"/>
  <cols>
    <col min="1" max="1" width="33.5703125" style="4" customWidth="1"/>
    <col min="2" max="2" width="26.140625" style="4" customWidth="1"/>
    <col min="3" max="16384" width="11.42578125" style="4"/>
  </cols>
  <sheetData>
    <row r="1" spans="1:10">
      <c r="A1" s="4" t="s">
        <v>409</v>
      </c>
    </row>
    <row r="2" spans="1:10">
      <c r="A2" s="4" t="s">
        <v>345</v>
      </c>
    </row>
    <row r="3" spans="1:10">
      <c r="A3" s="4" t="s">
        <v>390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487</v>
      </c>
      <c r="B6" s="4" t="s">
        <v>303</v>
      </c>
      <c r="C6" s="26">
        <v>2</v>
      </c>
      <c r="D6" s="26">
        <v>2</v>
      </c>
      <c r="E6" s="26">
        <v>2</v>
      </c>
      <c r="F6" s="26">
        <v>2</v>
      </c>
      <c r="G6" s="26">
        <v>2</v>
      </c>
      <c r="H6" s="26">
        <v>2</v>
      </c>
      <c r="I6" s="26">
        <v>2</v>
      </c>
      <c r="J6" s="26">
        <v>2</v>
      </c>
    </row>
    <row r="7" spans="1:10">
      <c r="A7" t="s">
        <v>483</v>
      </c>
      <c r="B7" s="4" t="s">
        <v>303</v>
      </c>
      <c r="C7" s="26">
        <v>2</v>
      </c>
      <c r="D7" s="26">
        <v>2</v>
      </c>
      <c r="E7" s="26">
        <v>2</v>
      </c>
      <c r="F7" s="26">
        <v>2</v>
      </c>
      <c r="G7" s="26">
        <v>2</v>
      </c>
      <c r="H7" s="26">
        <v>2</v>
      </c>
      <c r="I7" s="26">
        <v>2</v>
      </c>
      <c r="J7" s="26">
        <v>2</v>
      </c>
    </row>
    <row r="8" spans="1:10">
      <c r="A8" t="s">
        <v>486</v>
      </c>
      <c r="B8" s="4" t="s">
        <v>303</v>
      </c>
      <c r="C8" s="26">
        <v>2</v>
      </c>
      <c r="D8" s="26">
        <v>2</v>
      </c>
      <c r="E8" s="26">
        <v>2</v>
      </c>
      <c r="F8" s="26">
        <v>2</v>
      </c>
      <c r="G8" s="26">
        <v>2</v>
      </c>
      <c r="H8" s="26">
        <v>2</v>
      </c>
      <c r="I8" s="26">
        <v>2</v>
      </c>
      <c r="J8" s="26">
        <v>2</v>
      </c>
    </row>
    <row r="9" spans="1:10">
      <c r="A9" t="s">
        <v>484</v>
      </c>
      <c r="B9" s="4" t="s">
        <v>303</v>
      </c>
      <c r="C9" s="26">
        <v>2</v>
      </c>
      <c r="D9" s="26">
        <v>2</v>
      </c>
      <c r="E9" s="26">
        <v>2</v>
      </c>
      <c r="F9" s="26">
        <v>2</v>
      </c>
      <c r="G9" s="26">
        <v>2</v>
      </c>
      <c r="H9" s="26">
        <v>2</v>
      </c>
      <c r="I9" s="26">
        <v>2</v>
      </c>
      <c r="J9" s="26">
        <v>2</v>
      </c>
    </row>
    <row r="10" spans="1:10">
      <c r="A10" t="s">
        <v>480</v>
      </c>
      <c r="B10" s="4" t="s">
        <v>303</v>
      </c>
      <c r="C10" s="26">
        <v>0.5</v>
      </c>
      <c r="D10" s="26">
        <v>0.5</v>
      </c>
      <c r="E10" s="26">
        <v>0.5</v>
      </c>
      <c r="F10" s="26">
        <v>0.5</v>
      </c>
      <c r="G10" s="26">
        <v>0.5</v>
      </c>
      <c r="H10" s="26">
        <v>0.5</v>
      </c>
      <c r="I10" s="26">
        <v>0.5</v>
      </c>
      <c r="J10" s="26">
        <v>0.5</v>
      </c>
    </row>
    <row r="11" spans="1:10">
      <c r="A11" t="s">
        <v>479</v>
      </c>
      <c r="B11" s="4" t="s">
        <v>303</v>
      </c>
      <c r="C11" s="26">
        <v>0.5</v>
      </c>
      <c r="D11" s="26">
        <v>0.5</v>
      </c>
      <c r="E11" s="26">
        <v>0.5</v>
      </c>
      <c r="F11" s="26">
        <v>0.5</v>
      </c>
      <c r="G11" s="26">
        <v>0.5</v>
      </c>
      <c r="H11" s="26">
        <v>0.5</v>
      </c>
      <c r="I11" s="26">
        <v>0.5</v>
      </c>
      <c r="J11" s="26">
        <v>0.5</v>
      </c>
    </row>
    <row r="12" spans="1:10">
      <c r="A12" t="s">
        <v>481</v>
      </c>
      <c r="B12" s="4" t="s">
        <v>303</v>
      </c>
      <c r="C12" s="26">
        <v>0.5</v>
      </c>
      <c r="D12" s="26">
        <v>0.5</v>
      </c>
      <c r="E12" s="26">
        <v>0.5</v>
      </c>
      <c r="F12" s="26">
        <v>0.5</v>
      </c>
      <c r="G12" s="26">
        <v>0.5</v>
      </c>
      <c r="H12" s="26">
        <v>0.5</v>
      </c>
      <c r="I12" s="26">
        <v>0.5</v>
      </c>
      <c r="J12" s="26">
        <v>0.5</v>
      </c>
    </row>
    <row r="13" spans="1:10">
      <c r="A13" t="s">
        <v>485</v>
      </c>
      <c r="B13" s="4" t="s">
        <v>303</v>
      </c>
      <c r="C13" s="26">
        <v>2</v>
      </c>
      <c r="D13" s="26">
        <v>2</v>
      </c>
      <c r="E13" s="26">
        <v>2</v>
      </c>
      <c r="F13" s="26">
        <v>2</v>
      </c>
      <c r="G13" s="26">
        <v>2</v>
      </c>
      <c r="H13" s="26">
        <v>2</v>
      </c>
      <c r="I13" s="26">
        <v>2</v>
      </c>
      <c r="J13" s="26">
        <v>2</v>
      </c>
    </row>
    <row r="14" spans="1:10">
      <c r="A14"/>
      <c r="C14" s="26"/>
      <c r="D14" s="26"/>
      <c r="E14" s="26"/>
      <c r="F14" s="26"/>
      <c r="G14" s="26"/>
      <c r="H14" s="26"/>
      <c r="I14" s="26"/>
      <c r="J14" s="26"/>
    </row>
    <row r="15" spans="1:10">
      <c r="A15"/>
      <c r="C15" s="26"/>
      <c r="D15" s="26"/>
      <c r="E15" s="26"/>
      <c r="F15" s="26"/>
      <c r="G15" s="26"/>
      <c r="H15" s="26"/>
      <c r="I15" s="26"/>
      <c r="J15" s="26"/>
    </row>
    <row r="16" spans="1:10">
      <c r="A16"/>
      <c r="C16" s="26"/>
      <c r="D16" s="26"/>
      <c r="E16" s="26"/>
      <c r="F16" s="26"/>
      <c r="G16" s="26"/>
      <c r="H16" s="26"/>
      <c r="I16" s="26"/>
      <c r="J16" s="26"/>
    </row>
    <row r="17" spans="1:10">
      <c r="A17"/>
      <c r="C17" s="26"/>
      <c r="D17" s="26"/>
      <c r="E17" s="26"/>
      <c r="F17" s="26"/>
      <c r="G17" s="26"/>
      <c r="H17" s="26"/>
      <c r="I17" s="26"/>
      <c r="J17" s="26"/>
    </row>
    <row r="18" spans="1:10">
      <c r="A18"/>
      <c r="C18" s="26"/>
      <c r="D18" s="26"/>
      <c r="E18" s="26"/>
      <c r="F18" s="26"/>
      <c r="G18" s="26"/>
      <c r="H18" s="26"/>
      <c r="I18" s="26"/>
      <c r="J18" s="26"/>
    </row>
    <row r="19" spans="1:10">
      <c r="A19"/>
      <c r="C19" s="26"/>
      <c r="D19" s="26"/>
      <c r="E19" s="26"/>
      <c r="F19" s="26"/>
      <c r="G19" s="26"/>
      <c r="H19" s="26"/>
      <c r="I19" s="26"/>
      <c r="J19" s="26"/>
    </row>
    <row r="20" spans="1:10">
      <c r="A20"/>
      <c r="C20" s="26"/>
      <c r="D20" s="26"/>
      <c r="E20" s="26"/>
      <c r="F20" s="26"/>
      <c r="G20" s="26"/>
      <c r="H20" s="26"/>
      <c r="I20" s="26"/>
      <c r="J20" s="26"/>
    </row>
    <row r="21" spans="1:10">
      <c r="A21"/>
      <c r="C21" s="26"/>
      <c r="D21" s="26"/>
      <c r="E21" s="26"/>
      <c r="F21" s="26"/>
      <c r="G21" s="26"/>
      <c r="H21" s="26"/>
      <c r="I21" s="26"/>
      <c r="J21" s="26"/>
    </row>
    <row r="22" spans="1:10">
      <c r="A22"/>
      <c r="C22" s="26"/>
      <c r="D22" s="26"/>
      <c r="E22" s="26"/>
      <c r="F22" s="26"/>
      <c r="G22" s="26"/>
      <c r="H22" s="26"/>
      <c r="I22" s="26"/>
      <c r="J22" s="26"/>
    </row>
    <row r="23" spans="1:10">
      <c r="A23"/>
      <c r="C23" s="26"/>
      <c r="D23" s="26"/>
      <c r="E23" s="26"/>
      <c r="F23" s="26"/>
      <c r="G23" s="26"/>
      <c r="H23" s="26"/>
      <c r="I23" s="26"/>
      <c r="J23" s="26"/>
    </row>
    <row r="24" spans="1:10">
      <c r="A24"/>
      <c r="C24" s="26"/>
      <c r="D24" s="26"/>
      <c r="E24" s="26"/>
      <c r="F24" s="26"/>
      <c r="G24" s="26"/>
      <c r="H24" s="26"/>
      <c r="I24" s="26"/>
      <c r="J24" s="26"/>
    </row>
    <row r="25" spans="1:10">
      <c r="A25"/>
      <c r="C25" s="26"/>
      <c r="D25" s="26"/>
      <c r="E25" s="26"/>
      <c r="F25" s="26"/>
      <c r="G25" s="26"/>
      <c r="H25" s="26"/>
      <c r="I25" s="26"/>
      <c r="J25" s="26"/>
    </row>
    <row r="26" spans="1:10">
      <c r="A26"/>
      <c r="C26" s="26"/>
      <c r="D26" s="26"/>
      <c r="E26" s="26"/>
      <c r="F26" s="26"/>
      <c r="G26" s="26"/>
      <c r="H26" s="26"/>
      <c r="I26" s="26"/>
      <c r="J26" s="26"/>
    </row>
    <row r="27" spans="1:10">
      <c r="A27"/>
      <c r="C27" s="26"/>
      <c r="D27" s="26"/>
      <c r="E27" s="26"/>
      <c r="F27" s="26"/>
      <c r="G27" s="26"/>
      <c r="H27" s="26"/>
      <c r="I27" s="26"/>
      <c r="J27" s="26"/>
    </row>
    <row r="28" spans="1:10">
      <c r="A28"/>
      <c r="C28" s="26"/>
      <c r="D28" s="26"/>
      <c r="E28" s="26"/>
      <c r="F28" s="26"/>
      <c r="G28" s="26"/>
      <c r="H28" s="26"/>
      <c r="I28" s="26"/>
      <c r="J28" s="26"/>
    </row>
    <row r="29" spans="1:10">
      <c r="A29"/>
      <c r="C29" s="26"/>
      <c r="D29" s="26"/>
      <c r="E29" s="26"/>
      <c r="F29" s="26"/>
      <c r="G29" s="26"/>
      <c r="H29" s="26"/>
      <c r="I29" s="26"/>
      <c r="J29" s="26"/>
    </row>
    <row r="30" spans="1:10">
      <c r="A30"/>
      <c r="C30" s="26"/>
      <c r="D30" s="26"/>
      <c r="E30" s="26"/>
      <c r="F30" s="26"/>
      <c r="G30" s="26"/>
      <c r="H30" s="26"/>
      <c r="I30" s="26"/>
      <c r="J30" s="26"/>
    </row>
    <row r="31" spans="1:10">
      <c r="A31"/>
      <c r="C31" s="26"/>
      <c r="D31" s="26"/>
      <c r="E31" s="26"/>
      <c r="F31" s="26"/>
      <c r="G31" s="26"/>
      <c r="H31" s="26"/>
      <c r="I31" s="26"/>
      <c r="J31" s="26"/>
    </row>
    <row r="32" spans="1:10">
      <c r="A32"/>
      <c r="C32" s="26"/>
      <c r="D32" s="26"/>
      <c r="E32" s="26"/>
      <c r="F32" s="26"/>
      <c r="G32" s="26"/>
      <c r="H32" s="26"/>
      <c r="I32" s="26"/>
      <c r="J32" s="26"/>
    </row>
    <row r="33" spans="1:10">
      <c r="A33"/>
      <c r="C33" s="26"/>
      <c r="D33" s="26"/>
      <c r="E33" s="26"/>
      <c r="F33" s="26"/>
      <c r="G33" s="26"/>
      <c r="H33" s="26"/>
      <c r="I33" s="26"/>
      <c r="J33" s="26"/>
    </row>
    <row r="34" spans="1:10">
      <c r="A34"/>
      <c r="C34" s="26"/>
      <c r="D34" s="26"/>
      <c r="E34" s="26"/>
      <c r="F34" s="26"/>
      <c r="G34" s="26"/>
      <c r="H34" s="26"/>
      <c r="I34" s="26"/>
      <c r="J34" s="26"/>
    </row>
    <row r="35" spans="1:10">
      <c r="A35"/>
      <c r="C35" s="26"/>
      <c r="D35" s="26"/>
      <c r="E35" s="26"/>
      <c r="F35" s="26"/>
      <c r="G35" s="26"/>
      <c r="H35" s="26"/>
      <c r="I35" s="26"/>
      <c r="J35" s="26"/>
    </row>
    <row r="36" spans="1:10">
      <c r="A36"/>
      <c r="C36" s="26"/>
      <c r="D36" s="26"/>
      <c r="E36" s="26"/>
      <c r="F36" s="26"/>
      <c r="G36" s="26"/>
      <c r="H36" s="26"/>
      <c r="I36" s="26"/>
      <c r="J36" s="26"/>
    </row>
    <row r="37" spans="1:10">
      <c r="A37"/>
      <c r="C37" s="26"/>
      <c r="D37" s="26"/>
      <c r="E37" s="26"/>
      <c r="F37" s="26"/>
      <c r="G37" s="26"/>
      <c r="H37" s="26"/>
      <c r="I37" s="26"/>
      <c r="J37" s="26"/>
    </row>
    <row r="38" spans="1:10">
      <c r="A38"/>
      <c r="C38" s="26"/>
      <c r="D38" s="26"/>
      <c r="E38" s="26"/>
      <c r="F38" s="26"/>
      <c r="G38" s="26"/>
      <c r="H38" s="26"/>
      <c r="I38" s="26"/>
      <c r="J38" s="26"/>
    </row>
    <row r="39" spans="1:10">
      <c r="A39"/>
      <c r="C39" s="26"/>
      <c r="D39" s="26"/>
      <c r="E39" s="26"/>
      <c r="F39" s="26"/>
      <c r="G39" s="26"/>
      <c r="H39" s="26"/>
      <c r="I39" s="26"/>
      <c r="J39" s="26"/>
    </row>
    <row r="40" spans="1:10">
      <c r="A40"/>
      <c r="C40" s="26"/>
      <c r="D40" s="26"/>
      <c r="E40" s="26"/>
      <c r="F40" s="26"/>
      <c r="G40" s="26"/>
      <c r="H40" s="26"/>
      <c r="I40" s="26"/>
      <c r="J40" s="26"/>
    </row>
    <row r="41" spans="1:10">
      <c r="A41"/>
      <c r="C41" s="26"/>
      <c r="D41" s="26"/>
      <c r="E41" s="26"/>
      <c r="F41" s="26"/>
      <c r="G41" s="26"/>
      <c r="H41" s="26"/>
      <c r="I41" s="26"/>
      <c r="J41" s="26"/>
    </row>
    <row r="42" spans="1:10">
      <c r="A42"/>
      <c r="C42" s="26"/>
      <c r="D42" s="26"/>
      <c r="E42" s="26"/>
      <c r="F42" s="26"/>
      <c r="G42" s="26"/>
      <c r="H42" s="26"/>
      <c r="I42" s="26"/>
      <c r="J42" s="26"/>
    </row>
    <row r="43" spans="1:10">
      <c r="A43" s="7"/>
      <c r="C43" s="26"/>
      <c r="D43" s="26"/>
      <c r="E43" s="26"/>
      <c r="F43" s="26"/>
      <c r="G43" s="26"/>
      <c r="H43" s="26"/>
      <c r="I43" s="26"/>
      <c r="J43" s="26"/>
    </row>
    <row r="44" spans="1:10">
      <c r="A44"/>
      <c r="C44" s="26"/>
      <c r="D44" s="26"/>
      <c r="E44" s="26"/>
      <c r="F44" s="26"/>
      <c r="G44" s="26"/>
      <c r="H44" s="26"/>
      <c r="I44" s="26"/>
      <c r="J44" s="26"/>
    </row>
    <row r="45" spans="1:10">
      <c r="A45"/>
      <c r="C45" s="26"/>
      <c r="D45" s="26"/>
      <c r="E45" s="26"/>
      <c r="F45" s="26"/>
      <c r="G45" s="26"/>
      <c r="H45" s="26"/>
      <c r="I45" s="26"/>
      <c r="J45" s="26"/>
    </row>
    <row r="46" spans="1:10">
      <c r="A46"/>
      <c r="C46" s="26"/>
      <c r="D46" s="26"/>
      <c r="E46" s="26"/>
      <c r="F46" s="26"/>
      <c r="G46" s="26"/>
      <c r="H46" s="26"/>
      <c r="I46" s="26"/>
      <c r="J46" s="26"/>
    </row>
    <row r="47" spans="1:10">
      <c r="A47"/>
      <c r="C47" s="26"/>
      <c r="D47" s="26"/>
      <c r="E47" s="26"/>
      <c r="F47" s="26"/>
      <c r="G47" s="26"/>
      <c r="H47" s="26"/>
      <c r="I47" s="26"/>
      <c r="J47" s="26"/>
    </row>
    <row r="48" spans="1:10">
      <c r="A48"/>
      <c r="C48" s="26"/>
      <c r="D48" s="26"/>
      <c r="E48" s="26"/>
      <c r="F48" s="26"/>
      <c r="G48" s="26"/>
      <c r="H48" s="26"/>
      <c r="I48" s="26"/>
      <c r="J48" s="26"/>
    </row>
    <row r="49" spans="1:10">
      <c r="A49"/>
      <c r="C49" s="26"/>
      <c r="D49" s="26"/>
      <c r="E49" s="26"/>
      <c r="F49" s="26"/>
      <c r="G49" s="26"/>
      <c r="H49" s="26"/>
      <c r="I49" s="26"/>
      <c r="J49" s="26"/>
    </row>
    <row r="50" spans="1:10">
      <c r="A50"/>
      <c r="C50" s="26"/>
      <c r="D50" s="26"/>
      <c r="E50" s="26"/>
      <c r="F50" s="26"/>
      <c r="G50" s="26"/>
      <c r="H50" s="26"/>
      <c r="I50" s="26"/>
      <c r="J50" s="26"/>
    </row>
    <row r="51" spans="1:10">
      <c r="A51"/>
      <c r="C51" s="26"/>
      <c r="D51" s="26"/>
      <c r="E51" s="26"/>
      <c r="F51" s="26"/>
      <c r="G51" s="26"/>
      <c r="H51" s="26"/>
      <c r="I51" s="26"/>
      <c r="J51" s="26"/>
    </row>
    <row r="52" spans="1:10">
      <c r="A52"/>
      <c r="C52" s="26"/>
      <c r="D52" s="26"/>
      <c r="E52" s="26"/>
      <c r="F52" s="26"/>
      <c r="G52" s="26"/>
      <c r="H52" s="26"/>
      <c r="I52" s="26"/>
      <c r="J52" s="26"/>
    </row>
    <row r="53" spans="1:10">
      <c r="A53"/>
      <c r="C53" s="26"/>
      <c r="D53" s="26"/>
      <c r="E53" s="26"/>
      <c r="F53" s="26"/>
      <c r="G53" s="26"/>
      <c r="H53" s="26"/>
      <c r="I53" s="26"/>
      <c r="J53" s="26"/>
    </row>
    <row r="54" spans="1:10">
      <c r="A54"/>
      <c r="C54" s="26"/>
      <c r="D54" s="26"/>
      <c r="E54" s="26"/>
      <c r="F54" s="26"/>
      <c r="G54" s="26"/>
      <c r="H54" s="26"/>
      <c r="I54" s="26"/>
      <c r="J54" s="26"/>
    </row>
    <row r="55" spans="1:10">
      <c r="A55"/>
      <c r="C55" s="26"/>
      <c r="D55" s="26"/>
      <c r="E55" s="26"/>
      <c r="F55" s="26"/>
      <c r="G55" s="26"/>
      <c r="H55" s="26"/>
      <c r="I55" s="26"/>
      <c r="J55" s="26"/>
    </row>
    <row r="56" spans="1:10">
      <c r="A56"/>
      <c r="C56" s="26"/>
      <c r="D56" s="26"/>
      <c r="E56" s="26"/>
      <c r="F56" s="26"/>
      <c r="G56" s="26"/>
      <c r="H56" s="26"/>
      <c r="I56" s="26"/>
      <c r="J56" s="26"/>
    </row>
    <row r="57" spans="1:10">
      <c r="A57"/>
      <c r="C57" s="26"/>
      <c r="D57" s="26"/>
      <c r="E57" s="26"/>
      <c r="F57" s="26"/>
      <c r="G57" s="26"/>
      <c r="H57" s="26"/>
      <c r="I57" s="26"/>
      <c r="J57" s="26"/>
    </row>
    <row r="58" spans="1:10">
      <c r="A58"/>
      <c r="C58" s="26"/>
      <c r="D58" s="26"/>
      <c r="E58" s="26"/>
      <c r="F58" s="26"/>
      <c r="G58" s="26"/>
      <c r="H58" s="26"/>
      <c r="I58" s="26"/>
      <c r="J58" s="26"/>
    </row>
    <row r="59" spans="1:10">
      <c r="A59"/>
      <c r="C59" s="26"/>
      <c r="D59" s="26"/>
      <c r="E59" s="26"/>
      <c r="F59" s="26"/>
      <c r="G59" s="26"/>
      <c r="H59" s="26"/>
      <c r="I59" s="26"/>
      <c r="J59" s="26"/>
    </row>
    <row r="60" spans="1:10">
      <c r="A60"/>
      <c r="C60" s="26"/>
      <c r="D60" s="26"/>
      <c r="E60" s="26"/>
      <c r="F60" s="26"/>
      <c r="G60" s="26"/>
      <c r="H60" s="26"/>
      <c r="I60" s="26"/>
      <c r="J60" s="26"/>
    </row>
    <row r="61" spans="1:10">
      <c r="A61"/>
      <c r="C61" s="26"/>
      <c r="D61" s="26"/>
      <c r="E61" s="26"/>
      <c r="F61" s="26"/>
      <c r="G61" s="26"/>
      <c r="H61" s="26"/>
      <c r="I61" s="26"/>
      <c r="J61" s="26"/>
    </row>
    <row r="62" spans="1:10">
      <c r="A62"/>
      <c r="C62" s="26"/>
      <c r="D62" s="26"/>
      <c r="E62" s="26"/>
      <c r="F62" s="26"/>
      <c r="G62" s="26"/>
      <c r="H62" s="26"/>
      <c r="I62" s="26"/>
      <c r="J62" s="26"/>
    </row>
    <row r="63" spans="1:10">
      <c r="A63"/>
      <c r="C63" s="26"/>
      <c r="D63" s="26"/>
      <c r="E63" s="26"/>
      <c r="F63" s="26"/>
      <c r="G63" s="26"/>
      <c r="H63" s="26"/>
      <c r="I63" s="26"/>
      <c r="J63" s="26"/>
    </row>
    <row r="64" spans="1:10">
      <c r="A64"/>
      <c r="C64" s="26"/>
      <c r="D64" s="26"/>
      <c r="E64" s="26"/>
      <c r="F64" s="26"/>
      <c r="G64" s="26"/>
      <c r="H64" s="26"/>
      <c r="I64" s="26"/>
      <c r="J64" s="26"/>
    </row>
    <row r="65" spans="1:10">
      <c r="A65"/>
      <c r="C65" s="26"/>
      <c r="D65" s="26"/>
      <c r="E65" s="26"/>
      <c r="F65" s="26"/>
      <c r="G65" s="26"/>
      <c r="H65" s="26"/>
      <c r="I65" s="26"/>
      <c r="J65" s="26"/>
    </row>
    <row r="66" spans="1:10">
      <c r="A66"/>
      <c r="C66" s="26"/>
      <c r="D66" s="26"/>
      <c r="E66" s="26"/>
      <c r="F66" s="26"/>
      <c r="G66" s="26"/>
      <c r="H66" s="26"/>
      <c r="I66" s="26"/>
      <c r="J66" s="26"/>
    </row>
    <row r="67" spans="1:10">
      <c r="A67"/>
      <c r="C67" s="26"/>
      <c r="D67" s="26"/>
      <c r="E67" s="26"/>
      <c r="F67" s="26"/>
      <c r="G67" s="26"/>
      <c r="H67" s="26"/>
      <c r="I67" s="26"/>
      <c r="J67" s="26"/>
    </row>
    <row r="68" spans="1:10">
      <c r="A68"/>
      <c r="C68" s="26"/>
      <c r="D68" s="26"/>
      <c r="E68" s="26"/>
      <c r="F68" s="26"/>
      <c r="G68" s="26"/>
      <c r="H68" s="26"/>
      <c r="I68" s="26"/>
      <c r="J68" s="26"/>
    </row>
    <row r="69" spans="1:10">
      <c r="A69"/>
      <c r="C69" s="26"/>
      <c r="D69" s="26"/>
      <c r="E69" s="26"/>
      <c r="F69" s="26"/>
      <c r="G69" s="26"/>
      <c r="H69" s="26"/>
      <c r="I69" s="26"/>
      <c r="J69" s="26"/>
    </row>
    <row r="70" spans="1:10">
      <c r="A70"/>
      <c r="C70" s="26"/>
      <c r="D70" s="26"/>
      <c r="E70" s="26"/>
      <c r="F70" s="26"/>
      <c r="G70" s="26"/>
      <c r="H70" s="26"/>
      <c r="I70" s="26"/>
      <c r="J70" s="26"/>
    </row>
    <row r="71" spans="1:10">
      <c r="A71"/>
      <c r="C71" s="26"/>
      <c r="D71" s="26"/>
      <c r="E71" s="26"/>
      <c r="F71" s="26"/>
      <c r="G71" s="26"/>
      <c r="H71" s="26"/>
      <c r="I71" s="26"/>
      <c r="J71" s="26"/>
    </row>
    <row r="72" spans="1:10">
      <c r="A72"/>
      <c r="C72" s="26"/>
      <c r="D72" s="26"/>
      <c r="E72" s="26"/>
      <c r="F72" s="26"/>
      <c r="G72" s="26"/>
      <c r="H72" s="26"/>
      <c r="I72" s="26"/>
      <c r="J72" s="26"/>
    </row>
    <row r="73" spans="1:10">
      <c r="A73"/>
      <c r="C73" s="26"/>
      <c r="D73" s="26"/>
      <c r="E73" s="26"/>
      <c r="F73" s="26"/>
      <c r="G73" s="26"/>
      <c r="H73" s="26"/>
      <c r="I73" s="26"/>
      <c r="J73" s="26"/>
    </row>
    <row r="74" spans="1:10">
      <c r="A74"/>
      <c r="C74" s="26"/>
      <c r="D74" s="26"/>
      <c r="E74" s="26"/>
      <c r="F74" s="26"/>
      <c r="G74" s="26"/>
      <c r="H74" s="26"/>
      <c r="I74" s="26"/>
      <c r="J74" s="26"/>
    </row>
    <row r="75" spans="1:10">
      <c r="A75"/>
      <c r="C75" s="26"/>
      <c r="D75" s="26"/>
      <c r="E75" s="26"/>
      <c r="F75" s="26"/>
      <c r="G75" s="26"/>
      <c r="H75" s="26"/>
      <c r="I75" s="26"/>
      <c r="J75" s="26"/>
    </row>
    <row r="76" spans="1:10">
      <c r="A76"/>
      <c r="C76" s="26"/>
      <c r="D76" s="26"/>
      <c r="E76" s="26"/>
      <c r="F76" s="26"/>
      <c r="G76" s="26"/>
      <c r="H76" s="26"/>
      <c r="I76" s="26"/>
      <c r="J76" s="26"/>
    </row>
    <row r="77" spans="1:10">
      <c r="A77"/>
      <c r="C77" s="26"/>
      <c r="D77" s="26"/>
      <c r="E77" s="26"/>
      <c r="F77" s="26"/>
      <c r="G77" s="26"/>
      <c r="H77" s="26"/>
      <c r="I77" s="26"/>
      <c r="J77" s="26"/>
    </row>
    <row r="78" spans="1:10">
      <c r="A78"/>
      <c r="C78" s="26"/>
      <c r="D78" s="26"/>
      <c r="E78" s="26"/>
      <c r="F78" s="26"/>
      <c r="G78" s="26"/>
      <c r="H78" s="26"/>
      <c r="I78" s="26"/>
      <c r="J78" s="26"/>
    </row>
    <row r="79" spans="1:10">
      <c r="A79"/>
      <c r="C79" s="26"/>
      <c r="D79" s="26"/>
      <c r="E79" s="26"/>
      <c r="F79" s="26"/>
      <c r="G79" s="26"/>
      <c r="H79" s="26"/>
      <c r="I79" s="26"/>
      <c r="J79" s="26"/>
    </row>
    <row r="80" spans="1:10">
      <c r="A80"/>
      <c r="C80" s="26"/>
      <c r="D80" s="26"/>
      <c r="E80" s="26"/>
      <c r="F80" s="26"/>
      <c r="G80" s="26"/>
      <c r="H80" s="26"/>
      <c r="I80" s="26"/>
      <c r="J80" s="26"/>
    </row>
    <row r="81" spans="1:10">
      <c r="A81"/>
      <c r="C81" s="26"/>
      <c r="D81" s="26"/>
      <c r="E81" s="26"/>
      <c r="F81" s="26"/>
      <c r="G81" s="26"/>
      <c r="H81" s="26"/>
      <c r="I81" s="26"/>
      <c r="J81" s="26"/>
    </row>
    <row r="82" spans="1:10">
      <c r="A82"/>
      <c r="C82" s="26"/>
      <c r="D82" s="26"/>
      <c r="E82" s="26"/>
      <c r="F82" s="26"/>
      <c r="G82" s="26"/>
      <c r="H82" s="26"/>
      <c r="I82" s="26"/>
      <c r="J82" s="26"/>
    </row>
    <row r="83" spans="1:10">
      <c r="A83"/>
      <c r="C83" s="26"/>
      <c r="D83" s="26"/>
      <c r="E83" s="26"/>
      <c r="F83" s="26"/>
      <c r="G83" s="26"/>
      <c r="H83" s="26"/>
      <c r="I83" s="26"/>
      <c r="J83" s="26"/>
    </row>
    <row r="84" spans="1:10">
      <c r="A84"/>
      <c r="C84" s="26"/>
      <c r="D84" s="26"/>
      <c r="E84" s="26"/>
      <c r="F84" s="26"/>
      <c r="G84" s="26"/>
      <c r="H84" s="26"/>
      <c r="I84" s="26"/>
      <c r="J84" s="26"/>
    </row>
    <row r="85" spans="1:10">
      <c r="A85"/>
      <c r="C85" s="26"/>
      <c r="D85" s="26"/>
      <c r="E85" s="26"/>
      <c r="F85" s="26"/>
      <c r="G85" s="26"/>
      <c r="H85" s="26"/>
      <c r="I85" s="26"/>
      <c r="J85" s="26"/>
    </row>
    <row r="86" spans="1:10">
      <c r="A86"/>
      <c r="C86" s="26"/>
      <c r="D86" s="26"/>
      <c r="E86" s="26"/>
      <c r="F86" s="26"/>
      <c r="G86" s="26"/>
      <c r="H86" s="26"/>
      <c r="I86" s="26"/>
      <c r="J86" s="26"/>
    </row>
    <row r="87" spans="1:10">
      <c r="A87"/>
      <c r="C87" s="26"/>
      <c r="D87" s="26"/>
      <c r="E87" s="26"/>
      <c r="F87" s="26"/>
      <c r="G87" s="26"/>
      <c r="H87" s="26"/>
      <c r="I87" s="26"/>
      <c r="J87" s="26"/>
    </row>
    <row r="88" spans="1:10">
      <c r="A88"/>
      <c r="C88" s="26"/>
      <c r="D88" s="26"/>
      <c r="E88" s="26"/>
      <c r="F88" s="26"/>
      <c r="G88" s="26"/>
      <c r="H88" s="26"/>
      <c r="I88" s="26"/>
      <c r="J88" s="26"/>
    </row>
    <row r="89" spans="1:10">
      <c r="A89"/>
      <c r="C89" s="26"/>
      <c r="D89" s="26"/>
      <c r="E89" s="26"/>
      <c r="F89" s="26"/>
      <c r="G89" s="26"/>
      <c r="H89" s="26"/>
      <c r="I89" s="26"/>
      <c r="J89" s="26"/>
    </row>
    <row r="90" spans="1:10">
      <c r="A90"/>
      <c r="C90" s="26"/>
      <c r="D90" s="26"/>
      <c r="E90" s="26"/>
      <c r="F90" s="26"/>
      <c r="G90" s="26"/>
      <c r="H90" s="26"/>
      <c r="I90" s="26"/>
      <c r="J90" s="26"/>
    </row>
    <row r="91" spans="1:10">
      <c r="A91"/>
      <c r="C91" s="26"/>
      <c r="D91" s="26"/>
      <c r="E91" s="26"/>
      <c r="F91" s="26"/>
      <c r="G91" s="26"/>
      <c r="H91" s="26"/>
      <c r="I91" s="26"/>
      <c r="J91" s="26"/>
    </row>
    <row r="92" spans="1:10">
      <c r="A92"/>
      <c r="C92" s="26"/>
      <c r="D92" s="26"/>
      <c r="E92" s="26"/>
      <c r="F92" s="26"/>
      <c r="G92" s="26"/>
      <c r="H92" s="26"/>
      <c r="I92" s="26"/>
      <c r="J92" s="26"/>
    </row>
    <row r="93" spans="1:10">
      <c r="A93"/>
      <c r="C93" s="26"/>
      <c r="D93" s="26"/>
      <c r="E93" s="26"/>
      <c r="F93" s="26"/>
      <c r="G93" s="26"/>
      <c r="H93" s="26"/>
      <c r="I93" s="26"/>
      <c r="J93" s="26"/>
    </row>
    <row r="94" spans="1:10">
      <c r="A94"/>
      <c r="C94" s="26"/>
      <c r="D94" s="26"/>
      <c r="E94" s="26"/>
      <c r="F94" s="26"/>
      <c r="G94" s="26"/>
      <c r="H94" s="26"/>
      <c r="I94" s="26"/>
      <c r="J94" s="26"/>
    </row>
    <row r="95" spans="1:10">
      <c r="A95"/>
      <c r="C95" s="26"/>
      <c r="D95" s="26"/>
      <c r="E95" s="26"/>
      <c r="F95" s="26"/>
      <c r="G95" s="26"/>
      <c r="H95" s="26"/>
      <c r="I95" s="26"/>
      <c r="J95" s="26"/>
    </row>
    <row r="96" spans="1:10">
      <c r="A96"/>
      <c r="C96" s="26"/>
      <c r="D96" s="26"/>
      <c r="E96" s="26"/>
      <c r="F96" s="26"/>
      <c r="G96" s="26"/>
      <c r="H96" s="26"/>
      <c r="I96" s="26"/>
      <c r="J96" s="26"/>
    </row>
    <row r="97" spans="1:10">
      <c r="A97"/>
      <c r="C97" s="26"/>
      <c r="D97" s="26"/>
      <c r="E97" s="26"/>
      <c r="F97" s="26"/>
      <c r="G97" s="26"/>
      <c r="H97" s="26"/>
      <c r="I97" s="26"/>
      <c r="J97" s="26"/>
    </row>
    <row r="98" spans="1:10">
      <c r="A98"/>
      <c r="C98" s="26"/>
      <c r="D98" s="26"/>
      <c r="E98" s="26"/>
      <c r="F98" s="26"/>
      <c r="G98" s="26"/>
      <c r="H98" s="26"/>
      <c r="I98" s="26"/>
      <c r="J98" s="26"/>
    </row>
    <row r="99" spans="1:10">
      <c r="A99"/>
      <c r="C99" s="26"/>
      <c r="D99" s="26"/>
      <c r="E99" s="26"/>
      <c r="F99" s="26"/>
      <c r="G99" s="26"/>
      <c r="H99" s="26"/>
      <c r="I99" s="26"/>
      <c r="J99" s="26"/>
    </row>
    <row r="100" spans="1:10">
      <c r="A100"/>
      <c r="C100" s="26"/>
      <c r="D100" s="26"/>
      <c r="E100" s="26"/>
      <c r="F100" s="26"/>
      <c r="G100" s="26"/>
      <c r="H100" s="26"/>
      <c r="I100" s="26"/>
      <c r="J100" s="26"/>
    </row>
    <row r="101" spans="1:10">
      <c r="A101"/>
      <c r="C101" s="26"/>
      <c r="D101" s="26"/>
      <c r="E101" s="26"/>
      <c r="F101" s="26"/>
      <c r="G101" s="26"/>
      <c r="H101" s="26"/>
      <c r="I101" s="26"/>
      <c r="J101" s="26"/>
    </row>
    <row r="102" spans="1:10">
      <c r="A102"/>
      <c r="C102" s="26"/>
      <c r="D102" s="26"/>
      <c r="E102" s="26"/>
      <c r="F102" s="26"/>
      <c r="G102" s="26"/>
      <c r="H102" s="26"/>
      <c r="I102" s="26"/>
      <c r="J102" s="26"/>
    </row>
    <row r="103" spans="1:10">
      <c r="A103"/>
      <c r="C103" s="26"/>
      <c r="D103" s="26"/>
      <c r="E103" s="26"/>
      <c r="F103" s="26"/>
      <c r="G103" s="26"/>
      <c r="H103" s="26"/>
      <c r="I103" s="26"/>
      <c r="J103" s="26"/>
    </row>
    <row r="104" spans="1:10">
      <c r="A104"/>
      <c r="C104" s="26"/>
      <c r="D104" s="26"/>
      <c r="E104" s="26"/>
      <c r="F104" s="26"/>
      <c r="G104" s="26"/>
      <c r="H104" s="26"/>
      <c r="I104" s="26"/>
      <c r="J104" s="26"/>
    </row>
    <row r="105" spans="1:10">
      <c r="A105"/>
      <c r="C105" s="26"/>
      <c r="D105" s="26"/>
      <c r="E105" s="26"/>
      <c r="F105" s="26"/>
      <c r="G105" s="26"/>
      <c r="H105" s="26"/>
      <c r="I105" s="26"/>
      <c r="J105" s="26"/>
    </row>
    <row r="106" spans="1:10">
      <c r="A106"/>
      <c r="C106" s="26"/>
      <c r="D106" s="26"/>
      <c r="E106" s="26"/>
      <c r="F106" s="26"/>
      <c r="G106" s="26"/>
      <c r="H106" s="26"/>
      <c r="I106" s="26"/>
      <c r="J106" s="26"/>
    </row>
    <row r="107" spans="1:10">
      <c r="A107"/>
      <c r="C107" s="26"/>
      <c r="D107" s="26"/>
      <c r="E107" s="26"/>
      <c r="F107" s="26"/>
      <c r="G107" s="26"/>
      <c r="H107" s="26"/>
      <c r="I107" s="26"/>
      <c r="J107" s="26"/>
    </row>
    <row r="108" spans="1:10">
      <c r="A108"/>
      <c r="C108" s="26"/>
      <c r="D108" s="26"/>
      <c r="E108" s="26"/>
      <c r="F108" s="26"/>
      <c r="G108" s="26"/>
      <c r="H108" s="26"/>
      <c r="I108" s="26"/>
      <c r="J108" s="26"/>
    </row>
    <row r="109" spans="1:10">
      <c r="A109"/>
      <c r="C109" s="26"/>
      <c r="D109" s="26"/>
      <c r="E109" s="26"/>
      <c r="F109" s="26"/>
      <c r="G109" s="26"/>
      <c r="H109" s="26"/>
      <c r="I109" s="26"/>
      <c r="J109" s="26"/>
    </row>
    <row r="110" spans="1:10">
      <c r="A110"/>
      <c r="C110" s="26"/>
      <c r="D110" s="26"/>
      <c r="E110" s="26"/>
      <c r="F110" s="26"/>
      <c r="G110" s="26"/>
      <c r="H110" s="26"/>
      <c r="I110" s="26"/>
      <c r="J110" s="26"/>
    </row>
    <row r="111" spans="1:10">
      <c r="A111"/>
      <c r="C111" s="26"/>
      <c r="D111" s="26"/>
      <c r="E111" s="26"/>
      <c r="F111" s="26"/>
      <c r="G111" s="26"/>
      <c r="H111" s="26"/>
      <c r="I111" s="26"/>
      <c r="J111" s="26"/>
    </row>
    <row r="112" spans="1:10">
      <c r="A112"/>
      <c r="C112" s="26"/>
      <c r="D112" s="26"/>
      <c r="E112" s="26"/>
      <c r="F112" s="26"/>
      <c r="G112" s="26"/>
      <c r="H112" s="26"/>
      <c r="I112" s="26"/>
      <c r="J112" s="26"/>
    </row>
    <row r="113" spans="1:10">
      <c r="A113"/>
      <c r="C113" s="26"/>
      <c r="D113" s="26"/>
      <c r="E113" s="26"/>
      <c r="F113" s="26"/>
      <c r="G113" s="26"/>
      <c r="H113" s="26"/>
      <c r="I113" s="26"/>
      <c r="J113" s="26"/>
    </row>
    <row r="114" spans="1:10">
      <c r="A114"/>
      <c r="C114" s="26"/>
      <c r="D114" s="26"/>
      <c r="E114" s="26"/>
      <c r="F114" s="26"/>
      <c r="G114" s="26"/>
      <c r="H114" s="26"/>
      <c r="I114" s="26"/>
      <c r="J114" s="26"/>
    </row>
    <row r="115" spans="1:10">
      <c r="A115"/>
      <c r="C115" s="26"/>
      <c r="D115" s="26"/>
      <c r="E115" s="26"/>
      <c r="F115" s="26"/>
      <c r="G115" s="26"/>
      <c r="H115" s="26"/>
      <c r="I115" s="26"/>
      <c r="J115" s="26"/>
    </row>
    <row r="116" spans="1:10">
      <c r="A116"/>
      <c r="C116" s="26"/>
      <c r="D116" s="26"/>
      <c r="E116" s="26"/>
      <c r="F116" s="26"/>
      <c r="G116" s="26"/>
      <c r="H116" s="26"/>
      <c r="I116" s="26"/>
      <c r="J116" s="26"/>
    </row>
    <row r="117" spans="1:10">
      <c r="A117"/>
      <c r="C117" s="26"/>
      <c r="D117" s="26"/>
      <c r="E117" s="26"/>
      <c r="F117" s="26"/>
      <c r="G117" s="26"/>
      <c r="H117" s="26"/>
      <c r="I117" s="26"/>
      <c r="J117" s="26"/>
    </row>
    <row r="118" spans="1:10">
      <c r="A118"/>
      <c r="C118" s="26"/>
      <c r="D118" s="26"/>
      <c r="E118" s="26"/>
      <c r="F118" s="26"/>
      <c r="G118" s="26"/>
      <c r="H118" s="26"/>
      <c r="I118" s="26"/>
      <c r="J118" s="26"/>
    </row>
    <row r="119" spans="1:10">
      <c r="A119"/>
      <c r="C119" s="26"/>
      <c r="D119" s="26"/>
      <c r="E119" s="26"/>
      <c r="F119" s="26"/>
      <c r="G119" s="26"/>
      <c r="H119" s="26"/>
      <c r="I119" s="26"/>
      <c r="J119" s="26"/>
    </row>
    <row r="120" spans="1:10">
      <c r="A120"/>
      <c r="C120" s="26"/>
      <c r="D120" s="26"/>
      <c r="E120" s="26"/>
      <c r="F120" s="26"/>
      <c r="G120" s="26"/>
      <c r="H120" s="26"/>
      <c r="I120" s="26"/>
      <c r="J120" s="26"/>
    </row>
    <row r="121" spans="1:10">
      <c r="A121"/>
      <c r="C121" s="26"/>
      <c r="D121" s="26"/>
      <c r="E121" s="26"/>
      <c r="F121" s="26"/>
      <c r="G121" s="26"/>
      <c r="H121" s="26"/>
      <c r="I121" s="26"/>
      <c r="J121" s="26"/>
    </row>
    <row r="122" spans="1:10">
      <c r="A122"/>
      <c r="C122" s="26"/>
      <c r="D122" s="26"/>
      <c r="E122" s="26"/>
      <c r="F122" s="26"/>
      <c r="G122" s="26"/>
      <c r="H122" s="26"/>
      <c r="I122" s="26"/>
      <c r="J122" s="26"/>
    </row>
    <row r="123" spans="1:10">
      <c r="A123"/>
      <c r="C123" s="26"/>
      <c r="D123" s="26"/>
      <c r="E123" s="26"/>
      <c r="F123" s="26"/>
      <c r="G123" s="26"/>
      <c r="H123" s="26"/>
      <c r="I123" s="26"/>
      <c r="J123" s="26"/>
    </row>
    <row r="124" spans="1:10">
      <c r="A124"/>
      <c r="C124" s="26"/>
      <c r="D124" s="26"/>
      <c r="E124" s="26"/>
      <c r="F124" s="26"/>
      <c r="G124" s="26"/>
      <c r="H124" s="26"/>
      <c r="I124" s="26"/>
      <c r="J124" s="26"/>
    </row>
    <row r="125" spans="1:10">
      <c r="A125"/>
      <c r="C125" s="26"/>
      <c r="D125" s="26"/>
      <c r="E125" s="26"/>
      <c r="F125" s="26"/>
      <c r="G125" s="26"/>
      <c r="H125" s="26"/>
      <c r="I125" s="26"/>
      <c r="J125" s="26"/>
    </row>
    <row r="126" spans="1:10">
      <c r="A126"/>
      <c r="C126" s="26"/>
      <c r="D126" s="26"/>
      <c r="E126" s="26"/>
      <c r="F126" s="26"/>
      <c r="G126" s="26"/>
      <c r="H126" s="26"/>
      <c r="I126" s="26"/>
      <c r="J126" s="26"/>
    </row>
    <row r="127" spans="1:10">
      <c r="A127"/>
      <c r="C127" s="26"/>
      <c r="D127" s="26"/>
      <c r="E127" s="26"/>
      <c r="F127" s="26"/>
      <c r="G127" s="26"/>
      <c r="H127" s="26"/>
      <c r="I127" s="26"/>
      <c r="J127" s="26"/>
    </row>
    <row r="128" spans="1:10">
      <c r="A128"/>
      <c r="C128" s="26"/>
      <c r="D128" s="26"/>
      <c r="E128" s="26"/>
      <c r="F128" s="26"/>
      <c r="G128" s="26"/>
      <c r="H128" s="26"/>
      <c r="I128" s="26"/>
      <c r="J128" s="26"/>
    </row>
    <row r="129" spans="1:10">
      <c r="A129"/>
      <c r="C129" s="26"/>
      <c r="D129" s="26"/>
      <c r="E129" s="26"/>
      <c r="F129" s="26"/>
      <c r="G129" s="26"/>
      <c r="H129" s="26"/>
      <c r="I129" s="26"/>
      <c r="J129" s="26"/>
    </row>
    <row r="130" spans="1:10">
      <c r="A130"/>
      <c r="C130" s="26"/>
      <c r="D130" s="26"/>
      <c r="E130" s="26"/>
      <c r="F130" s="26"/>
      <c r="G130" s="26"/>
      <c r="H130" s="26"/>
      <c r="I130" s="26"/>
      <c r="J130" s="26"/>
    </row>
    <row r="131" spans="1:10">
      <c r="A131"/>
      <c r="C131" s="26"/>
      <c r="D131" s="26"/>
      <c r="E131" s="26"/>
      <c r="F131" s="26"/>
      <c r="G131" s="26"/>
      <c r="H131" s="26"/>
      <c r="I131" s="26"/>
      <c r="J131" s="26"/>
    </row>
    <row r="132" spans="1:10">
      <c r="A132"/>
      <c r="C132" s="26"/>
      <c r="D132" s="26"/>
      <c r="E132" s="26"/>
      <c r="F132" s="26"/>
      <c r="G132" s="26"/>
      <c r="H132" s="26"/>
      <c r="I132" s="26"/>
      <c r="J132" s="26"/>
    </row>
    <row r="133" spans="1:10">
      <c r="A133"/>
      <c r="C133" s="26"/>
      <c r="D133" s="26"/>
      <c r="E133" s="26"/>
      <c r="F133" s="26"/>
      <c r="G133" s="26"/>
      <c r="H133" s="26"/>
      <c r="I133" s="26"/>
      <c r="J133" s="26"/>
    </row>
    <row r="134" spans="1:10">
      <c r="A134"/>
      <c r="C134" s="26"/>
      <c r="D134" s="26"/>
      <c r="E134" s="26"/>
      <c r="F134" s="26"/>
      <c r="G134" s="26"/>
      <c r="H134" s="26"/>
      <c r="I134" s="26"/>
      <c r="J134" s="26"/>
    </row>
    <row r="135" spans="1:10">
      <c r="A135"/>
      <c r="C135" s="26"/>
      <c r="D135" s="26"/>
      <c r="E135" s="26"/>
      <c r="F135" s="26"/>
      <c r="G135" s="26"/>
      <c r="H135" s="26"/>
      <c r="I135" s="26"/>
      <c r="J135" s="26"/>
    </row>
    <row r="136" spans="1:10">
      <c r="A136"/>
      <c r="C136" s="26"/>
      <c r="D136" s="26"/>
      <c r="E136" s="26"/>
      <c r="F136" s="26"/>
      <c r="G136" s="26"/>
      <c r="H136" s="26"/>
      <c r="I136" s="26"/>
      <c r="J136" s="26"/>
    </row>
    <row r="137" spans="1:10">
      <c r="A137"/>
      <c r="C137" s="26"/>
      <c r="D137" s="26"/>
      <c r="E137" s="26"/>
      <c r="F137" s="26"/>
      <c r="G137" s="26"/>
      <c r="H137" s="26"/>
      <c r="I137" s="26"/>
      <c r="J137" s="26"/>
    </row>
    <row r="138" spans="1:10">
      <c r="A138"/>
      <c r="C138" s="26"/>
      <c r="D138" s="26"/>
      <c r="E138" s="26"/>
      <c r="F138" s="26"/>
      <c r="G138" s="26"/>
      <c r="H138" s="26"/>
      <c r="I138" s="26"/>
      <c r="J138" s="26"/>
    </row>
    <row r="139" spans="1:10">
      <c r="A139"/>
      <c r="C139" s="26"/>
      <c r="D139" s="26"/>
      <c r="E139" s="26"/>
      <c r="F139" s="26"/>
      <c r="G139" s="26"/>
      <c r="H139" s="26"/>
      <c r="I139" s="26"/>
      <c r="J139" s="26"/>
    </row>
    <row r="140" spans="1:10">
      <c r="A140"/>
      <c r="C140" s="26"/>
      <c r="D140" s="26"/>
      <c r="E140" s="26"/>
      <c r="F140" s="26"/>
      <c r="G140" s="26"/>
      <c r="H140" s="26"/>
      <c r="I140" s="26"/>
      <c r="J140" s="26"/>
    </row>
    <row r="141" spans="1:10">
      <c r="A141"/>
      <c r="C141" s="26"/>
      <c r="D141" s="26"/>
      <c r="E141" s="26"/>
      <c r="F141" s="26"/>
      <c r="G141" s="26"/>
      <c r="H141" s="26"/>
      <c r="I141" s="26"/>
      <c r="J141" s="26"/>
    </row>
    <row r="142" spans="1:10">
      <c r="A142"/>
      <c r="C142" s="26"/>
      <c r="D142" s="26"/>
      <c r="E142" s="26"/>
      <c r="F142" s="26"/>
      <c r="G142" s="26"/>
      <c r="H142" s="26"/>
      <c r="I142" s="26"/>
      <c r="J142" s="26"/>
    </row>
    <row r="143" spans="1:10">
      <c r="A143"/>
      <c r="C143" s="26"/>
      <c r="D143" s="26"/>
      <c r="E143" s="26"/>
      <c r="F143" s="26"/>
      <c r="G143" s="26"/>
      <c r="H143" s="26"/>
      <c r="I143" s="26"/>
      <c r="J143" s="26"/>
    </row>
    <row r="144" spans="1:10">
      <c r="A144"/>
      <c r="C144" s="26"/>
      <c r="D144" s="26"/>
      <c r="E144" s="26"/>
      <c r="F144" s="26"/>
      <c r="G144" s="26"/>
      <c r="H144" s="26"/>
      <c r="I144" s="26"/>
      <c r="J144" s="26"/>
    </row>
    <row r="145" spans="1:10">
      <c r="A145"/>
      <c r="C145" s="26"/>
      <c r="D145" s="26"/>
      <c r="E145" s="26"/>
      <c r="F145" s="26"/>
      <c r="G145" s="26"/>
      <c r="H145" s="26"/>
      <c r="I145" s="26"/>
      <c r="J145" s="26"/>
    </row>
    <row r="146" spans="1:10">
      <c r="A146"/>
      <c r="C146" s="26"/>
      <c r="D146" s="26"/>
      <c r="E146" s="26"/>
      <c r="F146" s="26"/>
      <c r="G146" s="26"/>
      <c r="H146" s="26"/>
      <c r="I146" s="26"/>
      <c r="J146" s="26"/>
    </row>
    <row r="147" spans="1:10">
      <c r="A147"/>
      <c r="C147" s="26"/>
      <c r="D147" s="26"/>
      <c r="E147" s="26"/>
      <c r="F147" s="26"/>
      <c r="G147" s="26"/>
      <c r="H147" s="26"/>
      <c r="I147" s="26"/>
      <c r="J147" s="26"/>
    </row>
    <row r="148" spans="1:10">
      <c r="A148"/>
      <c r="C148" s="26"/>
      <c r="D148" s="26"/>
      <c r="E148" s="26"/>
      <c r="F148" s="26"/>
      <c r="G148" s="26"/>
      <c r="H148" s="26"/>
      <c r="I148" s="26"/>
      <c r="J148" s="26"/>
    </row>
    <row r="149" spans="1:10">
      <c r="A149"/>
      <c r="C149" s="26"/>
      <c r="D149" s="26"/>
      <c r="E149" s="26"/>
      <c r="F149" s="26"/>
      <c r="G149" s="26"/>
      <c r="H149" s="26"/>
      <c r="I149" s="26"/>
      <c r="J149" s="26"/>
    </row>
    <row r="150" spans="1:10">
      <c r="A150"/>
      <c r="C150" s="26"/>
      <c r="D150" s="26"/>
      <c r="E150" s="26"/>
      <c r="F150" s="26"/>
      <c r="G150" s="26"/>
      <c r="H150" s="26"/>
      <c r="I150" s="26"/>
      <c r="J150" s="26"/>
    </row>
    <row r="151" spans="1:10">
      <c r="A151"/>
      <c r="C151" s="26"/>
      <c r="D151" s="26"/>
      <c r="E151" s="26"/>
      <c r="F151" s="26"/>
      <c r="G151" s="26"/>
      <c r="H151" s="26"/>
      <c r="I151" s="26"/>
      <c r="J151" s="26"/>
    </row>
    <row r="152" spans="1:10">
      <c r="A152"/>
      <c r="C152" s="26"/>
      <c r="D152" s="26"/>
      <c r="E152" s="26"/>
      <c r="F152" s="26"/>
      <c r="G152" s="26"/>
      <c r="H152" s="26"/>
      <c r="I152" s="26"/>
      <c r="J152" s="26"/>
    </row>
    <row r="153" spans="1:10">
      <c r="A153"/>
      <c r="C153" s="26"/>
      <c r="D153" s="26"/>
      <c r="E153" s="26"/>
      <c r="F153" s="26"/>
      <c r="G153" s="26"/>
      <c r="H153" s="26"/>
      <c r="I153" s="26"/>
      <c r="J153" s="26"/>
    </row>
    <row r="154" spans="1:10">
      <c r="A154"/>
      <c r="C154" s="26"/>
      <c r="D154" s="26"/>
      <c r="E154" s="26"/>
      <c r="F154" s="26"/>
      <c r="G154" s="26"/>
      <c r="H154" s="26"/>
      <c r="I154" s="26"/>
      <c r="J154" s="26"/>
    </row>
    <row r="155" spans="1:10">
      <c r="A155"/>
      <c r="C155" s="26"/>
      <c r="D155" s="26"/>
      <c r="E155" s="26"/>
      <c r="F155" s="26"/>
      <c r="G155" s="26"/>
      <c r="H155" s="26"/>
      <c r="I155" s="26"/>
      <c r="J155" s="26"/>
    </row>
    <row r="156" spans="1:10">
      <c r="A156"/>
      <c r="C156" s="26"/>
      <c r="D156" s="26"/>
      <c r="E156" s="26"/>
      <c r="F156" s="26"/>
      <c r="G156" s="26"/>
      <c r="H156" s="26"/>
      <c r="I156" s="26"/>
      <c r="J156" s="26"/>
    </row>
    <row r="157" spans="1:10">
      <c r="A157"/>
      <c r="C157" s="26"/>
      <c r="D157" s="26"/>
      <c r="E157" s="26"/>
      <c r="F157" s="26"/>
      <c r="G157" s="26"/>
      <c r="H157" s="26"/>
      <c r="I157" s="26"/>
      <c r="J157" s="26"/>
    </row>
    <row r="158" spans="1:10">
      <c r="A158"/>
      <c r="C158" s="26"/>
      <c r="D158" s="26"/>
      <c r="E158" s="26"/>
      <c r="F158" s="26"/>
      <c r="G158" s="26"/>
      <c r="H158" s="26"/>
      <c r="I158" s="26"/>
      <c r="J158" s="26"/>
    </row>
    <row r="159" spans="1:10">
      <c r="A159"/>
      <c r="C159" s="26"/>
      <c r="D159" s="26"/>
      <c r="E159" s="26"/>
      <c r="F159" s="26"/>
      <c r="G159" s="26"/>
      <c r="H159" s="26"/>
      <c r="I159" s="26"/>
      <c r="J159" s="26"/>
    </row>
    <row r="160" spans="1:10">
      <c r="A160"/>
      <c r="C160" s="26"/>
      <c r="D160" s="26"/>
      <c r="E160" s="26"/>
      <c r="F160" s="26"/>
      <c r="G160" s="26"/>
      <c r="H160" s="26"/>
      <c r="I160" s="26"/>
      <c r="J160" s="26"/>
    </row>
    <row r="161" spans="1:10">
      <c r="A161"/>
      <c r="C161" s="26"/>
      <c r="D161" s="26"/>
      <c r="E161" s="26"/>
      <c r="F161" s="26"/>
      <c r="G161" s="26"/>
      <c r="H161" s="26"/>
      <c r="I161" s="26"/>
      <c r="J161" s="26"/>
    </row>
    <row r="162" spans="1:10">
      <c r="A162"/>
      <c r="C162" s="26"/>
      <c r="D162" s="26"/>
      <c r="E162" s="26"/>
      <c r="F162" s="26"/>
      <c r="G162" s="26"/>
      <c r="H162" s="26"/>
      <c r="I162" s="26"/>
      <c r="J162" s="26"/>
    </row>
    <row r="163" spans="1:10">
      <c r="A163"/>
      <c r="C163" s="26"/>
      <c r="D163" s="26"/>
      <c r="E163" s="26"/>
      <c r="F163" s="26"/>
      <c r="G163" s="26"/>
      <c r="H163" s="26"/>
      <c r="I163" s="26"/>
      <c r="J163" s="26"/>
    </row>
    <row r="164" spans="1:10">
      <c r="A164"/>
      <c r="C164" s="26"/>
      <c r="D164" s="26"/>
      <c r="E164" s="26"/>
      <c r="F164" s="26"/>
      <c r="G164" s="26"/>
      <c r="H164" s="26"/>
      <c r="I164" s="26"/>
      <c r="J164" s="26"/>
    </row>
    <row r="165" spans="1:10">
      <c r="A165"/>
      <c r="C165" s="26"/>
      <c r="D165" s="26"/>
      <c r="E165" s="26"/>
      <c r="F165" s="26"/>
      <c r="G165" s="26"/>
      <c r="H165" s="26"/>
      <c r="I165" s="26"/>
      <c r="J165" s="26"/>
    </row>
    <row r="166" spans="1:10">
      <c r="A166"/>
      <c r="C166" s="26"/>
      <c r="D166" s="26"/>
      <c r="E166" s="26"/>
      <c r="F166" s="26"/>
      <c r="G166" s="26"/>
      <c r="H166" s="26"/>
      <c r="I166" s="26"/>
      <c r="J166" s="26"/>
    </row>
    <row r="167" spans="1:10">
      <c r="A167"/>
      <c r="C167" s="26"/>
      <c r="D167" s="26"/>
      <c r="E167" s="26"/>
      <c r="F167" s="26"/>
      <c r="G167" s="26"/>
      <c r="H167" s="26"/>
      <c r="I167" s="26"/>
      <c r="J167" s="26"/>
    </row>
    <row r="168" spans="1:10">
      <c r="A168"/>
      <c r="C168" s="26"/>
      <c r="D168" s="26"/>
      <c r="E168" s="26"/>
      <c r="F168" s="26"/>
      <c r="G168" s="26"/>
      <c r="H168" s="26"/>
      <c r="I168" s="26"/>
      <c r="J168" s="26"/>
    </row>
    <row r="169" spans="1:10">
      <c r="A169"/>
      <c r="C169" s="26"/>
      <c r="D169" s="26"/>
      <c r="E169" s="26"/>
      <c r="F169" s="26"/>
      <c r="G169" s="26"/>
      <c r="H169" s="26"/>
      <c r="I169" s="26"/>
      <c r="J169" s="26"/>
    </row>
    <row r="170" spans="1:10">
      <c r="A170"/>
      <c r="C170" s="26"/>
      <c r="D170" s="26"/>
      <c r="E170" s="26"/>
      <c r="F170" s="26"/>
      <c r="G170" s="26"/>
      <c r="H170" s="26"/>
      <c r="I170" s="26"/>
      <c r="J170" s="26"/>
    </row>
    <row r="171" spans="1:10">
      <c r="A171"/>
      <c r="C171" s="26"/>
      <c r="D171" s="26"/>
      <c r="E171" s="26"/>
      <c r="F171" s="26"/>
      <c r="G171" s="26"/>
      <c r="H171" s="26"/>
      <c r="I171" s="26"/>
      <c r="J171" s="26"/>
    </row>
    <row r="172" spans="1:10">
      <c r="A172"/>
      <c r="C172" s="26"/>
      <c r="D172" s="26"/>
      <c r="E172" s="26"/>
      <c r="F172" s="26"/>
      <c r="G172" s="26"/>
      <c r="H172" s="26"/>
      <c r="I172" s="26"/>
      <c r="J172" s="26"/>
    </row>
    <row r="173" spans="1:10">
      <c r="A173"/>
      <c r="C173" s="26"/>
      <c r="D173" s="26"/>
      <c r="E173" s="26"/>
      <c r="F173" s="26"/>
      <c r="G173" s="26"/>
      <c r="H173" s="26"/>
      <c r="I173" s="26"/>
      <c r="J173" s="26"/>
    </row>
    <row r="174" spans="1:10">
      <c r="A174"/>
      <c r="C174" s="26"/>
      <c r="D174" s="26"/>
      <c r="E174" s="26"/>
      <c r="F174" s="26"/>
      <c r="G174" s="26"/>
      <c r="H174" s="26"/>
      <c r="I174" s="26"/>
      <c r="J174" s="26"/>
    </row>
    <row r="175" spans="1:10">
      <c r="A175"/>
      <c r="C175" s="26"/>
      <c r="D175" s="26"/>
      <c r="E175" s="26"/>
      <c r="F175" s="26"/>
      <c r="G175" s="26"/>
      <c r="H175" s="26"/>
      <c r="I175" s="26"/>
      <c r="J175" s="26"/>
    </row>
    <row r="176" spans="1:10">
      <c r="A176"/>
      <c r="C176" s="26"/>
      <c r="D176" s="26"/>
      <c r="E176" s="26"/>
      <c r="F176" s="26"/>
      <c r="G176" s="26"/>
      <c r="H176" s="26"/>
      <c r="I176" s="26"/>
      <c r="J176" s="26"/>
    </row>
    <row r="177" spans="1:10">
      <c r="A177"/>
      <c r="C177" s="26"/>
      <c r="D177" s="26"/>
      <c r="E177" s="26"/>
      <c r="F177" s="26"/>
      <c r="G177" s="26"/>
      <c r="H177" s="26"/>
      <c r="I177" s="26"/>
      <c r="J177" s="26"/>
    </row>
    <row r="178" spans="1:10">
      <c r="A178"/>
      <c r="C178" s="26"/>
      <c r="D178" s="26"/>
      <c r="E178" s="26"/>
      <c r="F178" s="26"/>
      <c r="G178" s="26"/>
      <c r="H178" s="26"/>
      <c r="I178" s="26"/>
      <c r="J178" s="26"/>
    </row>
    <row r="179" spans="1:10">
      <c r="A179"/>
      <c r="C179" s="26"/>
      <c r="D179" s="26"/>
      <c r="E179" s="26"/>
      <c r="F179" s="26"/>
      <c r="G179" s="26"/>
      <c r="H179" s="26"/>
      <c r="I179" s="26"/>
      <c r="J179" s="26"/>
    </row>
    <row r="180" spans="1:10">
      <c r="A180"/>
      <c r="C180" s="26"/>
      <c r="D180" s="26"/>
      <c r="E180" s="26"/>
      <c r="F180" s="26"/>
      <c r="G180" s="26"/>
      <c r="H180" s="26"/>
      <c r="I180" s="26"/>
      <c r="J180" s="26"/>
    </row>
    <row r="181" spans="1:10">
      <c r="A181"/>
      <c r="C181" s="26"/>
      <c r="D181" s="26"/>
      <c r="E181" s="26"/>
      <c r="F181" s="26"/>
      <c r="G181" s="26"/>
      <c r="H181" s="26"/>
      <c r="I181" s="26"/>
      <c r="J181" s="26"/>
    </row>
    <row r="182" spans="1:10">
      <c r="A182"/>
      <c r="C182" s="26"/>
      <c r="D182" s="26"/>
      <c r="E182" s="26"/>
      <c r="F182" s="26"/>
      <c r="G182" s="26"/>
      <c r="H182" s="26"/>
      <c r="I182" s="26"/>
      <c r="J182" s="26"/>
    </row>
    <row r="183" spans="1:10">
      <c r="A183"/>
      <c r="C183" s="26"/>
      <c r="D183" s="26"/>
      <c r="E183" s="26"/>
      <c r="F183" s="26"/>
      <c r="G183" s="26"/>
      <c r="H183" s="26"/>
      <c r="I183" s="26"/>
      <c r="J183" s="26"/>
    </row>
    <row r="184" spans="1:10">
      <c r="A184"/>
      <c r="C184" s="26"/>
      <c r="D184" s="26"/>
      <c r="E184" s="26"/>
      <c r="F184" s="26"/>
      <c r="G184" s="26"/>
      <c r="H184" s="26"/>
      <c r="I184" s="26"/>
      <c r="J184" s="26"/>
    </row>
    <row r="185" spans="1:10">
      <c r="A185"/>
      <c r="C185" s="26"/>
      <c r="D185" s="26"/>
      <c r="E185" s="26"/>
      <c r="F185" s="26"/>
      <c r="G185" s="26"/>
      <c r="H185" s="26"/>
      <c r="I185" s="26"/>
      <c r="J185" s="26"/>
    </row>
    <row r="186" spans="1:10">
      <c r="A186"/>
      <c r="C186" s="26"/>
      <c r="D186" s="26"/>
      <c r="E186" s="26"/>
      <c r="F186" s="26"/>
      <c r="G186" s="26"/>
      <c r="H186" s="26"/>
      <c r="I186" s="26"/>
      <c r="J186" s="26"/>
    </row>
    <row r="187" spans="1:10">
      <c r="A187"/>
      <c r="C187" s="26"/>
      <c r="D187" s="26"/>
      <c r="E187" s="26"/>
      <c r="F187" s="26"/>
      <c r="G187" s="26"/>
      <c r="H187" s="26"/>
      <c r="I187" s="26"/>
      <c r="J187" s="26"/>
    </row>
    <row r="188" spans="1:10">
      <c r="A188"/>
      <c r="C188" s="26"/>
      <c r="D188" s="26"/>
      <c r="E188" s="26"/>
      <c r="F188" s="26"/>
      <c r="G188" s="26"/>
      <c r="H188" s="26"/>
      <c r="I188" s="26"/>
      <c r="J188" s="26"/>
    </row>
    <row r="189" spans="1:10">
      <c r="A189"/>
      <c r="C189" s="26"/>
      <c r="D189" s="26"/>
      <c r="E189" s="26"/>
      <c r="F189" s="26"/>
      <c r="G189" s="26"/>
      <c r="H189" s="26"/>
      <c r="I189" s="26"/>
      <c r="J189" s="26"/>
    </row>
    <row r="190" spans="1:10">
      <c r="A190"/>
      <c r="C190" s="26"/>
      <c r="D190" s="26"/>
      <c r="E190" s="26"/>
      <c r="F190" s="26"/>
      <c r="G190" s="26"/>
      <c r="H190" s="26"/>
      <c r="I190" s="26"/>
      <c r="J190" s="26"/>
    </row>
    <row r="191" spans="1:10">
      <c r="A191"/>
      <c r="C191" s="26"/>
      <c r="D191" s="26"/>
      <c r="E191" s="26"/>
      <c r="F191" s="26"/>
      <c r="G191" s="26"/>
      <c r="H191" s="26"/>
      <c r="I191" s="26"/>
      <c r="J191" s="26"/>
    </row>
    <row r="192" spans="1:10">
      <c r="A192"/>
      <c r="C192" s="26"/>
      <c r="D192" s="26"/>
      <c r="E192" s="26"/>
      <c r="F192" s="26"/>
      <c r="G192" s="26"/>
      <c r="H192" s="26"/>
      <c r="I192" s="26"/>
      <c r="J192" s="26"/>
    </row>
    <row r="193" spans="1:10">
      <c r="A193"/>
      <c r="C193" s="26"/>
      <c r="D193" s="26"/>
      <c r="E193" s="26"/>
      <c r="F193" s="26"/>
      <c r="G193" s="26"/>
      <c r="H193" s="26"/>
      <c r="I193" s="26"/>
      <c r="J193" s="26"/>
    </row>
    <row r="194" spans="1:10">
      <c r="A194"/>
      <c r="C194" s="26"/>
      <c r="D194" s="26"/>
      <c r="E194" s="26"/>
      <c r="F194" s="26"/>
      <c r="G194" s="26"/>
      <c r="H194" s="26"/>
      <c r="I194" s="26"/>
      <c r="J194" s="26"/>
    </row>
    <row r="195" spans="1:10">
      <c r="A195"/>
      <c r="C195" s="26"/>
      <c r="D195" s="26"/>
      <c r="E195" s="26"/>
      <c r="F195" s="26"/>
      <c r="G195" s="26"/>
      <c r="H195" s="26"/>
      <c r="I195" s="26"/>
      <c r="J195" s="26"/>
    </row>
    <row r="196" spans="1:10">
      <c r="A196"/>
      <c r="C196" s="26"/>
      <c r="D196" s="26"/>
      <c r="E196" s="26"/>
      <c r="F196" s="26"/>
      <c r="G196" s="26"/>
      <c r="H196" s="26"/>
      <c r="I196" s="26"/>
      <c r="J196" s="26"/>
    </row>
    <row r="197" spans="1:10">
      <c r="A197"/>
      <c r="C197" s="26"/>
      <c r="D197" s="26"/>
      <c r="E197" s="26"/>
      <c r="F197" s="26"/>
      <c r="G197" s="26"/>
      <c r="H197" s="26"/>
      <c r="I197" s="26"/>
      <c r="J197" s="26"/>
    </row>
    <row r="198" spans="1:10">
      <c r="A198"/>
      <c r="C198" s="26"/>
      <c r="D198" s="26"/>
      <c r="E198" s="26"/>
      <c r="F198" s="26"/>
      <c r="G198" s="26"/>
      <c r="H198" s="26"/>
      <c r="I198" s="26"/>
      <c r="J198" s="26"/>
    </row>
    <row r="199" spans="1:10">
      <c r="A199"/>
      <c r="C199" s="26"/>
      <c r="D199" s="26"/>
      <c r="E199" s="26"/>
      <c r="F199" s="26"/>
      <c r="G199" s="26"/>
      <c r="H199" s="26"/>
      <c r="I199" s="26"/>
      <c r="J199" s="26"/>
    </row>
    <row r="200" spans="1:10">
      <c r="A200"/>
      <c r="C200" s="26"/>
      <c r="D200" s="26"/>
      <c r="E200" s="26"/>
      <c r="F200" s="26"/>
      <c r="G200" s="26"/>
      <c r="H200" s="26"/>
      <c r="I200" s="26"/>
      <c r="J200" s="26"/>
    </row>
    <row r="201" spans="1:10">
      <c r="A201"/>
      <c r="C201" s="26"/>
      <c r="D201" s="26"/>
      <c r="E201" s="26"/>
      <c r="F201" s="26"/>
      <c r="G201" s="26"/>
      <c r="H201" s="26"/>
      <c r="I201" s="26"/>
      <c r="J201" s="26"/>
    </row>
    <row r="202" spans="1:10">
      <c r="A202"/>
      <c r="C202" s="26"/>
      <c r="D202" s="26"/>
      <c r="E202" s="26"/>
      <c r="F202" s="26"/>
      <c r="G202" s="26"/>
      <c r="H202" s="26"/>
      <c r="I202" s="26"/>
      <c r="J202" s="26"/>
    </row>
    <row r="203" spans="1:10">
      <c r="A203"/>
      <c r="C203" s="26"/>
      <c r="D203" s="26"/>
      <c r="E203" s="26"/>
      <c r="F203" s="26"/>
      <c r="G203" s="26"/>
      <c r="H203" s="26"/>
      <c r="I203" s="26"/>
      <c r="J203" s="26"/>
    </row>
    <row r="204" spans="1:10">
      <c r="A204"/>
      <c r="C204" s="26"/>
      <c r="D204" s="26"/>
      <c r="E204" s="26"/>
      <c r="F204" s="26"/>
      <c r="G204" s="26"/>
      <c r="H204" s="26"/>
      <c r="I204" s="26"/>
      <c r="J204" s="26"/>
    </row>
    <row r="205" spans="1:10">
      <c r="A205"/>
      <c r="C205" s="26"/>
      <c r="D205" s="26"/>
      <c r="E205" s="26"/>
      <c r="F205" s="26"/>
      <c r="G205" s="26"/>
      <c r="H205" s="26"/>
      <c r="I205" s="26"/>
      <c r="J205" s="26"/>
    </row>
    <row r="206" spans="1:10">
      <c r="A206"/>
      <c r="C206" s="26"/>
      <c r="D206" s="26"/>
      <c r="E206" s="26"/>
      <c r="F206" s="26"/>
      <c r="G206" s="26"/>
      <c r="H206" s="26"/>
      <c r="I206" s="26"/>
      <c r="J206" s="26"/>
    </row>
    <row r="207" spans="1:10">
      <c r="A207"/>
      <c r="C207" s="26"/>
      <c r="D207" s="26"/>
      <c r="E207" s="26"/>
      <c r="F207" s="26"/>
      <c r="G207" s="26"/>
      <c r="H207" s="26"/>
      <c r="I207" s="26"/>
      <c r="J207" s="26"/>
    </row>
    <row r="208" spans="1:10">
      <c r="A208"/>
      <c r="C208" s="26"/>
      <c r="D208" s="26"/>
      <c r="E208" s="26"/>
      <c r="F208" s="26"/>
      <c r="G208" s="26"/>
      <c r="H208" s="26"/>
      <c r="I208" s="26"/>
      <c r="J208" s="26"/>
    </row>
    <row r="209" spans="1:10">
      <c r="A209"/>
      <c r="C209" s="26"/>
      <c r="D209" s="26"/>
      <c r="E209" s="26"/>
      <c r="F209" s="26"/>
      <c r="G209" s="26"/>
      <c r="H209" s="26"/>
      <c r="I209" s="26"/>
      <c r="J209" s="26"/>
    </row>
    <row r="210" spans="1:10">
      <c r="A210"/>
      <c r="C210" s="26"/>
      <c r="D210" s="26"/>
      <c r="E210" s="26"/>
      <c r="F210" s="26"/>
      <c r="G210" s="26"/>
      <c r="H210" s="26"/>
      <c r="I210" s="26"/>
      <c r="J210" s="26"/>
    </row>
    <row r="211" spans="1:10">
      <c r="A211"/>
      <c r="C211" s="26"/>
      <c r="D211" s="26"/>
      <c r="E211" s="26"/>
      <c r="F211" s="26"/>
      <c r="G211" s="26"/>
      <c r="H211" s="26"/>
      <c r="I211" s="26"/>
      <c r="J211" s="26"/>
    </row>
    <row r="212" spans="1:10">
      <c r="A212"/>
      <c r="C212" s="26"/>
      <c r="D212" s="26"/>
      <c r="E212" s="26"/>
      <c r="F212" s="26"/>
      <c r="G212" s="26"/>
      <c r="H212" s="26"/>
      <c r="I212" s="26"/>
      <c r="J212" s="26"/>
    </row>
    <row r="213" spans="1:10">
      <c r="A213"/>
      <c r="C213" s="26"/>
      <c r="D213" s="26"/>
      <c r="E213" s="26"/>
      <c r="F213" s="26"/>
      <c r="G213" s="26"/>
      <c r="H213" s="26"/>
      <c r="I213" s="26"/>
      <c r="J213" s="26"/>
    </row>
    <row r="214" spans="1:10">
      <c r="A214"/>
      <c r="C214" s="26"/>
      <c r="D214" s="26"/>
      <c r="E214" s="26"/>
      <c r="F214" s="26"/>
      <c r="G214" s="26"/>
      <c r="H214" s="26"/>
      <c r="I214" s="26"/>
      <c r="J214" s="26"/>
    </row>
    <row r="215" spans="1:10">
      <c r="A215"/>
      <c r="C215" s="26"/>
      <c r="D215" s="26"/>
      <c r="E215" s="26"/>
      <c r="F215" s="26"/>
      <c r="G215" s="26"/>
      <c r="H215" s="26"/>
      <c r="I215" s="26"/>
      <c r="J215" s="26"/>
    </row>
    <row r="216" spans="1:10">
      <c r="A216"/>
      <c r="C216" s="26"/>
      <c r="D216" s="26"/>
      <c r="E216" s="26"/>
      <c r="F216" s="26"/>
      <c r="G216" s="26"/>
      <c r="H216" s="26"/>
      <c r="I216" s="26"/>
      <c r="J216" s="26"/>
    </row>
    <row r="217" spans="1:10">
      <c r="A217"/>
      <c r="C217" s="26"/>
      <c r="D217" s="26"/>
      <c r="E217" s="26"/>
      <c r="F217" s="26"/>
      <c r="G217" s="26"/>
      <c r="H217" s="26"/>
      <c r="I217" s="26"/>
      <c r="J217" s="26"/>
    </row>
    <row r="218" spans="1:10">
      <c r="A218"/>
      <c r="C218" s="26"/>
      <c r="D218" s="26"/>
      <c r="E218" s="26"/>
      <c r="F218" s="26"/>
      <c r="G218" s="26"/>
      <c r="H218" s="26"/>
      <c r="I218" s="26"/>
      <c r="J218" s="26"/>
    </row>
    <row r="219" spans="1:10">
      <c r="A219"/>
      <c r="C219" s="26"/>
      <c r="D219" s="26"/>
      <c r="E219" s="26"/>
      <c r="F219" s="26"/>
      <c r="G219" s="26"/>
      <c r="H219" s="26"/>
      <c r="I219" s="26"/>
      <c r="J219" s="26"/>
    </row>
    <row r="220" spans="1:10">
      <c r="A220"/>
      <c r="C220" s="26"/>
      <c r="D220" s="26"/>
      <c r="E220" s="26"/>
      <c r="F220" s="26"/>
      <c r="G220" s="26"/>
      <c r="H220" s="26"/>
      <c r="I220" s="26"/>
      <c r="J220" s="26"/>
    </row>
    <row r="221" spans="1:10">
      <c r="A221"/>
      <c r="C221" s="26"/>
      <c r="D221" s="26"/>
      <c r="E221" s="26"/>
      <c r="F221" s="26"/>
      <c r="G221" s="26"/>
      <c r="H221" s="26"/>
      <c r="I221" s="26"/>
      <c r="J221" s="26"/>
    </row>
    <row r="222" spans="1:10">
      <c r="A222"/>
      <c r="C222" s="26"/>
      <c r="D222" s="26"/>
      <c r="E222" s="26"/>
      <c r="F222" s="26"/>
      <c r="G222" s="26"/>
      <c r="H222" s="26"/>
      <c r="I222" s="26"/>
      <c r="J222" s="26"/>
    </row>
    <row r="223" spans="1:10">
      <c r="A223"/>
      <c r="C223" s="26"/>
      <c r="D223" s="26"/>
      <c r="E223" s="26"/>
      <c r="F223" s="26"/>
      <c r="G223" s="26"/>
      <c r="H223" s="26"/>
      <c r="I223" s="26"/>
      <c r="J223" s="26"/>
    </row>
    <row r="224" spans="1:10">
      <c r="A224"/>
      <c r="C224" s="26"/>
      <c r="D224" s="26"/>
      <c r="E224" s="26"/>
      <c r="F224" s="26"/>
      <c r="G224" s="26"/>
      <c r="H224" s="26"/>
      <c r="I224" s="26"/>
      <c r="J224" s="26"/>
    </row>
    <row r="225" spans="1:10">
      <c r="A225"/>
      <c r="C225" s="26"/>
      <c r="D225" s="26"/>
      <c r="E225" s="26"/>
      <c r="F225" s="26"/>
      <c r="G225" s="26"/>
      <c r="H225" s="26"/>
      <c r="I225" s="26"/>
      <c r="J225" s="26"/>
    </row>
    <row r="226" spans="1:10">
      <c r="A226"/>
      <c r="C226" s="26"/>
      <c r="D226" s="26"/>
      <c r="E226" s="26"/>
      <c r="F226" s="26"/>
      <c r="G226" s="26"/>
      <c r="H226" s="26"/>
      <c r="I226" s="26"/>
      <c r="J226" s="26"/>
    </row>
    <row r="227" spans="1:10">
      <c r="A227"/>
      <c r="C227" s="26"/>
      <c r="D227" s="26"/>
      <c r="E227" s="26"/>
      <c r="F227" s="26"/>
      <c r="G227" s="26"/>
      <c r="H227" s="26"/>
      <c r="I227" s="26"/>
      <c r="J227" s="26"/>
    </row>
    <row r="228" spans="1:10">
      <c r="A228"/>
      <c r="C228" s="26"/>
      <c r="D228" s="26"/>
      <c r="E228" s="26"/>
      <c r="F228" s="26"/>
      <c r="G228" s="26"/>
      <c r="H228" s="26"/>
      <c r="I228" s="26"/>
      <c r="J228" s="26"/>
    </row>
    <row r="229" spans="1:10">
      <c r="A229"/>
      <c r="C229" s="26"/>
      <c r="D229" s="26"/>
      <c r="E229" s="26"/>
      <c r="F229" s="26"/>
      <c r="G229" s="26"/>
      <c r="H229" s="26"/>
      <c r="I229" s="26"/>
      <c r="J229" s="26"/>
    </row>
    <row r="230" spans="1:10">
      <c r="A230"/>
      <c r="C230" s="26"/>
      <c r="D230" s="26"/>
      <c r="E230" s="26"/>
      <c r="F230" s="26"/>
      <c r="G230" s="26"/>
      <c r="H230" s="26"/>
      <c r="I230" s="26"/>
      <c r="J230" s="26"/>
    </row>
    <row r="231" spans="1:10">
      <c r="A231"/>
      <c r="C231" s="26"/>
      <c r="D231" s="26"/>
      <c r="E231" s="26"/>
      <c r="F231" s="26"/>
      <c r="G231" s="26"/>
      <c r="H231" s="26"/>
      <c r="I231" s="26"/>
      <c r="J231" s="26"/>
    </row>
    <row r="232" spans="1:10">
      <c r="A232"/>
      <c r="C232" s="26"/>
      <c r="D232" s="26"/>
      <c r="E232" s="26"/>
      <c r="F232" s="26"/>
      <c r="G232" s="26"/>
      <c r="H232" s="26"/>
      <c r="I232" s="26"/>
      <c r="J232" s="26"/>
    </row>
    <row r="233" spans="1:10">
      <c r="A233"/>
      <c r="C233" s="26"/>
      <c r="D233" s="26"/>
      <c r="E233" s="26"/>
      <c r="F233" s="26"/>
      <c r="G233" s="26"/>
      <c r="H233" s="26"/>
      <c r="I233" s="26"/>
      <c r="J233" s="26"/>
    </row>
    <row r="234" spans="1:10">
      <c r="A234"/>
      <c r="C234" s="26"/>
      <c r="D234" s="26"/>
      <c r="E234" s="26"/>
      <c r="F234" s="26"/>
      <c r="G234" s="26"/>
      <c r="H234" s="26"/>
      <c r="I234" s="26"/>
      <c r="J234" s="26"/>
    </row>
    <row r="235" spans="1:10">
      <c r="A235"/>
      <c r="C235" s="26"/>
      <c r="D235" s="26"/>
      <c r="E235" s="26"/>
      <c r="F235" s="26"/>
      <c r="G235" s="26"/>
      <c r="H235" s="26"/>
      <c r="I235" s="26"/>
      <c r="J235" s="26"/>
    </row>
    <row r="236" spans="1:10">
      <c r="A236"/>
      <c r="C236" s="26"/>
      <c r="D236" s="26"/>
      <c r="E236" s="26"/>
      <c r="F236" s="26"/>
      <c r="G236" s="26"/>
      <c r="H236" s="26"/>
      <c r="I236" s="26"/>
      <c r="J236" s="26"/>
    </row>
    <row r="237" spans="1:10">
      <c r="A237"/>
      <c r="C237" s="26"/>
      <c r="D237" s="26"/>
      <c r="E237" s="26"/>
      <c r="F237" s="26"/>
      <c r="G237" s="26"/>
      <c r="H237" s="26"/>
      <c r="I237" s="26"/>
      <c r="J237" s="26"/>
    </row>
    <row r="238" spans="1:10">
      <c r="A238"/>
      <c r="C238" s="26"/>
      <c r="D238" s="26"/>
      <c r="E238" s="26"/>
      <c r="F238" s="26"/>
      <c r="G238" s="26"/>
      <c r="H238" s="26"/>
      <c r="I238" s="26"/>
      <c r="J238" s="26"/>
    </row>
    <row r="239" spans="1:10">
      <c r="A239"/>
      <c r="C239" s="26"/>
      <c r="D239" s="26"/>
      <c r="E239" s="26"/>
      <c r="F239" s="26"/>
      <c r="G239" s="26"/>
      <c r="H239" s="26"/>
      <c r="I239" s="26"/>
      <c r="J239" s="26"/>
    </row>
    <row r="240" spans="1:10">
      <c r="A240"/>
      <c r="C240" s="26"/>
      <c r="D240" s="26"/>
      <c r="E240" s="26"/>
      <c r="F240" s="26"/>
      <c r="G240" s="26"/>
      <c r="H240" s="26"/>
      <c r="I240" s="26"/>
      <c r="J240" s="26"/>
    </row>
    <row r="241" spans="1:10">
      <c r="A241"/>
      <c r="C241" s="26"/>
      <c r="D241" s="26"/>
      <c r="E241" s="26"/>
      <c r="F241" s="26"/>
      <c r="G241" s="26"/>
      <c r="H241" s="26"/>
      <c r="I241" s="26"/>
      <c r="J241" s="26"/>
    </row>
    <row r="242" spans="1:10">
      <c r="A242"/>
      <c r="C242" s="26"/>
      <c r="D242" s="26"/>
      <c r="E242" s="26"/>
      <c r="F242" s="26"/>
      <c r="G242" s="26"/>
      <c r="H242" s="26"/>
      <c r="I242" s="26"/>
      <c r="J242" s="26"/>
    </row>
    <row r="243" spans="1:10">
      <c r="A243"/>
      <c r="C243" s="26"/>
      <c r="D243" s="26"/>
      <c r="E243" s="26"/>
      <c r="F243" s="26"/>
      <c r="G243" s="26"/>
      <c r="H243" s="26"/>
      <c r="I243" s="26"/>
      <c r="J243" s="26"/>
    </row>
    <row r="244" spans="1:10">
      <c r="A244"/>
      <c r="C244" s="26"/>
      <c r="D244" s="26"/>
      <c r="E244" s="26"/>
      <c r="F244" s="26"/>
      <c r="G244" s="26"/>
      <c r="H244" s="26"/>
      <c r="I244" s="26"/>
      <c r="J244" s="26"/>
    </row>
    <row r="245" spans="1:10">
      <c r="A245"/>
      <c r="C245" s="26"/>
      <c r="D245" s="26"/>
      <c r="E245" s="26"/>
      <c r="F245" s="26"/>
      <c r="G245" s="26"/>
      <c r="H245" s="26"/>
      <c r="I245" s="26"/>
      <c r="J245" s="26"/>
    </row>
    <row r="246" spans="1:10">
      <c r="A246"/>
      <c r="C246" s="26"/>
      <c r="D246" s="26"/>
      <c r="E246" s="26"/>
      <c r="F246" s="26"/>
      <c r="G246" s="26"/>
      <c r="H246" s="26"/>
      <c r="I246" s="26"/>
      <c r="J246" s="26"/>
    </row>
    <row r="247" spans="1:10">
      <c r="A247"/>
      <c r="C247" s="26"/>
      <c r="D247" s="26"/>
      <c r="E247" s="26"/>
      <c r="F247" s="26"/>
      <c r="G247" s="26"/>
      <c r="H247" s="26"/>
      <c r="I247" s="26"/>
      <c r="J247" s="26"/>
    </row>
    <row r="248" spans="1:10">
      <c r="A248"/>
      <c r="C248" s="26"/>
      <c r="D248" s="26"/>
      <c r="E248" s="26"/>
      <c r="F248" s="26"/>
      <c r="G248" s="26"/>
      <c r="H248" s="26"/>
      <c r="I248" s="26"/>
      <c r="J248" s="26"/>
    </row>
    <row r="249" spans="1:10">
      <c r="A249"/>
      <c r="C249" s="26"/>
      <c r="D249" s="26"/>
      <c r="E249" s="26"/>
      <c r="F249" s="26"/>
      <c r="G249" s="26"/>
      <c r="H249" s="26"/>
      <c r="I249" s="26"/>
      <c r="J249" s="26"/>
    </row>
    <row r="250" spans="1:10">
      <c r="A250"/>
      <c r="C250" s="26"/>
      <c r="D250" s="26"/>
      <c r="E250" s="26"/>
      <c r="F250" s="26"/>
      <c r="G250" s="26"/>
      <c r="H250" s="26"/>
      <c r="I250" s="26"/>
      <c r="J250" s="26"/>
    </row>
    <row r="251" spans="1:10">
      <c r="A251"/>
      <c r="C251" s="26"/>
      <c r="D251" s="26"/>
      <c r="E251" s="26"/>
      <c r="F251" s="26"/>
      <c r="G251" s="26"/>
      <c r="H251" s="26"/>
      <c r="I251" s="26"/>
      <c r="J251" s="26"/>
    </row>
    <row r="252" spans="1:10">
      <c r="A252"/>
      <c r="C252" s="26"/>
      <c r="D252" s="26"/>
      <c r="E252" s="26"/>
      <c r="F252" s="26"/>
      <c r="G252" s="26"/>
      <c r="H252" s="26"/>
      <c r="I252" s="26"/>
      <c r="J252" s="26"/>
    </row>
    <row r="253" spans="1:10">
      <c r="A253"/>
      <c r="C253" s="26"/>
      <c r="D253" s="26"/>
      <c r="E253" s="26"/>
      <c r="F253" s="26"/>
      <c r="G253" s="26"/>
      <c r="H253" s="26"/>
      <c r="I253" s="26"/>
      <c r="J253" s="26"/>
    </row>
    <row r="254" spans="1:10">
      <c r="A254"/>
      <c r="C254" s="26"/>
      <c r="D254" s="26"/>
      <c r="E254" s="26"/>
      <c r="F254" s="26"/>
      <c r="G254" s="26"/>
      <c r="H254" s="26"/>
      <c r="I254" s="26"/>
      <c r="J254" s="26"/>
    </row>
    <row r="255" spans="1:10">
      <c r="A255"/>
      <c r="C255" s="26"/>
      <c r="D255" s="26"/>
      <c r="E255" s="26"/>
      <c r="F255" s="26"/>
      <c r="G255" s="26"/>
      <c r="H255" s="26"/>
      <c r="I255" s="26"/>
      <c r="J255" s="26"/>
    </row>
    <row r="256" spans="1:10">
      <c r="A256"/>
      <c r="C256" s="26"/>
      <c r="D256" s="26"/>
      <c r="E256" s="26"/>
      <c r="F256" s="26"/>
      <c r="G256" s="26"/>
      <c r="H256" s="26"/>
      <c r="I256" s="26"/>
      <c r="J256" s="26"/>
    </row>
    <row r="257" spans="1:10">
      <c r="A257"/>
      <c r="C257" s="26"/>
      <c r="D257" s="26"/>
      <c r="E257" s="26"/>
      <c r="F257" s="26"/>
      <c r="G257" s="26"/>
      <c r="H257" s="26"/>
      <c r="I257" s="26"/>
      <c r="J257" s="26"/>
    </row>
    <row r="258" spans="1:10">
      <c r="A258"/>
      <c r="C258" s="26"/>
      <c r="D258" s="26"/>
      <c r="E258" s="26"/>
      <c r="F258" s="26"/>
      <c r="G258" s="26"/>
      <c r="H258" s="26"/>
      <c r="I258" s="26"/>
      <c r="J258" s="26"/>
    </row>
    <row r="259" spans="1:10">
      <c r="A259"/>
      <c r="C259" s="26"/>
      <c r="D259" s="26"/>
      <c r="E259" s="26"/>
      <c r="F259" s="26"/>
      <c r="G259" s="26"/>
      <c r="H259" s="26"/>
      <c r="I259" s="26"/>
      <c r="J259" s="26"/>
    </row>
    <row r="260" spans="1:10">
      <c r="A260"/>
      <c r="C260" s="26"/>
      <c r="D260" s="26"/>
      <c r="E260" s="26"/>
      <c r="F260" s="26"/>
      <c r="G260" s="26"/>
      <c r="H260" s="26"/>
      <c r="I260" s="26"/>
      <c r="J260" s="26"/>
    </row>
    <row r="261" spans="1:10">
      <c r="A261"/>
      <c r="C261" s="26"/>
      <c r="D261" s="26"/>
      <c r="E261" s="26"/>
      <c r="F261" s="26"/>
      <c r="G261" s="26"/>
      <c r="H261" s="26"/>
      <c r="I261" s="26"/>
      <c r="J261" s="26"/>
    </row>
    <row r="262" spans="1:10">
      <c r="A262"/>
      <c r="C262" s="26"/>
      <c r="D262" s="26"/>
      <c r="E262" s="26"/>
      <c r="F262" s="26"/>
      <c r="G262" s="26"/>
      <c r="H262" s="26"/>
      <c r="I262" s="26"/>
      <c r="J262" s="26"/>
    </row>
    <row r="263" spans="1:10">
      <c r="A263"/>
      <c r="C263" s="26"/>
      <c r="D263" s="26"/>
      <c r="E263" s="26"/>
      <c r="F263" s="26"/>
      <c r="G263" s="26"/>
      <c r="H263" s="26"/>
      <c r="I263" s="26"/>
      <c r="J263" s="26"/>
    </row>
    <row r="264" spans="1:10">
      <c r="A264"/>
      <c r="C264" s="26"/>
      <c r="D264" s="26"/>
      <c r="E264" s="26"/>
      <c r="F264" s="26"/>
      <c r="G264" s="26"/>
      <c r="H264" s="26"/>
      <c r="I264" s="26"/>
      <c r="J264" s="26"/>
    </row>
    <row r="265" spans="1:10">
      <c r="A265"/>
      <c r="C265" s="26"/>
      <c r="D265" s="26"/>
      <c r="E265" s="26"/>
      <c r="F265" s="26"/>
      <c r="G265" s="26"/>
      <c r="H265" s="26"/>
      <c r="I265" s="26"/>
      <c r="J265" s="26"/>
    </row>
    <row r="266" spans="1:10">
      <c r="A266"/>
      <c r="C266" s="26"/>
      <c r="D266" s="26"/>
      <c r="E266" s="26"/>
      <c r="F266" s="26"/>
      <c r="G266" s="26"/>
      <c r="H266" s="26"/>
      <c r="I266" s="26"/>
      <c r="J266" s="26"/>
    </row>
    <row r="267" spans="1:10">
      <c r="A267"/>
      <c r="C267" s="26"/>
      <c r="D267" s="26"/>
      <c r="E267" s="26"/>
      <c r="F267" s="26"/>
      <c r="G267" s="26"/>
      <c r="H267" s="26"/>
      <c r="I267" s="26"/>
      <c r="J267" s="26"/>
    </row>
    <row r="268" spans="1:10">
      <c r="A268"/>
      <c r="C268" s="26"/>
      <c r="D268" s="26"/>
      <c r="E268" s="26"/>
      <c r="F268" s="26"/>
      <c r="G268" s="26"/>
      <c r="H268" s="26"/>
      <c r="I268" s="26"/>
      <c r="J268" s="26"/>
    </row>
    <row r="269" spans="1:10">
      <c r="A269"/>
      <c r="C269" s="26"/>
      <c r="D269" s="26"/>
      <c r="E269" s="26"/>
      <c r="F269" s="26"/>
      <c r="G269" s="26"/>
      <c r="H269" s="26"/>
      <c r="I269" s="26"/>
      <c r="J269" s="26"/>
    </row>
    <row r="270" spans="1:10">
      <c r="C270" s="26"/>
      <c r="D270" s="26"/>
      <c r="E270" s="26"/>
      <c r="F270" s="26"/>
      <c r="G270" s="26"/>
      <c r="H270" s="26"/>
      <c r="I270" s="26"/>
      <c r="J270" s="26"/>
    </row>
    <row r="271" spans="1:10">
      <c r="C271" s="26"/>
      <c r="D271" s="26"/>
      <c r="E271" s="26"/>
      <c r="F271" s="26"/>
      <c r="G271" s="26"/>
      <c r="H271" s="26"/>
      <c r="I271" s="26"/>
      <c r="J271" s="26"/>
    </row>
  </sheetData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Tabelle24">
    <tabColor theme="5" tint="0.79998168889431442"/>
  </sheetPr>
  <dimension ref="A1:V745"/>
  <sheetViews>
    <sheetView topLeftCell="A46" workbookViewId="0">
      <selection activeCell="C65" sqref="C65"/>
    </sheetView>
  </sheetViews>
  <sheetFormatPr defaultColWidth="11.42578125" defaultRowHeight="15"/>
  <cols>
    <col min="1" max="1" width="21.42578125" customWidth="1"/>
    <col min="2" max="2" width="24.42578125" customWidth="1"/>
    <col min="3" max="3" width="18.5703125" style="19" bestFit="1" customWidth="1"/>
    <col min="4" max="4" width="16.42578125" style="19" customWidth="1"/>
    <col min="5" max="10" width="18.5703125" style="19" bestFit="1" customWidth="1"/>
    <col min="13" max="15" width="12.140625" bestFit="1" customWidth="1"/>
  </cols>
  <sheetData>
    <row r="1" spans="1:12">
      <c r="A1" t="s">
        <v>410</v>
      </c>
    </row>
    <row r="2" spans="1:12">
      <c r="A2" t="s">
        <v>12</v>
      </c>
    </row>
    <row r="3" spans="1:12">
      <c r="A3" t="s">
        <v>365</v>
      </c>
    </row>
    <row r="5" spans="1:12">
      <c r="A5" t="s">
        <v>20</v>
      </c>
      <c r="B5" t="s">
        <v>26</v>
      </c>
      <c r="C5" s="19">
        <v>2018</v>
      </c>
      <c r="D5" s="19">
        <v>2021</v>
      </c>
      <c r="E5" s="19">
        <v>2025</v>
      </c>
      <c r="F5" s="19">
        <v>2030</v>
      </c>
      <c r="G5" s="19">
        <v>2035</v>
      </c>
      <c r="H5" s="19">
        <v>2040</v>
      </c>
      <c r="I5" s="19">
        <v>2045</v>
      </c>
      <c r="J5" s="19">
        <v>2050</v>
      </c>
      <c r="L5" s="20"/>
    </row>
    <row r="6" spans="1:12">
      <c r="A6" t="s">
        <v>487</v>
      </c>
      <c r="B6" t="s">
        <v>489</v>
      </c>
      <c r="C6" s="16">
        <v>0.92009812877442665</v>
      </c>
      <c r="D6" s="16">
        <v>0.92009812877442665</v>
      </c>
      <c r="E6" s="16">
        <v>0.92009812877442665</v>
      </c>
      <c r="F6" s="16">
        <v>0.92009812877442665</v>
      </c>
      <c r="G6" s="16">
        <v>0.92009812877442665</v>
      </c>
      <c r="H6" s="16">
        <v>0.92009812877442665</v>
      </c>
      <c r="I6" s="16">
        <v>0.92009812877442665</v>
      </c>
      <c r="J6" s="16">
        <v>0.92009812877442665</v>
      </c>
    </row>
    <row r="7" spans="1:12">
      <c r="A7" t="s">
        <v>483</v>
      </c>
      <c r="B7" t="s">
        <v>489</v>
      </c>
      <c r="C7" s="16">
        <v>0.16887687785347003</v>
      </c>
      <c r="D7" s="16">
        <v>0.16887687785347003</v>
      </c>
      <c r="E7" s="16">
        <v>0.16887687785347003</v>
      </c>
      <c r="F7" s="16">
        <v>0.16887687785347003</v>
      </c>
      <c r="G7" s="16">
        <v>0.16887687785347003</v>
      </c>
      <c r="H7" s="16">
        <v>0.16887687785347003</v>
      </c>
      <c r="I7" s="16">
        <v>0.16887687785347003</v>
      </c>
      <c r="J7" s="16">
        <v>0.16887687785347003</v>
      </c>
    </row>
    <row r="8" spans="1:12">
      <c r="A8" t="s">
        <v>486</v>
      </c>
      <c r="B8" t="s">
        <v>489</v>
      </c>
      <c r="C8" s="16">
        <v>0.50423704154684668</v>
      </c>
      <c r="D8" s="16">
        <v>0.50423704154684668</v>
      </c>
      <c r="E8" s="16">
        <v>0.50423704154684668</v>
      </c>
      <c r="F8" s="16">
        <v>0.50423704154684668</v>
      </c>
      <c r="G8" s="16">
        <v>0.50423704154684668</v>
      </c>
      <c r="H8" s="16">
        <v>0.50423704154684668</v>
      </c>
      <c r="I8" s="16">
        <v>0.50423704154684668</v>
      </c>
      <c r="J8" s="16">
        <v>0.50423704154684668</v>
      </c>
    </row>
    <row r="9" spans="1:12">
      <c r="A9" t="s">
        <v>484</v>
      </c>
      <c r="B9" t="s">
        <v>489</v>
      </c>
      <c r="C9" s="16">
        <v>0.50669245342161007</v>
      </c>
      <c r="D9" s="16">
        <v>0.50669245342161007</v>
      </c>
      <c r="E9" s="16">
        <v>0.50669245342161007</v>
      </c>
      <c r="F9" s="16">
        <v>0.50669245342161007</v>
      </c>
      <c r="G9" s="16">
        <v>0.50669245342161007</v>
      </c>
      <c r="H9" s="16">
        <v>0.50669245342161007</v>
      </c>
      <c r="I9" s="16">
        <v>0.50669245342161007</v>
      </c>
      <c r="J9" s="16">
        <v>0.50669245342161007</v>
      </c>
    </row>
    <row r="10" spans="1:12">
      <c r="A10" t="s">
        <v>480</v>
      </c>
      <c r="B10" t="s">
        <v>489</v>
      </c>
      <c r="C10" s="16">
        <v>2.6457591623739233E-2</v>
      </c>
      <c r="D10" s="16">
        <v>2.6457591623739233E-2</v>
      </c>
      <c r="E10" s="16">
        <v>2.6457591623739233E-2</v>
      </c>
      <c r="F10" s="16">
        <v>2.6457591623739233E-2</v>
      </c>
      <c r="G10" s="16">
        <v>2.6457591623739233E-2</v>
      </c>
      <c r="H10" s="16">
        <v>2.6457591623739233E-2</v>
      </c>
      <c r="I10" s="16">
        <v>2.6457591623739233E-2</v>
      </c>
      <c r="J10" s="16">
        <v>2.6457591623739233E-2</v>
      </c>
    </row>
    <row r="11" spans="1:12">
      <c r="A11" t="s">
        <v>479</v>
      </c>
      <c r="B11" t="s">
        <v>489</v>
      </c>
      <c r="C11" s="16">
        <v>0.35425048839695333</v>
      </c>
      <c r="D11" s="16">
        <v>0.35425048839695333</v>
      </c>
      <c r="E11" s="16">
        <v>0.35425048839695333</v>
      </c>
      <c r="F11" s="16">
        <v>0.35425048839695333</v>
      </c>
      <c r="G11" s="16">
        <v>0.35425048839695333</v>
      </c>
      <c r="H11" s="16">
        <v>0.35425048839695333</v>
      </c>
      <c r="I11" s="16">
        <v>0.35425048839695333</v>
      </c>
      <c r="J11" s="16">
        <v>0.35425048839695333</v>
      </c>
    </row>
    <row r="12" spans="1:12">
      <c r="A12" t="s">
        <v>481</v>
      </c>
      <c r="B12" t="s">
        <v>489</v>
      </c>
      <c r="C12" s="16">
        <v>1.4564160888894432E-2</v>
      </c>
      <c r="D12" s="16">
        <v>1.4564160888894432E-2</v>
      </c>
      <c r="E12" s="16">
        <v>1.4564160888894432E-2</v>
      </c>
      <c r="F12" s="16">
        <v>1.4564160888894432E-2</v>
      </c>
      <c r="G12" s="16">
        <v>1.4564160888894432E-2</v>
      </c>
      <c r="H12" s="16">
        <v>1.4564160888894432E-2</v>
      </c>
      <c r="I12" s="16">
        <v>1.4564160888894432E-2</v>
      </c>
      <c r="J12" s="16">
        <v>1.4564160888894432E-2</v>
      </c>
    </row>
    <row r="13" spans="1:12">
      <c r="A13" t="s">
        <v>485</v>
      </c>
      <c r="B13" t="s">
        <v>489</v>
      </c>
      <c r="C13" s="16">
        <v>0.35552170288292001</v>
      </c>
      <c r="D13" s="16">
        <v>0.35552170288292001</v>
      </c>
      <c r="E13" s="16">
        <v>0.35552170288292001</v>
      </c>
      <c r="F13" s="16">
        <v>0.35552170288292001</v>
      </c>
      <c r="G13" s="16">
        <v>0.35552170288292001</v>
      </c>
      <c r="H13" s="16">
        <v>0.35552170288292001</v>
      </c>
      <c r="I13" s="16">
        <v>0.35552170288292001</v>
      </c>
      <c r="J13" s="16">
        <v>0.35552170288292001</v>
      </c>
    </row>
    <row r="14" spans="1:12">
      <c r="A14" t="s">
        <v>487</v>
      </c>
      <c r="B14" t="s">
        <v>490</v>
      </c>
      <c r="C14" s="16">
        <v>0.92009812877442665</v>
      </c>
      <c r="D14" s="16">
        <v>0.92009812877442665</v>
      </c>
      <c r="E14" s="16">
        <v>0.92009812877442665</v>
      </c>
      <c r="F14" s="16">
        <v>0.92009812877442665</v>
      </c>
      <c r="G14" s="16">
        <v>0.92009812877442665</v>
      </c>
      <c r="H14" s="16">
        <v>0.92009812877442665</v>
      </c>
      <c r="I14" s="16">
        <v>0.92009812877442665</v>
      </c>
      <c r="J14" s="16">
        <v>0.92009812877442665</v>
      </c>
    </row>
    <row r="15" spans="1:12">
      <c r="A15" t="s">
        <v>483</v>
      </c>
      <c r="B15" t="s">
        <v>490</v>
      </c>
      <c r="C15" s="16">
        <v>0.16887687785347003</v>
      </c>
      <c r="D15" s="16">
        <v>0.16887687785347003</v>
      </c>
      <c r="E15" s="16">
        <v>0.16887687785347003</v>
      </c>
      <c r="F15" s="16">
        <v>0.16887687785347003</v>
      </c>
      <c r="G15" s="16">
        <v>0.16887687785347003</v>
      </c>
      <c r="H15" s="16">
        <v>0.16887687785347003</v>
      </c>
      <c r="I15" s="16">
        <v>0.16887687785347003</v>
      </c>
      <c r="J15" s="16">
        <v>0.16887687785347003</v>
      </c>
    </row>
    <row r="16" spans="1:12">
      <c r="A16" t="s">
        <v>486</v>
      </c>
      <c r="B16" t="s">
        <v>490</v>
      </c>
      <c r="C16" s="16">
        <v>0.50423704154684668</v>
      </c>
      <c r="D16" s="16">
        <v>0.50423704154684668</v>
      </c>
      <c r="E16" s="16">
        <v>0.50423704154684668</v>
      </c>
      <c r="F16" s="16">
        <v>0.50423704154684668</v>
      </c>
      <c r="G16" s="16">
        <v>0.50423704154684668</v>
      </c>
      <c r="H16" s="16">
        <v>0.50423704154684668</v>
      </c>
      <c r="I16" s="16">
        <v>0.50423704154684668</v>
      </c>
      <c r="J16" s="16">
        <v>0.50423704154684668</v>
      </c>
    </row>
    <row r="17" spans="1:10">
      <c r="A17" t="s">
        <v>484</v>
      </c>
      <c r="B17" t="s">
        <v>490</v>
      </c>
      <c r="C17" s="16">
        <v>0.50669245342161007</v>
      </c>
      <c r="D17" s="16">
        <v>0.50669245342161007</v>
      </c>
      <c r="E17" s="16">
        <v>0.50669245342161007</v>
      </c>
      <c r="F17" s="16">
        <v>0.50669245342161007</v>
      </c>
      <c r="G17" s="16">
        <v>0.50669245342161007</v>
      </c>
      <c r="H17" s="16">
        <v>0.50669245342161007</v>
      </c>
      <c r="I17" s="16">
        <v>0.50669245342161007</v>
      </c>
      <c r="J17" s="16">
        <v>0.50669245342161007</v>
      </c>
    </row>
    <row r="18" spans="1:10">
      <c r="A18" t="s">
        <v>480</v>
      </c>
      <c r="B18" t="s">
        <v>490</v>
      </c>
      <c r="C18" s="16">
        <v>2.6457591623739233E-2</v>
      </c>
      <c r="D18" s="16">
        <v>2.6457591623739233E-2</v>
      </c>
      <c r="E18" s="16">
        <v>2.6457591623739233E-2</v>
      </c>
      <c r="F18" s="16">
        <v>2.6457591623739233E-2</v>
      </c>
      <c r="G18" s="16">
        <v>2.6457591623739233E-2</v>
      </c>
      <c r="H18" s="16">
        <v>2.6457591623739233E-2</v>
      </c>
      <c r="I18" s="16">
        <v>2.6457591623739233E-2</v>
      </c>
      <c r="J18" s="16">
        <v>2.6457591623739233E-2</v>
      </c>
    </row>
    <row r="19" spans="1:10">
      <c r="A19" t="s">
        <v>479</v>
      </c>
      <c r="B19" t="s">
        <v>490</v>
      </c>
      <c r="C19" s="16">
        <v>0.35425048839695333</v>
      </c>
      <c r="D19" s="16">
        <v>0.35425048839695333</v>
      </c>
      <c r="E19" s="16">
        <v>0.35425048839695333</v>
      </c>
      <c r="F19" s="16">
        <v>0.35425048839695333</v>
      </c>
      <c r="G19" s="16">
        <v>0.35425048839695333</v>
      </c>
      <c r="H19" s="16">
        <v>0.35425048839695333</v>
      </c>
      <c r="I19" s="16">
        <v>0.35425048839695333</v>
      </c>
      <c r="J19" s="16">
        <v>0.35425048839695333</v>
      </c>
    </row>
    <row r="20" spans="1:10">
      <c r="A20" t="s">
        <v>481</v>
      </c>
      <c r="B20" t="s">
        <v>490</v>
      </c>
      <c r="C20" s="16">
        <v>1.4564160888894432E-2</v>
      </c>
      <c r="D20" s="16">
        <v>1.4564160888894432E-2</v>
      </c>
      <c r="E20" s="16">
        <v>1.4564160888894432E-2</v>
      </c>
      <c r="F20" s="16">
        <v>1.4564160888894432E-2</v>
      </c>
      <c r="G20" s="16">
        <v>1.4564160888894432E-2</v>
      </c>
      <c r="H20" s="16">
        <v>1.4564160888894432E-2</v>
      </c>
      <c r="I20" s="16">
        <v>1.4564160888894432E-2</v>
      </c>
      <c r="J20" s="16">
        <v>1.4564160888894432E-2</v>
      </c>
    </row>
    <row r="21" spans="1:10">
      <c r="A21" t="s">
        <v>485</v>
      </c>
      <c r="B21" t="s">
        <v>490</v>
      </c>
      <c r="C21" s="16">
        <v>0.35552170288292001</v>
      </c>
      <c r="D21" s="16">
        <v>0.35552170288292001</v>
      </c>
      <c r="E21" s="16">
        <v>0.35552170288292001</v>
      </c>
      <c r="F21" s="16">
        <v>0.35552170288292001</v>
      </c>
      <c r="G21" s="16">
        <v>0.35552170288292001</v>
      </c>
      <c r="H21" s="16">
        <v>0.35552170288292001</v>
      </c>
      <c r="I21" s="16">
        <v>0.35552170288292001</v>
      </c>
      <c r="J21" s="16">
        <v>0.35552170288292001</v>
      </c>
    </row>
    <row r="22" spans="1:10">
      <c r="A22" t="s">
        <v>487</v>
      </c>
      <c r="B22" t="s">
        <v>491</v>
      </c>
      <c r="C22" s="16">
        <v>0.92009812877442665</v>
      </c>
      <c r="D22" s="16">
        <v>0.92009812877442665</v>
      </c>
      <c r="E22" s="16">
        <v>0.92009812877442665</v>
      </c>
      <c r="F22" s="16">
        <v>0.92009812877442665</v>
      </c>
      <c r="G22" s="16">
        <v>0.92009812877442665</v>
      </c>
      <c r="H22" s="16">
        <v>0.92009812877442665</v>
      </c>
      <c r="I22" s="16">
        <v>0.92009812877442665</v>
      </c>
      <c r="J22" s="16">
        <v>0.92009812877442665</v>
      </c>
    </row>
    <row r="23" spans="1:10">
      <c r="A23" t="s">
        <v>483</v>
      </c>
      <c r="B23" t="s">
        <v>491</v>
      </c>
      <c r="C23" s="16">
        <v>0.16887687785347003</v>
      </c>
      <c r="D23" s="16">
        <v>0.16887687785347003</v>
      </c>
      <c r="E23" s="16">
        <v>0.16887687785347003</v>
      </c>
      <c r="F23" s="16">
        <v>0.16887687785347003</v>
      </c>
      <c r="G23" s="16">
        <v>0.16887687785347003</v>
      </c>
      <c r="H23" s="16">
        <v>0.16887687785347003</v>
      </c>
      <c r="I23" s="16">
        <v>0.16887687785347003</v>
      </c>
      <c r="J23" s="16">
        <v>0.16887687785347003</v>
      </c>
    </row>
    <row r="24" spans="1:10">
      <c r="A24" t="s">
        <v>486</v>
      </c>
      <c r="B24" t="s">
        <v>491</v>
      </c>
      <c r="C24" s="16">
        <v>0.50423704154684668</v>
      </c>
      <c r="D24" s="16">
        <v>0.50423704154684668</v>
      </c>
      <c r="E24" s="16">
        <v>0.50423704154684668</v>
      </c>
      <c r="F24" s="16">
        <v>0.50423704154684668</v>
      </c>
      <c r="G24" s="16">
        <v>0.50423704154684668</v>
      </c>
      <c r="H24" s="16">
        <v>0.50423704154684668</v>
      </c>
      <c r="I24" s="16">
        <v>0.50423704154684668</v>
      </c>
      <c r="J24" s="16">
        <v>0.50423704154684668</v>
      </c>
    </row>
    <row r="25" spans="1:10">
      <c r="A25" t="s">
        <v>484</v>
      </c>
      <c r="B25" t="s">
        <v>491</v>
      </c>
      <c r="C25" s="16">
        <v>0.50669245342161007</v>
      </c>
      <c r="D25" s="16">
        <v>0.50669245342161007</v>
      </c>
      <c r="E25" s="16">
        <v>0.50669245342161007</v>
      </c>
      <c r="F25" s="16">
        <v>0.50669245342161007</v>
      </c>
      <c r="G25" s="16">
        <v>0.50669245342161007</v>
      </c>
      <c r="H25" s="16">
        <v>0.50669245342161007</v>
      </c>
      <c r="I25" s="16">
        <v>0.50669245342161007</v>
      </c>
      <c r="J25" s="16">
        <v>0.50669245342161007</v>
      </c>
    </row>
    <row r="26" spans="1:10">
      <c r="A26" t="s">
        <v>480</v>
      </c>
      <c r="B26" t="s">
        <v>491</v>
      </c>
      <c r="C26" s="16">
        <v>2.6457591623739233E-2</v>
      </c>
      <c r="D26" s="16">
        <v>2.6457591623739233E-2</v>
      </c>
      <c r="E26" s="16">
        <v>2.6457591623739233E-2</v>
      </c>
      <c r="F26" s="16">
        <v>2.6457591623739233E-2</v>
      </c>
      <c r="G26" s="16">
        <v>2.6457591623739233E-2</v>
      </c>
      <c r="H26" s="16">
        <v>2.6457591623739233E-2</v>
      </c>
      <c r="I26" s="16">
        <v>2.6457591623739233E-2</v>
      </c>
      <c r="J26" s="16">
        <v>2.6457591623739233E-2</v>
      </c>
    </row>
    <row r="27" spans="1:10">
      <c r="A27" t="s">
        <v>479</v>
      </c>
      <c r="B27" t="s">
        <v>491</v>
      </c>
      <c r="C27" s="16">
        <v>0.35425048839695333</v>
      </c>
      <c r="D27" s="16">
        <v>0.35425048839695333</v>
      </c>
      <c r="E27" s="16">
        <v>0.35425048839695333</v>
      </c>
      <c r="F27" s="16">
        <v>0.35425048839695333</v>
      </c>
      <c r="G27" s="16">
        <v>0.35425048839695333</v>
      </c>
      <c r="H27" s="16">
        <v>0.35425048839695333</v>
      </c>
      <c r="I27" s="16">
        <v>0.35425048839695333</v>
      </c>
      <c r="J27" s="16">
        <v>0.35425048839695333</v>
      </c>
    </row>
    <row r="28" spans="1:10">
      <c r="A28" t="s">
        <v>481</v>
      </c>
      <c r="B28" t="s">
        <v>491</v>
      </c>
      <c r="C28" s="16">
        <v>1.4564160888894432E-2</v>
      </c>
      <c r="D28" s="16">
        <v>1.4564160888894432E-2</v>
      </c>
      <c r="E28" s="16">
        <v>1.4564160888894432E-2</v>
      </c>
      <c r="F28" s="16">
        <v>1.4564160888894432E-2</v>
      </c>
      <c r="G28" s="16">
        <v>1.4564160888894432E-2</v>
      </c>
      <c r="H28" s="16">
        <v>1.4564160888894432E-2</v>
      </c>
      <c r="I28" s="16">
        <v>1.4564160888894432E-2</v>
      </c>
      <c r="J28" s="16">
        <v>1.4564160888894432E-2</v>
      </c>
    </row>
    <row r="29" spans="1:10">
      <c r="A29" t="s">
        <v>485</v>
      </c>
      <c r="B29" t="s">
        <v>491</v>
      </c>
      <c r="C29" s="16">
        <v>0.35552170288292001</v>
      </c>
      <c r="D29" s="16">
        <v>0.35552170288292001</v>
      </c>
      <c r="E29" s="16">
        <v>0.35552170288292001</v>
      </c>
      <c r="F29" s="16">
        <v>0.35552170288292001</v>
      </c>
      <c r="G29" s="16">
        <v>0.35552170288292001</v>
      </c>
      <c r="H29" s="16">
        <v>0.35552170288292001</v>
      </c>
      <c r="I29" s="16">
        <v>0.35552170288292001</v>
      </c>
      <c r="J29" s="16">
        <v>0.35552170288292001</v>
      </c>
    </row>
    <row r="30" spans="1:10">
      <c r="A30" t="s">
        <v>487</v>
      </c>
      <c r="B30" t="s">
        <v>91</v>
      </c>
      <c r="C30" s="16">
        <v>4.3814196608306002</v>
      </c>
      <c r="D30" s="16">
        <v>4.3814196608306002</v>
      </c>
      <c r="E30" s="16">
        <v>4.3814196608306002</v>
      </c>
      <c r="F30" s="16">
        <v>4.3814196608306002</v>
      </c>
      <c r="G30" s="16">
        <v>4.3814196608306002</v>
      </c>
      <c r="H30" s="16">
        <v>4.3814196608306002</v>
      </c>
      <c r="I30" s="16">
        <v>4.3814196608306002</v>
      </c>
      <c r="J30" s="16">
        <v>4.3814196608306002</v>
      </c>
    </row>
    <row r="31" spans="1:10">
      <c r="A31" t="s">
        <v>483</v>
      </c>
      <c r="B31" t="s">
        <v>91</v>
      </c>
      <c r="C31" s="16">
        <v>0.80417560882604666</v>
      </c>
      <c r="D31" s="16">
        <v>0.80417560882604666</v>
      </c>
      <c r="E31" s="16">
        <v>0.80417560882604699</v>
      </c>
      <c r="F31" s="16">
        <v>0.80417560882604699</v>
      </c>
      <c r="G31" s="16">
        <v>0.80417560882604699</v>
      </c>
      <c r="H31" s="16">
        <v>0.80417560882604699</v>
      </c>
      <c r="I31" s="16">
        <v>0.80417560882604699</v>
      </c>
      <c r="J31" s="16">
        <v>0.80417560882604699</v>
      </c>
    </row>
    <row r="32" spans="1:10">
      <c r="A32" t="s">
        <v>486</v>
      </c>
      <c r="B32" t="s">
        <v>91</v>
      </c>
      <c r="C32" s="16">
        <v>2.4011287692707097</v>
      </c>
      <c r="D32" s="16">
        <v>2.4011287692707097</v>
      </c>
      <c r="E32" s="16">
        <v>2.4011287692707102</v>
      </c>
      <c r="F32" s="16">
        <v>2.4011287692707102</v>
      </c>
      <c r="G32" s="16">
        <v>2.4011287692707102</v>
      </c>
      <c r="H32" s="16">
        <v>2.4011287692707102</v>
      </c>
      <c r="I32" s="16">
        <v>2.4011287692707102</v>
      </c>
      <c r="J32" s="16">
        <v>2.4011287692707102</v>
      </c>
    </row>
    <row r="33" spans="1:10">
      <c r="A33" t="s">
        <v>484</v>
      </c>
      <c r="B33" t="s">
        <v>91</v>
      </c>
      <c r="C33" s="16">
        <v>2.4128212067695767</v>
      </c>
      <c r="D33" s="16">
        <v>2.4128212067695767</v>
      </c>
      <c r="E33" s="16">
        <v>2.4128212067695798</v>
      </c>
      <c r="F33" s="16">
        <v>2.4128212067695798</v>
      </c>
      <c r="G33" s="16">
        <v>2.4128212067695798</v>
      </c>
      <c r="H33" s="16">
        <v>2.4128212067695798</v>
      </c>
      <c r="I33" s="16">
        <v>2.4128212067695798</v>
      </c>
      <c r="J33" s="16">
        <v>2.4128212067695798</v>
      </c>
    </row>
    <row r="34" spans="1:10">
      <c r="A34" t="s">
        <v>480</v>
      </c>
      <c r="B34" t="s">
        <v>91</v>
      </c>
      <c r="C34" s="16">
        <v>0.12598853154161535</v>
      </c>
      <c r="D34" s="16">
        <v>0.12598853154161535</v>
      </c>
      <c r="E34" s="16">
        <v>0.12598853154161499</v>
      </c>
      <c r="F34" s="16">
        <v>0.12598853154161499</v>
      </c>
      <c r="G34" s="16">
        <v>0.12598853154161499</v>
      </c>
      <c r="H34" s="16">
        <v>0.12598853154161499</v>
      </c>
      <c r="I34" s="16">
        <v>0.12598853154161499</v>
      </c>
      <c r="J34" s="16">
        <v>0.12598853154161499</v>
      </c>
    </row>
    <row r="35" spans="1:10">
      <c r="A35" t="s">
        <v>479</v>
      </c>
      <c r="B35" t="s">
        <v>91</v>
      </c>
      <c r="C35" s="16">
        <v>1.6869070876045533</v>
      </c>
      <c r="D35" s="16">
        <v>1.6869070876045533</v>
      </c>
      <c r="E35" s="16">
        <v>1.68690708760455</v>
      </c>
      <c r="F35" s="16">
        <v>1.68690708760455</v>
      </c>
      <c r="G35" s="16">
        <v>1.68690708760455</v>
      </c>
      <c r="H35" s="16">
        <v>1.68690708760455</v>
      </c>
      <c r="I35" s="16">
        <v>1.68690708760455</v>
      </c>
      <c r="J35" s="16">
        <v>1.68690708760455</v>
      </c>
    </row>
    <row r="36" spans="1:10">
      <c r="A36" t="s">
        <v>481</v>
      </c>
      <c r="B36" t="s">
        <v>91</v>
      </c>
      <c r="C36" s="16">
        <v>6.9353147089973324E-2</v>
      </c>
      <c r="D36" s="16">
        <v>6.9353147089973324E-2</v>
      </c>
      <c r="E36" s="16">
        <v>6.9353147089973297E-2</v>
      </c>
      <c r="F36" s="16">
        <v>6.9353147089973297E-2</v>
      </c>
      <c r="G36" s="16">
        <v>6.9353147089973297E-2</v>
      </c>
      <c r="H36" s="16">
        <v>6.9353147089973297E-2</v>
      </c>
      <c r="I36" s="16">
        <v>6.9353147089973297E-2</v>
      </c>
      <c r="J36" s="16">
        <v>6.9353147089973297E-2</v>
      </c>
    </row>
    <row r="37" spans="1:10">
      <c r="A37" t="s">
        <v>485</v>
      </c>
      <c r="B37" t="s">
        <v>91</v>
      </c>
      <c r="C37" s="16">
        <v>1.6929604899186765</v>
      </c>
      <c r="D37" s="16">
        <v>1.6929604899186765</v>
      </c>
      <c r="E37" s="16">
        <v>1.6929604899186801</v>
      </c>
      <c r="F37" s="16">
        <v>1.6929604899186801</v>
      </c>
      <c r="G37" s="16">
        <v>1.6929604899186801</v>
      </c>
      <c r="H37" s="16">
        <v>1.6929604899186801</v>
      </c>
      <c r="I37" s="16">
        <v>1.6929604899186801</v>
      </c>
      <c r="J37" s="16">
        <v>1.6929604899186801</v>
      </c>
    </row>
    <row r="38" spans="1:10">
      <c r="A38" t="s">
        <v>487</v>
      </c>
      <c r="B38" t="s">
        <v>90</v>
      </c>
      <c r="C38" s="16">
        <v>4.3814196608306002</v>
      </c>
      <c r="D38" s="16">
        <v>4.3814196608306002</v>
      </c>
      <c r="E38" s="16">
        <v>4.3814196608306002</v>
      </c>
      <c r="F38" s="16">
        <v>4.3814196608306002</v>
      </c>
      <c r="G38" s="16">
        <v>4.3814196608306002</v>
      </c>
      <c r="H38" s="16">
        <v>4.3814196608306002</v>
      </c>
      <c r="I38" s="16">
        <v>4.3814196608306002</v>
      </c>
      <c r="J38" s="16">
        <v>4.3814196608306002</v>
      </c>
    </row>
    <row r="39" spans="1:10">
      <c r="A39" t="s">
        <v>483</v>
      </c>
      <c r="B39" t="s">
        <v>90</v>
      </c>
      <c r="C39" s="16">
        <v>0.80417560882604666</v>
      </c>
      <c r="D39" s="16">
        <v>0.80417560882604666</v>
      </c>
      <c r="E39" s="16">
        <v>0.80417560882604699</v>
      </c>
      <c r="F39" s="16">
        <v>0.80417560882604699</v>
      </c>
      <c r="G39" s="16">
        <v>0.80417560882604699</v>
      </c>
      <c r="H39" s="16">
        <v>0.80417560882604699</v>
      </c>
      <c r="I39" s="16">
        <v>0.80417560882604699</v>
      </c>
      <c r="J39" s="16">
        <v>0.80417560882604699</v>
      </c>
    </row>
    <row r="40" spans="1:10">
      <c r="A40" t="s">
        <v>486</v>
      </c>
      <c r="B40" t="s">
        <v>90</v>
      </c>
      <c r="C40" s="16">
        <v>2.4011287692707097</v>
      </c>
      <c r="D40" s="16">
        <v>2.4011287692707097</v>
      </c>
      <c r="E40" s="16">
        <v>2.4011287692707102</v>
      </c>
      <c r="F40" s="16">
        <v>2.4011287692707102</v>
      </c>
      <c r="G40" s="16">
        <v>2.4011287692707102</v>
      </c>
      <c r="H40" s="16">
        <v>2.4011287692707102</v>
      </c>
      <c r="I40" s="16">
        <v>2.4011287692707102</v>
      </c>
      <c r="J40" s="16">
        <v>2.4011287692707102</v>
      </c>
    </row>
    <row r="41" spans="1:10">
      <c r="A41" t="s">
        <v>484</v>
      </c>
      <c r="B41" t="s">
        <v>90</v>
      </c>
      <c r="C41" s="16">
        <v>2.4128212067695767</v>
      </c>
      <c r="D41" s="16">
        <v>2.4128212067695767</v>
      </c>
      <c r="E41" s="16">
        <v>2.4128212067695798</v>
      </c>
      <c r="F41" s="16">
        <v>2.4128212067695798</v>
      </c>
      <c r="G41" s="16">
        <v>2.4128212067695798</v>
      </c>
      <c r="H41" s="16">
        <v>2.4128212067695798</v>
      </c>
      <c r="I41" s="16">
        <v>2.4128212067695798</v>
      </c>
      <c r="J41" s="16">
        <v>2.4128212067695798</v>
      </c>
    </row>
    <row r="42" spans="1:10">
      <c r="A42" t="s">
        <v>480</v>
      </c>
      <c r="B42" t="s">
        <v>90</v>
      </c>
      <c r="C42" s="16">
        <v>0.12598853154161535</v>
      </c>
      <c r="D42" s="16">
        <v>0.12598853154161535</v>
      </c>
      <c r="E42" s="16">
        <v>0.12598853154161499</v>
      </c>
      <c r="F42" s="16">
        <v>0.12598853154161499</v>
      </c>
      <c r="G42" s="16">
        <v>0.12598853154161499</v>
      </c>
      <c r="H42" s="16">
        <v>0.12598853154161499</v>
      </c>
      <c r="I42" s="16">
        <v>0.12598853154161499</v>
      </c>
      <c r="J42" s="16">
        <v>0.12598853154161499</v>
      </c>
    </row>
    <row r="43" spans="1:10">
      <c r="A43" t="s">
        <v>479</v>
      </c>
      <c r="B43" t="s">
        <v>90</v>
      </c>
      <c r="C43" s="16">
        <v>1.6869070876045533</v>
      </c>
      <c r="D43" s="16">
        <v>1.6869070876045533</v>
      </c>
      <c r="E43" s="16">
        <v>1.68690708760455</v>
      </c>
      <c r="F43" s="16">
        <v>1.68690708760455</v>
      </c>
      <c r="G43" s="16">
        <v>1.68690708760455</v>
      </c>
      <c r="H43" s="16">
        <v>1.68690708760455</v>
      </c>
      <c r="I43" s="16">
        <v>1.68690708760455</v>
      </c>
      <c r="J43" s="16">
        <v>1.68690708760455</v>
      </c>
    </row>
    <row r="44" spans="1:10">
      <c r="A44" t="s">
        <v>481</v>
      </c>
      <c r="B44" t="s">
        <v>90</v>
      </c>
      <c r="C44" s="16">
        <v>6.9353147089973324E-2</v>
      </c>
      <c r="D44" s="16">
        <v>6.9353147089973324E-2</v>
      </c>
      <c r="E44" s="16">
        <v>6.9353147089973297E-2</v>
      </c>
      <c r="F44" s="16">
        <v>6.9353147089973297E-2</v>
      </c>
      <c r="G44" s="16">
        <v>6.9353147089973297E-2</v>
      </c>
      <c r="H44" s="16">
        <v>6.9353147089973297E-2</v>
      </c>
      <c r="I44" s="16">
        <v>6.9353147089973297E-2</v>
      </c>
      <c r="J44" s="16">
        <v>6.9353147089973297E-2</v>
      </c>
    </row>
    <row r="45" spans="1:10">
      <c r="A45" t="s">
        <v>485</v>
      </c>
      <c r="B45" t="s">
        <v>90</v>
      </c>
      <c r="C45" s="16">
        <v>1.6929604899186765</v>
      </c>
      <c r="D45" s="16">
        <v>1.6929604899186765</v>
      </c>
      <c r="E45" s="16">
        <v>1.6929604899186801</v>
      </c>
      <c r="F45" s="16">
        <v>1.6929604899186801</v>
      </c>
      <c r="G45" s="16">
        <v>1.6929604899186801</v>
      </c>
      <c r="H45" s="16">
        <v>1.6929604899186801</v>
      </c>
      <c r="I45" s="16">
        <v>1.6929604899186801</v>
      </c>
      <c r="J45" s="16">
        <v>1.6929604899186801</v>
      </c>
    </row>
    <row r="46" spans="1:10">
      <c r="A46" t="s">
        <v>483</v>
      </c>
      <c r="B46" t="s">
        <v>89</v>
      </c>
      <c r="C46" s="16">
        <v>0.80417560882604666</v>
      </c>
      <c r="D46" s="16">
        <v>0.80417560882604666</v>
      </c>
      <c r="E46" s="16">
        <v>0.80417560882604699</v>
      </c>
      <c r="F46" s="16">
        <v>0.80417560882604699</v>
      </c>
      <c r="G46" s="16">
        <v>0.80417560882604699</v>
      </c>
      <c r="H46" s="16">
        <v>0.80417560882604699</v>
      </c>
      <c r="I46" s="16">
        <v>0.80417560882604699</v>
      </c>
      <c r="J46" s="16">
        <v>0.80417560882604699</v>
      </c>
    </row>
    <row r="47" spans="1:10">
      <c r="A47" t="s">
        <v>486</v>
      </c>
      <c r="B47" t="s">
        <v>89</v>
      </c>
      <c r="C47" s="16">
        <v>2.4011287692707097</v>
      </c>
      <c r="D47" s="16">
        <v>2.4011287692707097</v>
      </c>
      <c r="E47" s="16">
        <v>2.4011287692707102</v>
      </c>
      <c r="F47" s="16">
        <v>2.4011287692707102</v>
      </c>
      <c r="G47" s="16">
        <v>2.4011287692707102</v>
      </c>
      <c r="H47" s="16">
        <v>2.4011287692707102</v>
      </c>
      <c r="I47" s="16">
        <v>2.4011287692707102</v>
      </c>
      <c r="J47" s="16">
        <v>2.4011287692707102</v>
      </c>
    </row>
    <row r="48" spans="1:10">
      <c r="A48" t="s">
        <v>484</v>
      </c>
      <c r="B48" t="s">
        <v>89</v>
      </c>
      <c r="C48" s="16">
        <v>2.4128212067695767</v>
      </c>
      <c r="D48" s="16">
        <v>2.4128212067695767</v>
      </c>
      <c r="E48" s="16">
        <v>2.4128212067695798</v>
      </c>
      <c r="F48" s="16">
        <v>2.4128212067695798</v>
      </c>
      <c r="G48" s="16">
        <v>2.4128212067695798</v>
      </c>
      <c r="H48" s="16">
        <v>2.4128212067695798</v>
      </c>
      <c r="I48" s="16">
        <v>2.4128212067695798</v>
      </c>
      <c r="J48" s="16">
        <v>2.4128212067695798</v>
      </c>
    </row>
    <row r="49" spans="1:10">
      <c r="A49" t="s">
        <v>480</v>
      </c>
      <c r="B49" t="s">
        <v>89</v>
      </c>
      <c r="C49" s="16">
        <v>0.12598853154161535</v>
      </c>
      <c r="D49" s="16">
        <v>0.12598853154161535</v>
      </c>
      <c r="E49" s="16">
        <v>0.12598853154161499</v>
      </c>
      <c r="F49" s="16">
        <v>0.12598853154161499</v>
      </c>
      <c r="G49" s="16">
        <v>0.12598853154161499</v>
      </c>
      <c r="H49" s="16">
        <v>0.12598853154161499</v>
      </c>
      <c r="I49" s="16">
        <v>0.12598853154161499</v>
      </c>
      <c r="J49" s="16">
        <v>0.12598853154161499</v>
      </c>
    </row>
    <row r="50" spans="1:10">
      <c r="A50" t="s">
        <v>479</v>
      </c>
      <c r="B50" t="s">
        <v>89</v>
      </c>
      <c r="C50" s="16">
        <v>1.6869070876045533</v>
      </c>
      <c r="D50" s="16">
        <v>1.6869070876045533</v>
      </c>
      <c r="E50" s="16">
        <v>1.68690708760455</v>
      </c>
      <c r="F50" s="16">
        <v>1.68690708760455</v>
      </c>
      <c r="G50" s="16">
        <v>1.68690708760455</v>
      </c>
      <c r="H50" s="16">
        <v>1.68690708760455</v>
      </c>
      <c r="I50" s="16">
        <v>1.68690708760455</v>
      </c>
      <c r="J50" s="16">
        <v>1.68690708760455</v>
      </c>
    </row>
    <row r="51" spans="1:10">
      <c r="A51" t="s">
        <v>481</v>
      </c>
      <c r="B51" t="s">
        <v>89</v>
      </c>
      <c r="C51" s="16">
        <v>6.9353147089973324E-2</v>
      </c>
      <c r="D51" s="16">
        <v>6.9353147089973324E-2</v>
      </c>
      <c r="E51" s="16">
        <v>6.9353147089973297E-2</v>
      </c>
      <c r="F51" s="16">
        <v>6.9353147089973297E-2</v>
      </c>
      <c r="G51" s="16">
        <v>6.9353147089973297E-2</v>
      </c>
      <c r="H51" s="16">
        <v>6.9353147089973297E-2</v>
      </c>
      <c r="I51" s="16">
        <v>6.9353147089973297E-2</v>
      </c>
      <c r="J51" s="16">
        <v>6.9353147089973297E-2</v>
      </c>
    </row>
    <row r="52" spans="1:10">
      <c r="A52" t="s">
        <v>485</v>
      </c>
      <c r="B52" t="s">
        <v>89</v>
      </c>
      <c r="C52" s="16">
        <v>1.6929604899186765</v>
      </c>
      <c r="D52" s="16">
        <v>1.6929604899186765</v>
      </c>
      <c r="E52" s="16">
        <v>1.6929604899186801</v>
      </c>
      <c r="F52" s="16">
        <v>1.6929604899186801</v>
      </c>
      <c r="G52" s="16">
        <v>1.6929604899186801</v>
      </c>
      <c r="H52" s="16">
        <v>1.6929604899186801</v>
      </c>
      <c r="I52" s="16">
        <v>1.6929604899186801</v>
      </c>
      <c r="J52" s="16">
        <v>1.6929604899186801</v>
      </c>
    </row>
    <row r="53" spans="1:10">
      <c r="A53" t="s">
        <v>487</v>
      </c>
      <c r="B53" t="s">
        <v>173</v>
      </c>
      <c r="C53" s="16">
        <v>99</v>
      </c>
      <c r="D53" s="16">
        <v>99</v>
      </c>
      <c r="E53" s="16">
        <v>99</v>
      </c>
      <c r="F53" s="16">
        <v>99</v>
      </c>
      <c r="G53" s="16">
        <v>99</v>
      </c>
      <c r="H53" s="16">
        <v>99</v>
      </c>
      <c r="I53" s="16">
        <v>99</v>
      </c>
      <c r="J53" s="16">
        <v>99</v>
      </c>
    </row>
    <row r="54" spans="1:10">
      <c r="A54" t="s">
        <v>483</v>
      </c>
      <c r="B54" t="s">
        <v>173</v>
      </c>
      <c r="C54" s="16">
        <v>99</v>
      </c>
      <c r="D54" s="16">
        <v>99</v>
      </c>
      <c r="E54" s="16">
        <v>99</v>
      </c>
      <c r="F54" s="16">
        <v>99</v>
      </c>
      <c r="G54" s="16">
        <v>99</v>
      </c>
      <c r="H54" s="16">
        <v>99</v>
      </c>
      <c r="I54" s="16">
        <v>99</v>
      </c>
      <c r="J54" s="16">
        <v>99</v>
      </c>
    </row>
    <row r="55" spans="1:10">
      <c r="A55" t="s">
        <v>486</v>
      </c>
      <c r="B55" t="s">
        <v>173</v>
      </c>
      <c r="C55" s="16">
        <v>99</v>
      </c>
      <c r="D55" s="16">
        <v>99</v>
      </c>
      <c r="E55" s="16">
        <v>99</v>
      </c>
      <c r="F55" s="16">
        <v>99</v>
      </c>
      <c r="G55" s="16">
        <v>99</v>
      </c>
      <c r="H55" s="16">
        <v>99</v>
      </c>
      <c r="I55" s="16">
        <v>99</v>
      </c>
      <c r="J55" s="16">
        <v>99</v>
      </c>
    </row>
    <row r="56" spans="1:10">
      <c r="A56" t="s">
        <v>484</v>
      </c>
      <c r="B56" t="s">
        <v>173</v>
      </c>
      <c r="C56" s="16">
        <v>99</v>
      </c>
      <c r="D56" s="16">
        <v>99</v>
      </c>
      <c r="E56" s="16">
        <v>99</v>
      </c>
      <c r="F56" s="16">
        <v>99</v>
      </c>
      <c r="G56" s="16">
        <v>99</v>
      </c>
      <c r="H56" s="16">
        <v>99</v>
      </c>
      <c r="I56" s="16">
        <v>99</v>
      </c>
      <c r="J56" s="16">
        <v>99</v>
      </c>
    </row>
    <row r="57" spans="1:10">
      <c r="A57" t="s">
        <v>480</v>
      </c>
      <c r="B57" t="s">
        <v>173</v>
      </c>
      <c r="C57" s="16">
        <v>99</v>
      </c>
      <c r="D57" s="16">
        <v>99</v>
      </c>
      <c r="E57" s="16">
        <v>99</v>
      </c>
      <c r="F57" s="16">
        <v>99</v>
      </c>
      <c r="G57" s="16">
        <v>99</v>
      </c>
      <c r="H57" s="16">
        <v>99</v>
      </c>
      <c r="I57" s="16">
        <v>99</v>
      </c>
      <c r="J57" s="16">
        <v>99</v>
      </c>
    </row>
    <row r="58" spans="1:10">
      <c r="A58" t="s">
        <v>479</v>
      </c>
      <c r="B58" t="s">
        <v>173</v>
      </c>
      <c r="C58" s="16">
        <v>99</v>
      </c>
      <c r="D58" s="16">
        <v>99</v>
      </c>
      <c r="E58" s="16">
        <v>99</v>
      </c>
      <c r="F58" s="16">
        <v>99</v>
      </c>
      <c r="G58" s="16">
        <v>99</v>
      </c>
      <c r="H58" s="16">
        <v>99</v>
      </c>
      <c r="I58" s="16">
        <v>99</v>
      </c>
      <c r="J58" s="16">
        <v>99</v>
      </c>
    </row>
    <row r="59" spans="1:10">
      <c r="A59" t="s">
        <v>481</v>
      </c>
      <c r="B59" t="s">
        <v>173</v>
      </c>
      <c r="C59" s="16">
        <v>99</v>
      </c>
      <c r="D59" s="16">
        <v>99</v>
      </c>
      <c r="E59" s="16">
        <v>99</v>
      </c>
      <c r="F59" s="16">
        <v>99</v>
      </c>
      <c r="G59" s="16">
        <v>99</v>
      </c>
      <c r="H59" s="16">
        <v>99</v>
      </c>
      <c r="I59" s="16">
        <v>99</v>
      </c>
      <c r="J59" s="16">
        <v>99</v>
      </c>
    </row>
    <row r="60" spans="1:10">
      <c r="A60" t="s">
        <v>485</v>
      </c>
      <c r="B60" t="s">
        <v>173</v>
      </c>
      <c r="C60" s="16">
        <v>99</v>
      </c>
      <c r="D60" s="16">
        <v>99</v>
      </c>
      <c r="E60" s="16">
        <v>99</v>
      </c>
      <c r="F60" s="16">
        <v>99</v>
      </c>
      <c r="G60" s="16">
        <v>99</v>
      </c>
      <c r="H60" s="16">
        <v>99</v>
      </c>
      <c r="I60" s="16">
        <v>99</v>
      </c>
      <c r="J60" s="16">
        <v>99</v>
      </c>
    </row>
    <row r="61" spans="1:10">
      <c r="A61" t="s">
        <v>487</v>
      </c>
      <c r="B61" t="s">
        <v>172</v>
      </c>
      <c r="C61" s="16">
        <v>99</v>
      </c>
      <c r="D61" s="16">
        <v>99</v>
      </c>
      <c r="E61" s="16">
        <v>99</v>
      </c>
      <c r="F61" s="16">
        <v>99</v>
      </c>
      <c r="G61" s="16">
        <v>99</v>
      </c>
      <c r="H61" s="16">
        <v>99</v>
      </c>
      <c r="I61" s="16">
        <v>99</v>
      </c>
      <c r="J61" s="16">
        <v>99</v>
      </c>
    </row>
    <row r="62" spans="1:10">
      <c r="A62" t="s">
        <v>483</v>
      </c>
      <c r="B62" t="s">
        <v>172</v>
      </c>
      <c r="C62" s="16">
        <v>99</v>
      </c>
      <c r="D62" s="16">
        <v>99</v>
      </c>
      <c r="E62" s="16">
        <v>99</v>
      </c>
      <c r="F62" s="16">
        <v>99</v>
      </c>
      <c r="G62" s="16">
        <v>99</v>
      </c>
      <c r="H62" s="16">
        <v>99</v>
      </c>
      <c r="I62" s="16">
        <v>99</v>
      </c>
      <c r="J62" s="16">
        <v>99</v>
      </c>
    </row>
    <row r="63" spans="1:10">
      <c r="A63" t="s">
        <v>486</v>
      </c>
      <c r="B63" t="s">
        <v>172</v>
      </c>
      <c r="C63" s="16">
        <v>99</v>
      </c>
      <c r="D63" s="16">
        <v>99</v>
      </c>
      <c r="E63" s="16">
        <v>99</v>
      </c>
      <c r="F63" s="16">
        <v>99</v>
      </c>
      <c r="G63" s="16">
        <v>99</v>
      </c>
      <c r="H63" s="16">
        <v>99</v>
      </c>
      <c r="I63" s="16">
        <v>99</v>
      </c>
      <c r="J63" s="16">
        <v>99</v>
      </c>
    </row>
    <row r="64" spans="1:10">
      <c r="A64" t="s">
        <v>484</v>
      </c>
      <c r="B64" t="s">
        <v>172</v>
      </c>
      <c r="C64" s="16">
        <v>99</v>
      </c>
      <c r="D64" s="16">
        <v>99</v>
      </c>
      <c r="E64" s="16">
        <v>99</v>
      </c>
      <c r="F64" s="16">
        <v>99</v>
      </c>
      <c r="G64" s="16">
        <v>99</v>
      </c>
      <c r="H64" s="16">
        <v>99</v>
      </c>
      <c r="I64" s="16">
        <v>99</v>
      </c>
      <c r="J64" s="16">
        <v>99</v>
      </c>
    </row>
    <row r="65" spans="1:10">
      <c r="A65" t="s">
        <v>480</v>
      </c>
      <c r="B65" t="s">
        <v>172</v>
      </c>
      <c r="C65" s="16">
        <v>99</v>
      </c>
      <c r="D65" s="16">
        <v>99</v>
      </c>
      <c r="E65" s="16">
        <v>99</v>
      </c>
      <c r="F65" s="16">
        <v>99</v>
      </c>
      <c r="G65" s="16">
        <v>99</v>
      </c>
      <c r="H65" s="16">
        <v>99</v>
      </c>
      <c r="I65" s="16">
        <v>99</v>
      </c>
      <c r="J65" s="16">
        <v>99</v>
      </c>
    </row>
    <row r="66" spans="1:10">
      <c r="A66" t="s">
        <v>479</v>
      </c>
      <c r="B66" t="s">
        <v>172</v>
      </c>
      <c r="C66" s="16">
        <v>99</v>
      </c>
      <c r="D66" s="16">
        <v>99</v>
      </c>
      <c r="E66" s="16">
        <v>99</v>
      </c>
      <c r="F66" s="16">
        <v>99</v>
      </c>
      <c r="G66" s="16">
        <v>99</v>
      </c>
      <c r="H66" s="16">
        <v>99</v>
      </c>
      <c r="I66" s="16">
        <v>99</v>
      </c>
      <c r="J66" s="16">
        <v>99</v>
      </c>
    </row>
    <row r="67" spans="1:10">
      <c r="A67" t="s">
        <v>481</v>
      </c>
      <c r="B67" t="s">
        <v>172</v>
      </c>
      <c r="C67" s="16">
        <v>99</v>
      </c>
      <c r="D67" s="16">
        <v>99</v>
      </c>
      <c r="E67" s="16">
        <v>99</v>
      </c>
      <c r="F67" s="16">
        <v>99</v>
      </c>
      <c r="G67" s="16">
        <v>99</v>
      </c>
      <c r="H67" s="16">
        <v>99</v>
      </c>
      <c r="I67" s="16">
        <v>99</v>
      </c>
      <c r="J67" s="16">
        <v>99</v>
      </c>
    </row>
    <row r="68" spans="1:10">
      <c r="A68" t="s">
        <v>485</v>
      </c>
      <c r="B68" t="s">
        <v>172</v>
      </c>
      <c r="C68" s="16">
        <v>99</v>
      </c>
      <c r="D68" s="16">
        <v>99</v>
      </c>
      <c r="E68" s="16">
        <v>99</v>
      </c>
      <c r="F68" s="16">
        <v>99</v>
      </c>
      <c r="G68" s="16">
        <v>99</v>
      </c>
      <c r="H68" s="16">
        <v>99</v>
      </c>
      <c r="I68" s="16">
        <v>99</v>
      </c>
      <c r="J68" s="16">
        <v>99</v>
      </c>
    </row>
    <row r="69" spans="1:10">
      <c r="A69" t="s">
        <v>487</v>
      </c>
      <c r="B69" t="s">
        <v>170</v>
      </c>
      <c r="C69" s="16">
        <v>22.389446903164298</v>
      </c>
      <c r="D69" s="16">
        <v>22.389446903164298</v>
      </c>
      <c r="E69" s="16">
        <v>22.389446903164298</v>
      </c>
      <c r="F69" s="16">
        <v>22.389446903164298</v>
      </c>
      <c r="G69" s="16">
        <v>22.389446903164298</v>
      </c>
      <c r="H69" s="16">
        <v>22.389446903164298</v>
      </c>
      <c r="I69" s="16">
        <v>22.389446903164298</v>
      </c>
      <c r="J69" s="16">
        <v>22.389446903164298</v>
      </c>
    </row>
    <row r="70" spans="1:10">
      <c r="A70" t="s">
        <v>483</v>
      </c>
      <c r="B70" t="s">
        <v>170</v>
      </c>
      <c r="C70" s="16">
        <v>21.854397582359201</v>
      </c>
      <c r="D70" s="16">
        <v>21.854397582359152</v>
      </c>
      <c r="E70" s="16">
        <v>21.854397582359152</v>
      </c>
      <c r="F70" s="16">
        <v>21.854397582359152</v>
      </c>
      <c r="G70" s="16">
        <v>21.854397582359152</v>
      </c>
      <c r="H70" s="16">
        <v>21.854397582359152</v>
      </c>
      <c r="I70" s="16">
        <v>21.854397582359152</v>
      </c>
      <c r="J70" s="16">
        <v>21.854397582359152</v>
      </c>
    </row>
    <row r="71" spans="1:10">
      <c r="A71" t="s">
        <v>486</v>
      </c>
      <c r="B71" t="s">
        <v>170</v>
      </c>
      <c r="C71" s="16">
        <v>18.833878065083098</v>
      </c>
      <c r="D71" s="16">
        <v>18.833878065083098</v>
      </c>
      <c r="E71" s="16">
        <v>18.833878065083098</v>
      </c>
      <c r="F71" s="16">
        <v>18.833878065083098</v>
      </c>
      <c r="G71" s="16">
        <v>18.833878065083098</v>
      </c>
      <c r="H71" s="16">
        <v>18.833878065083098</v>
      </c>
      <c r="I71" s="16">
        <v>18.833878065083098</v>
      </c>
      <c r="J71" s="16">
        <v>18.833878065083098</v>
      </c>
    </row>
    <row r="72" spans="1:10">
      <c r="A72" t="s">
        <v>484</v>
      </c>
      <c r="B72" t="s">
        <v>170</v>
      </c>
      <c r="C72" s="16">
        <v>20.563687329473151</v>
      </c>
      <c r="D72" s="16">
        <v>20.563687329473151</v>
      </c>
      <c r="E72" s="16">
        <v>20.563687329473151</v>
      </c>
      <c r="F72" s="16">
        <v>20.563687329473151</v>
      </c>
      <c r="G72" s="16">
        <v>20.563687329473151</v>
      </c>
      <c r="H72" s="16">
        <v>20.563687329473151</v>
      </c>
      <c r="I72" s="16">
        <v>20.563687329473151</v>
      </c>
      <c r="J72" s="16">
        <v>20.563687329473151</v>
      </c>
    </row>
    <row r="73" spans="1:10">
      <c r="A73" t="s">
        <v>480</v>
      </c>
      <c r="B73" t="s">
        <v>170</v>
      </c>
      <c r="C73" s="16">
        <v>0.2350942481676</v>
      </c>
      <c r="D73" s="16">
        <v>0.2350942481676</v>
      </c>
      <c r="E73" s="16">
        <v>0.2350942481676</v>
      </c>
      <c r="F73" s="16">
        <v>0.2350942481676</v>
      </c>
      <c r="G73" s="16">
        <v>0.2350942481676</v>
      </c>
      <c r="H73" s="16">
        <v>0.2350942481676</v>
      </c>
      <c r="I73" s="16">
        <v>0.2350942481676</v>
      </c>
      <c r="J73" s="16">
        <v>0.2350942481676</v>
      </c>
    </row>
    <row r="74" spans="1:10">
      <c r="A74" t="s">
        <v>479</v>
      </c>
      <c r="B74" t="s">
        <v>170</v>
      </c>
      <c r="C74" s="16">
        <v>3.5975820382213799</v>
      </c>
      <c r="D74" s="16">
        <v>3.5975820382213799</v>
      </c>
      <c r="E74" s="16">
        <v>3.5975820382213799</v>
      </c>
      <c r="F74" s="16">
        <v>3.5975820382213799</v>
      </c>
      <c r="G74" s="16">
        <v>3.5975820382213799</v>
      </c>
      <c r="H74" s="16">
        <v>3.5975820382213799</v>
      </c>
      <c r="I74" s="16">
        <v>3.5975820382213799</v>
      </c>
      <c r="J74" s="16">
        <v>3.5975820382213799</v>
      </c>
    </row>
    <row r="75" spans="1:10">
      <c r="A75" t="s">
        <v>481</v>
      </c>
      <c r="B75" t="s">
        <v>170</v>
      </c>
      <c r="C75" s="16">
        <v>0.2350942481676</v>
      </c>
      <c r="D75" s="16">
        <v>0.2350942481676</v>
      </c>
      <c r="E75" s="16">
        <v>0.2350942481676</v>
      </c>
      <c r="F75" s="16">
        <v>0.2350942481676</v>
      </c>
      <c r="G75" s="16">
        <v>0.2350942481676</v>
      </c>
      <c r="H75" s="16">
        <v>0.2350942481676</v>
      </c>
      <c r="I75" s="16">
        <v>0.2350942481676</v>
      </c>
      <c r="J75" s="16">
        <v>0.2350942481676</v>
      </c>
    </row>
    <row r="76" spans="1:10">
      <c r="A76" t="s">
        <v>485</v>
      </c>
      <c r="B76" t="s">
        <v>170</v>
      </c>
      <c r="C76" s="16">
        <v>15.6746808356363</v>
      </c>
      <c r="D76" s="16">
        <v>15.6746808356363</v>
      </c>
      <c r="E76" s="16">
        <v>15.6746808356363</v>
      </c>
      <c r="F76" s="16">
        <v>15.6746808356363</v>
      </c>
      <c r="G76" s="16">
        <v>15.6746808356363</v>
      </c>
      <c r="H76" s="16">
        <v>15.6746808356363</v>
      </c>
      <c r="I76" s="16">
        <v>15.6746808356363</v>
      </c>
      <c r="J76" s="16">
        <v>15.6746808356363</v>
      </c>
    </row>
    <row r="77" spans="1:10">
      <c r="A77" t="s">
        <v>487</v>
      </c>
      <c r="B77" t="s">
        <v>171</v>
      </c>
      <c r="C77" s="16">
        <v>22.389446903164298</v>
      </c>
      <c r="D77" s="16">
        <v>22.389446903164298</v>
      </c>
      <c r="E77" s="16">
        <v>22.389446903164298</v>
      </c>
      <c r="F77" s="16">
        <v>22.389446903164298</v>
      </c>
      <c r="G77" s="16">
        <v>22.389446903164298</v>
      </c>
      <c r="H77" s="16">
        <v>22.389446903164298</v>
      </c>
      <c r="I77" s="16">
        <v>22.389446903164298</v>
      </c>
      <c r="J77" s="16">
        <v>22.389446903164298</v>
      </c>
    </row>
    <row r="78" spans="1:10">
      <c r="A78" t="s">
        <v>483</v>
      </c>
      <c r="B78" t="s">
        <v>171</v>
      </c>
      <c r="C78" s="16">
        <v>21.854397582359152</v>
      </c>
      <c r="D78" s="16">
        <v>21.854397582359152</v>
      </c>
      <c r="E78" s="16">
        <v>21.854397582359152</v>
      </c>
      <c r="F78" s="16">
        <v>21.854397582359152</v>
      </c>
      <c r="G78" s="16">
        <v>21.854397582359152</v>
      </c>
      <c r="H78" s="16">
        <v>21.854397582359152</v>
      </c>
      <c r="I78" s="16">
        <v>21.854397582359152</v>
      </c>
      <c r="J78" s="16">
        <v>21.854397582359152</v>
      </c>
    </row>
    <row r="79" spans="1:10">
      <c r="A79" t="s">
        <v>486</v>
      </c>
      <c r="B79" t="s">
        <v>171</v>
      </c>
      <c r="C79" s="16">
        <v>18.833878065083098</v>
      </c>
      <c r="D79" s="16">
        <v>18.833878065083098</v>
      </c>
      <c r="E79" s="16">
        <v>18.833878065083098</v>
      </c>
      <c r="F79" s="16">
        <v>18.833878065083098</v>
      </c>
      <c r="G79" s="16">
        <v>18.833878065083098</v>
      </c>
      <c r="H79" s="16">
        <v>18.833878065083098</v>
      </c>
      <c r="I79" s="16">
        <v>18.833878065083098</v>
      </c>
      <c r="J79" s="16">
        <v>18.833878065083098</v>
      </c>
    </row>
    <row r="80" spans="1:10">
      <c r="A80" t="s">
        <v>484</v>
      </c>
      <c r="B80" t="s">
        <v>171</v>
      </c>
      <c r="C80" s="16">
        <v>20.563687329473201</v>
      </c>
      <c r="D80" s="16">
        <v>20.563687329473151</v>
      </c>
      <c r="E80" s="16">
        <v>20.563687329473151</v>
      </c>
      <c r="F80" s="16">
        <v>20.563687329473151</v>
      </c>
      <c r="G80" s="16">
        <v>20.563687329473151</v>
      </c>
      <c r="H80" s="16">
        <v>20.563687329473151</v>
      </c>
      <c r="I80" s="16">
        <v>20.563687329473151</v>
      </c>
      <c r="J80" s="16">
        <v>20.563687329473151</v>
      </c>
    </row>
    <row r="81" spans="1:10">
      <c r="A81" t="s">
        <v>480</v>
      </c>
      <c r="B81" t="s">
        <v>171</v>
      </c>
      <c r="C81" s="16">
        <v>0.2350942481676</v>
      </c>
      <c r="D81" s="16">
        <v>0.2350942481676</v>
      </c>
      <c r="E81" s="16">
        <v>0.2350942481676</v>
      </c>
      <c r="F81" s="16">
        <v>0.2350942481676</v>
      </c>
      <c r="G81" s="16">
        <v>0.2350942481676</v>
      </c>
      <c r="H81" s="16">
        <v>0.2350942481676</v>
      </c>
      <c r="I81" s="16">
        <v>0.2350942481676</v>
      </c>
      <c r="J81" s="16">
        <v>0.2350942481676</v>
      </c>
    </row>
    <row r="82" spans="1:10">
      <c r="A82" t="s">
        <v>479</v>
      </c>
      <c r="B82" t="s">
        <v>171</v>
      </c>
      <c r="C82" s="16">
        <v>3.5975820382213799</v>
      </c>
      <c r="D82" s="16">
        <v>3.5975820382213799</v>
      </c>
      <c r="E82" s="16">
        <v>3.5975820382213799</v>
      </c>
      <c r="F82" s="16">
        <v>3.5975820382213799</v>
      </c>
      <c r="G82" s="16">
        <v>3.5975820382213799</v>
      </c>
      <c r="H82" s="16">
        <v>3.5975820382213799</v>
      </c>
      <c r="I82" s="16">
        <v>3.5975820382213799</v>
      </c>
      <c r="J82" s="16">
        <v>3.5975820382213799</v>
      </c>
    </row>
    <row r="83" spans="1:10">
      <c r="A83" t="s">
        <v>481</v>
      </c>
      <c r="B83" t="s">
        <v>171</v>
      </c>
      <c r="C83" s="16">
        <v>0.2350942481676</v>
      </c>
      <c r="D83" s="16">
        <v>0.2350942481676</v>
      </c>
      <c r="E83" s="16">
        <v>0.2350942481676</v>
      </c>
      <c r="F83" s="16">
        <v>0.2350942481676</v>
      </c>
      <c r="G83" s="16">
        <v>0.2350942481676</v>
      </c>
      <c r="H83" s="16">
        <v>0.2350942481676</v>
      </c>
      <c r="I83" s="16">
        <v>0.2350942481676</v>
      </c>
      <c r="J83" s="16">
        <v>0.2350942481676</v>
      </c>
    </row>
    <row r="84" spans="1:10">
      <c r="A84" t="s">
        <v>485</v>
      </c>
      <c r="B84" t="s">
        <v>171</v>
      </c>
      <c r="C84" s="16">
        <v>15.6746808356363</v>
      </c>
      <c r="D84" s="16">
        <v>15.6746808356363</v>
      </c>
      <c r="E84" s="16">
        <v>15.6746808356363</v>
      </c>
      <c r="F84" s="16">
        <v>15.6746808356363</v>
      </c>
      <c r="G84" s="16">
        <v>15.6746808356363</v>
      </c>
      <c r="H84" s="16">
        <v>15.6746808356363</v>
      </c>
      <c r="I84" s="16">
        <v>15.6746808356363</v>
      </c>
      <c r="J84" s="16">
        <v>15.6746808356363</v>
      </c>
    </row>
    <row r="85" spans="1:10">
      <c r="A85" t="s">
        <v>487</v>
      </c>
      <c r="B85" t="s">
        <v>99</v>
      </c>
      <c r="C85" s="46">
        <v>2.3999999999999998E-3</v>
      </c>
      <c r="D85" s="46">
        <v>2.3999999999999998E-3</v>
      </c>
      <c r="E85" s="46">
        <v>2.3999999999999998E-3</v>
      </c>
      <c r="F85" s="46">
        <v>2.3999999999999998E-3</v>
      </c>
      <c r="G85" s="46">
        <v>2.3999999999999998E-3</v>
      </c>
      <c r="H85" s="46">
        <v>2.3999999999999998E-3</v>
      </c>
      <c r="I85" s="46">
        <v>2.3999999999999998E-3</v>
      </c>
      <c r="J85" s="46">
        <v>2.3999999999999998E-3</v>
      </c>
    </row>
    <row r="86" spans="1:10">
      <c r="A86" t="s">
        <v>486</v>
      </c>
      <c r="B86" t="s">
        <v>99</v>
      </c>
      <c r="C86" s="46">
        <v>7.9699999999999997E-3</v>
      </c>
      <c r="D86" s="46">
        <v>7.9699999999999997E-3</v>
      </c>
      <c r="E86" s="46">
        <v>7.9699999999999997E-3</v>
      </c>
      <c r="F86" s="46">
        <v>7.9699999999999997E-3</v>
      </c>
      <c r="G86" s="46">
        <v>7.9699999999999997E-3</v>
      </c>
      <c r="H86" s="46">
        <v>7.9699999999999997E-3</v>
      </c>
      <c r="I86" s="46">
        <v>7.9699999999999997E-3</v>
      </c>
      <c r="J86" s="46">
        <v>7.9699999999999997E-3</v>
      </c>
    </row>
    <row r="87" spans="1:10">
      <c r="A87" t="s">
        <v>484</v>
      </c>
      <c r="B87" t="s">
        <v>99</v>
      </c>
      <c r="C87" s="46">
        <v>2.0000000000000001E-4</v>
      </c>
      <c r="D87" s="46">
        <v>2.0000000000000001E-4</v>
      </c>
      <c r="E87" s="46">
        <v>2.0000000000000001E-4</v>
      </c>
      <c r="F87" s="46">
        <v>2.0000000000000001E-4</v>
      </c>
      <c r="G87" s="46">
        <v>2.0000000000000001E-4</v>
      </c>
      <c r="H87" s="46">
        <v>2.0000000000000001E-4</v>
      </c>
      <c r="I87" s="46">
        <v>2.0000000000000001E-4</v>
      </c>
      <c r="J87" s="46">
        <v>2.0000000000000001E-4</v>
      </c>
    </row>
    <row r="88" spans="1:10">
      <c r="C88" s="8"/>
      <c r="D88" s="8"/>
      <c r="E88" s="8"/>
      <c r="F88" s="8"/>
      <c r="G88" s="8"/>
      <c r="H88" s="8"/>
      <c r="I88" s="8"/>
      <c r="J88" s="8"/>
    </row>
    <row r="89" spans="1:10">
      <c r="C89" s="8"/>
      <c r="D89" s="8"/>
      <c r="E89" s="8"/>
      <c r="F89" s="8"/>
      <c r="G89" s="8"/>
      <c r="H89" s="8"/>
      <c r="I89" s="8"/>
      <c r="J89" s="8"/>
    </row>
    <row r="90" spans="1:10">
      <c r="C90" s="8"/>
      <c r="D90" s="8"/>
      <c r="E90" s="8"/>
      <c r="F90" s="8"/>
      <c r="G90" s="8"/>
      <c r="H90" s="8"/>
      <c r="I90" s="8"/>
      <c r="J90" s="8"/>
    </row>
    <row r="91" spans="1:10">
      <c r="C91" s="8"/>
      <c r="D91" s="8"/>
      <c r="E91" s="8"/>
      <c r="F91" s="8"/>
      <c r="G91" s="8"/>
      <c r="H91" s="8"/>
      <c r="I91" s="8"/>
      <c r="J91" s="8"/>
    </row>
    <row r="92" spans="1:10">
      <c r="C92" s="8"/>
      <c r="D92" s="8"/>
      <c r="E92" s="8"/>
      <c r="F92" s="8"/>
      <c r="G92" s="8"/>
      <c r="H92" s="8"/>
      <c r="I92" s="8"/>
      <c r="J92" s="8"/>
    </row>
    <row r="93" spans="1:10">
      <c r="C93" s="8"/>
      <c r="D93" s="8"/>
      <c r="E93" s="8"/>
      <c r="F93" s="8"/>
      <c r="G93" s="8"/>
      <c r="H93" s="8"/>
      <c r="I93" s="8"/>
      <c r="J93" s="8"/>
    </row>
    <row r="94" spans="1:10">
      <c r="C94" s="8"/>
      <c r="D94" s="8"/>
      <c r="E94" s="8"/>
      <c r="F94" s="8"/>
      <c r="G94" s="8"/>
      <c r="H94" s="8"/>
      <c r="I94" s="8"/>
      <c r="J94" s="8"/>
    </row>
    <row r="95" spans="1:10">
      <c r="C95" s="8"/>
      <c r="D95" s="8"/>
      <c r="E95" s="8"/>
      <c r="F95" s="8"/>
      <c r="G95" s="8"/>
      <c r="H95" s="8"/>
      <c r="I95" s="8"/>
      <c r="J95" s="8"/>
    </row>
    <row r="96" spans="1:10">
      <c r="C96" s="8"/>
      <c r="D96" s="8"/>
      <c r="E96" s="8"/>
      <c r="F96" s="8"/>
      <c r="G96" s="8"/>
      <c r="H96" s="8"/>
      <c r="I96" s="8"/>
      <c r="J96" s="8"/>
    </row>
    <row r="97" spans="3:10">
      <c r="C97" s="8"/>
      <c r="D97" s="8"/>
      <c r="E97" s="8"/>
      <c r="F97" s="8"/>
      <c r="G97" s="8"/>
      <c r="H97" s="8"/>
      <c r="I97" s="8"/>
      <c r="J97" s="8"/>
    </row>
    <row r="98" spans="3:10">
      <c r="C98" s="8"/>
      <c r="D98" s="8"/>
      <c r="E98" s="8"/>
      <c r="F98" s="8"/>
      <c r="G98" s="8"/>
      <c r="H98" s="8"/>
      <c r="I98" s="8"/>
      <c r="J98" s="8"/>
    </row>
    <row r="99" spans="3:10">
      <c r="C99" s="8"/>
      <c r="D99" s="8"/>
      <c r="E99" s="8"/>
      <c r="F99" s="8"/>
      <c r="G99" s="8"/>
      <c r="H99" s="8"/>
      <c r="I99" s="8"/>
      <c r="J99" s="8"/>
    </row>
    <row r="100" spans="3:10">
      <c r="C100" s="8"/>
      <c r="D100" s="8"/>
      <c r="E100" s="8"/>
      <c r="F100" s="8"/>
      <c r="G100" s="8"/>
      <c r="H100" s="8"/>
      <c r="I100" s="8"/>
      <c r="J100" s="8"/>
    </row>
    <row r="101" spans="3:10">
      <c r="C101" s="8"/>
      <c r="D101" s="8"/>
      <c r="E101" s="8"/>
      <c r="F101" s="8"/>
      <c r="G101" s="8"/>
      <c r="H101" s="8"/>
      <c r="I101" s="8"/>
      <c r="J101" s="8"/>
    </row>
    <row r="102" spans="3:10">
      <c r="C102" s="8"/>
      <c r="D102" s="8"/>
      <c r="E102" s="8"/>
      <c r="F102" s="8"/>
      <c r="G102" s="8"/>
      <c r="H102" s="8"/>
      <c r="I102" s="8"/>
      <c r="J102" s="8"/>
    </row>
    <row r="103" spans="3:10">
      <c r="C103" s="8"/>
      <c r="D103" s="8"/>
      <c r="E103" s="8"/>
      <c r="F103" s="8"/>
      <c r="G103" s="8"/>
      <c r="H103" s="8"/>
      <c r="I103" s="8"/>
      <c r="J103" s="8"/>
    </row>
    <row r="104" spans="3:10">
      <c r="C104" s="8"/>
      <c r="D104" s="8"/>
      <c r="E104" s="8"/>
      <c r="F104" s="8"/>
      <c r="G104" s="8"/>
      <c r="H104" s="8"/>
      <c r="I104" s="8"/>
      <c r="J104" s="8"/>
    </row>
    <row r="105" spans="3:10">
      <c r="C105" s="8"/>
      <c r="D105" s="8"/>
      <c r="E105" s="8"/>
      <c r="F105" s="8"/>
      <c r="G105" s="8"/>
      <c r="H105" s="8"/>
      <c r="I105" s="8"/>
      <c r="J105" s="8"/>
    </row>
    <row r="106" spans="3:10">
      <c r="C106" s="8"/>
      <c r="D106" s="8"/>
      <c r="E106" s="8"/>
      <c r="F106" s="8"/>
      <c r="G106" s="8"/>
      <c r="H106" s="8"/>
      <c r="I106" s="8"/>
      <c r="J106" s="8"/>
    </row>
    <row r="107" spans="3:10">
      <c r="C107" s="8"/>
      <c r="D107" s="8"/>
      <c r="E107" s="8"/>
      <c r="F107" s="8"/>
      <c r="G107" s="8"/>
      <c r="H107" s="8"/>
      <c r="I107" s="8"/>
      <c r="J107" s="8"/>
    </row>
    <row r="108" spans="3:10">
      <c r="C108" s="8"/>
      <c r="D108" s="8"/>
      <c r="E108" s="8"/>
      <c r="F108" s="8"/>
      <c r="G108" s="8"/>
      <c r="H108" s="8"/>
      <c r="I108" s="8"/>
      <c r="J108" s="8"/>
    </row>
    <row r="109" spans="3:10">
      <c r="C109" s="8"/>
      <c r="D109" s="8"/>
      <c r="E109" s="8"/>
      <c r="F109" s="8"/>
      <c r="G109" s="8"/>
      <c r="H109" s="8"/>
      <c r="I109" s="8"/>
      <c r="J109" s="8"/>
    </row>
    <row r="110" spans="3:10">
      <c r="C110" s="8"/>
      <c r="D110" s="8"/>
      <c r="E110" s="8"/>
      <c r="F110" s="8"/>
      <c r="G110" s="8"/>
      <c r="H110" s="8"/>
      <c r="I110" s="8"/>
      <c r="J110" s="8"/>
    </row>
    <row r="111" spans="3:10">
      <c r="C111" s="8"/>
      <c r="D111" s="8"/>
      <c r="E111" s="8"/>
      <c r="F111" s="8"/>
      <c r="G111" s="8"/>
      <c r="H111" s="8"/>
      <c r="I111" s="8"/>
      <c r="J111" s="8"/>
    </row>
    <row r="112" spans="3:10">
      <c r="C112" s="8"/>
      <c r="D112" s="8"/>
      <c r="E112" s="8"/>
      <c r="F112" s="8"/>
      <c r="G112" s="8"/>
      <c r="H112" s="8"/>
      <c r="I112" s="8"/>
      <c r="J112" s="8"/>
    </row>
    <row r="113" spans="3:10">
      <c r="C113" s="8"/>
      <c r="D113" s="8"/>
      <c r="E113" s="8"/>
      <c r="F113" s="8"/>
      <c r="G113" s="8"/>
      <c r="H113" s="8"/>
      <c r="I113" s="8"/>
      <c r="J113" s="8"/>
    </row>
    <row r="114" spans="3:10">
      <c r="C114" s="8"/>
      <c r="D114" s="8"/>
      <c r="E114" s="8"/>
      <c r="F114" s="8"/>
      <c r="G114" s="8"/>
      <c r="H114" s="8"/>
      <c r="I114" s="8"/>
      <c r="J114" s="8"/>
    </row>
    <row r="115" spans="3:10">
      <c r="C115" s="8"/>
      <c r="D115" s="8"/>
      <c r="E115" s="8"/>
      <c r="F115" s="8"/>
      <c r="G115" s="8"/>
      <c r="H115" s="8"/>
      <c r="I115" s="8"/>
      <c r="J115" s="8"/>
    </row>
    <row r="116" spans="3:10">
      <c r="C116" s="8"/>
      <c r="D116" s="8"/>
      <c r="E116" s="8"/>
      <c r="F116" s="8"/>
      <c r="G116" s="8"/>
      <c r="H116" s="8"/>
      <c r="I116" s="8"/>
      <c r="J116" s="8"/>
    </row>
    <row r="117" spans="3:10">
      <c r="C117" s="8"/>
      <c r="D117" s="8"/>
      <c r="E117" s="8"/>
      <c r="F117" s="8"/>
      <c r="G117" s="8"/>
      <c r="H117" s="8"/>
      <c r="I117" s="8"/>
      <c r="J117" s="8"/>
    </row>
    <row r="118" spans="3:10">
      <c r="C118" s="8"/>
      <c r="D118" s="8"/>
      <c r="E118" s="8"/>
      <c r="F118" s="8"/>
      <c r="G118" s="8"/>
      <c r="H118" s="8"/>
      <c r="I118" s="8"/>
      <c r="J118" s="8"/>
    </row>
    <row r="119" spans="3:10">
      <c r="C119" s="8"/>
      <c r="D119" s="8"/>
      <c r="E119" s="8"/>
      <c r="F119" s="8"/>
      <c r="G119" s="8"/>
      <c r="H119" s="8"/>
      <c r="I119" s="8"/>
      <c r="J119" s="8"/>
    </row>
    <row r="120" spans="3:10">
      <c r="C120" s="8"/>
      <c r="D120" s="8"/>
      <c r="E120" s="8"/>
      <c r="F120" s="8"/>
      <c r="G120" s="8"/>
      <c r="H120" s="8"/>
      <c r="I120" s="8"/>
      <c r="J120" s="8"/>
    </row>
    <row r="121" spans="3:10">
      <c r="C121" s="8"/>
      <c r="D121" s="8"/>
      <c r="E121" s="8"/>
      <c r="F121" s="8"/>
      <c r="G121" s="8"/>
      <c r="H121" s="8"/>
      <c r="I121" s="8"/>
      <c r="J121" s="8"/>
    </row>
    <row r="122" spans="3:10">
      <c r="C122" s="8"/>
      <c r="D122" s="8"/>
      <c r="E122" s="8"/>
      <c r="F122" s="8"/>
      <c r="G122" s="8"/>
      <c r="H122" s="8"/>
      <c r="I122" s="8"/>
      <c r="J122" s="8"/>
    </row>
    <row r="123" spans="3:10">
      <c r="C123" s="8"/>
      <c r="D123" s="8"/>
      <c r="E123" s="8"/>
      <c r="F123" s="8"/>
      <c r="G123" s="8"/>
      <c r="H123" s="8"/>
      <c r="I123" s="8"/>
      <c r="J123" s="8"/>
    </row>
    <row r="124" spans="3:10">
      <c r="C124" s="8"/>
      <c r="D124" s="8"/>
      <c r="E124" s="8"/>
      <c r="F124" s="8"/>
      <c r="G124" s="8"/>
      <c r="H124" s="8"/>
      <c r="I124" s="8"/>
      <c r="J124" s="8"/>
    </row>
    <row r="125" spans="3:10">
      <c r="C125" s="8"/>
      <c r="D125" s="8"/>
      <c r="E125" s="8"/>
      <c r="F125" s="8"/>
      <c r="G125" s="8"/>
      <c r="H125" s="8"/>
      <c r="I125" s="8"/>
      <c r="J125" s="8"/>
    </row>
    <row r="126" spans="3:10">
      <c r="C126" s="8"/>
      <c r="D126" s="8"/>
      <c r="E126" s="8"/>
      <c r="F126" s="8"/>
      <c r="G126" s="8"/>
      <c r="H126" s="8"/>
      <c r="I126" s="8"/>
      <c r="J126" s="8"/>
    </row>
    <row r="127" spans="3:10">
      <c r="C127" s="8"/>
      <c r="D127" s="8"/>
      <c r="E127" s="8"/>
      <c r="F127" s="8"/>
      <c r="G127" s="8"/>
      <c r="H127" s="8"/>
      <c r="I127" s="8"/>
      <c r="J127" s="8"/>
    </row>
    <row r="128" spans="3:10">
      <c r="C128" s="8"/>
      <c r="D128" s="8"/>
      <c r="E128" s="8"/>
      <c r="F128" s="8"/>
      <c r="G128" s="8"/>
      <c r="H128" s="8"/>
      <c r="I128" s="8"/>
      <c r="J128" s="8"/>
    </row>
    <row r="129" spans="3:10">
      <c r="C129" s="8"/>
      <c r="D129" s="8"/>
      <c r="E129" s="8"/>
      <c r="F129" s="8"/>
      <c r="G129" s="8"/>
      <c r="H129" s="8"/>
      <c r="I129" s="8"/>
      <c r="J129" s="8"/>
    </row>
    <row r="130" spans="3:10">
      <c r="C130" s="8"/>
      <c r="D130" s="8"/>
      <c r="E130" s="8"/>
      <c r="F130" s="8"/>
      <c r="G130" s="8"/>
      <c r="H130" s="8"/>
      <c r="I130" s="8"/>
      <c r="J130" s="8"/>
    </row>
    <row r="131" spans="3:10">
      <c r="C131" s="8"/>
      <c r="D131" s="8"/>
      <c r="E131" s="8"/>
      <c r="F131" s="8"/>
      <c r="G131" s="8"/>
      <c r="H131" s="8"/>
      <c r="I131" s="8"/>
      <c r="J131" s="8"/>
    </row>
    <row r="132" spans="3:10">
      <c r="C132" s="8"/>
      <c r="D132" s="8"/>
      <c r="E132" s="8"/>
      <c r="F132" s="8"/>
      <c r="G132" s="8"/>
      <c r="H132" s="8"/>
      <c r="I132" s="8"/>
      <c r="J132" s="8"/>
    </row>
    <row r="133" spans="3:10">
      <c r="C133" s="8"/>
      <c r="D133" s="8"/>
      <c r="E133" s="8"/>
      <c r="F133" s="8"/>
      <c r="G133" s="8"/>
      <c r="H133" s="8"/>
      <c r="I133" s="8"/>
      <c r="J133" s="8"/>
    </row>
    <row r="134" spans="3:10">
      <c r="C134" s="8"/>
      <c r="D134" s="8"/>
      <c r="E134" s="8"/>
      <c r="F134" s="8"/>
      <c r="G134" s="8"/>
      <c r="H134" s="8"/>
      <c r="I134" s="8"/>
      <c r="J134" s="8"/>
    </row>
    <row r="135" spans="3:10">
      <c r="C135" s="8"/>
      <c r="D135" s="8"/>
      <c r="E135" s="8"/>
      <c r="F135" s="8"/>
      <c r="G135" s="8"/>
      <c r="H135" s="8"/>
      <c r="I135" s="8"/>
      <c r="J135" s="8"/>
    </row>
    <row r="136" spans="3:10">
      <c r="C136" s="8"/>
      <c r="D136" s="8"/>
      <c r="E136" s="8"/>
      <c r="F136" s="8"/>
      <c r="G136" s="8"/>
      <c r="H136" s="8"/>
      <c r="I136" s="8"/>
      <c r="J136" s="8"/>
    </row>
    <row r="137" spans="3:10">
      <c r="C137" s="8"/>
      <c r="D137" s="8"/>
      <c r="E137" s="8"/>
      <c r="F137" s="8"/>
      <c r="G137" s="8"/>
      <c r="H137" s="8"/>
      <c r="I137" s="8"/>
      <c r="J137" s="8"/>
    </row>
    <row r="138" spans="3:10">
      <c r="C138" s="8"/>
      <c r="D138" s="8"/>
      <c r="E138" s="8"/>
      <c r="F138" s="8"/>
      <c r="G138" s="8"/>
      <c r="H138" s="8"/>
      <c r="I138" s="8"/>
      <c r="J138" s="8"/>
    </row>
    <row r="139" spans="3:10">
      <c r="C139" s="8"/>
      <c r="D139" s="8"/>
      <c r="E139" s="8"/>
      <c r="F139" s="8"/>
      <c r="G139" s="8"/>
      <c r="H139" s="8"/>
      <c r="I139" s="8"/>
      <c r="J139" s="8"/>
    </row>
    <row r="140" spans="3:10">
      <c r="C140" s="8"/>
      <c r="D140" s="8"/>
      <c r="E140" s="8"/>
      <c r="F140" s="8"/>
      <c r="G140" s="8"/>
      <c r="H140" s="8"/>
      <c r="I140" s="8"/>
      <c r="J140" s="8"/>
    </row>
    <row r="141" spans="3:10">
      <c r="C141" s="8"/>
      <c r="D141" s="8"/>
      <c r="E141" s="8"/>
      <c r="F141" s="8"/>
      <c r="G141" s="8"/>
      <c r="H141" s="8"/>
      <c r="I141" s="8"/>
      <c r="J141" s="8"/>
    </row>
    <row r="142" spans="3:10">
      <c r="C142" s="8"/>
      <c r="D142" s="8"/>
      <c r="E142" s="8"/>
      <c r="F142" s="8"/>
      <c r="G142" s="8"/>
      <c r="H142" s="8"/>
      <c r="I142" s="8"/>
      <c r="J142" s="8"/>
    </row>
    <row r="143" spans="3:10">
      <c r="C143" s="8"/>
      <c r="D143" s="8"/>
      <c r="E143" s="8"/>
      <c r="F143" s="8"/>
      <c r="G143" s="8"/>
      <c r="H143" s="8"/>
      <c r="I143" s="8"/>
      <c r="J143" s="8"/>
    </row>
    <row r="144" spans="3:10">
      <c r="C144" s="8"/>
      <c r="D144" s="8"/>
      <c r="E144" s="8"/>
      <c r="F144" s="8"/>
      <c r="G144" s="8"/>
      <c r="H144" s="8"/>
      <c r="I144" s="8"/>
      <c r="J144" s="8"/>
    </row>
    <row r="145" spans="3:10">
      <c r="C145" s="8"/>
      <c r="D145" s="8"/>
      <c r="E145" s="8"/>
      <c r="F145" s="8"/>
      <c r="G145" s="8"/>
      <c r="H145" s="8"/>
      <c r="I145" s="8"/>
      <c r="J145" s="8"/>
    </row>
    <row r="146" spans="3:10">
      <c r="C146" s="8"/>
      <c r="D146" s="8"/>
      <c r="E146" s="8"/>
      <c r="F146" s="8"/>
      <c r="G146" s="8"/>
      <c r="H146" s="8"/>
      <c r="I146" s="8"/>
      <c r="J146" s="8"/>
    </row>
    <row r="147" spans="3:10">
      <c r="C147" s="8"/>
      <c r="D147" s="8"/>
      <c r="E147" s="8"/>
      <c r="F147" s="8"/>
      <c r="G147" s="8"/>
      <c r="H147" s="8"/>
      <c r="I147" s="8"/>
      <c r="J147" s="8"/>
    </row>
    <row r="148" spans="3:10">
      <c r="C148" s="8"/>
      <c r="D148" s="8"/>
      <c r="E148" s="8"/>
      <c r="F148" s="8"/>
      <c r="G148" s="8"/>
      <c r="H148" s="8"/>
      <c r="I148" s="8"/>
      <c r="J148" s="8"/>
    </row>
    <row r="149" spans="3:10">
      <c r="C149" s="8"/>
      <c r="D149" s="8"/>
      <c r="E149" s="8"/>
      <c r="F149" s="8"/>
      <c r="G149" s="8"/>
      <c r="H149" s="8"/>
      <c r="I149" s="8"/>
      <c r="J149" s="8"/>
    </row>
    <row r="150" spans="3:10">
      <c r="C150" s="8"/>
      <c r="D150" s="8"/>
      <c r="E150" s="8"/>
      <c r="F150" s="8"/>
      <c r="G150" s="8"/>
      <c r="H150" s="8"/>
      <c r="I150" s="8"/>
      <c r="J150" s="8"/>
    </row>
    <row r="151" spans="3:10">
      <c r="C151" s="8"/>
      <c r="D151" s="8"/>
      <c r="E151" s="8"/>
      <c r="F151" s="8"/>
      <c r="G151" s="8"/>
      <c r="H151" s="8"/>
      <c r="I151" s="8"/>
      <c r="J151" s="8"/>
    </row>
    <row r="152" spans="3:10">
      <c r="C152" s="8"/>
      <c r="D152" s="8"/>
      <c r="E152" s="8"/>
      <c r="F152" s="8"/>
      <c r="G152" s="8"/>
      <c r="H152" s="8"/>
      <c r="I152" s="8"/>
      <c r="J152" s="8"/>
    </row>
    <row r="153" spans="3:10">
      <c r="C153" s="8"/>
      <c r="D153" s="8"/>
      <c r="E153" s="8"/>
      <c r="F153" s="8"/>
      <c r="G153" s="8"/>
      <c r="H153" s="8"/>
      <c r="I153" s="8"/>
      <c r="J153" s="8"/>
    </row>
    <row r="154" spans="3:10">
      <c r="C154" s="8"/>
      <c r="D154" s="8"/>
      <c r="E154" s="8"/>
      <c r="F154" s="8"/>
      <c r="G154" s="8"/>
      <c r="H154" s="8"/>
      <c r="I154" s="8"/>
      <c r="J154" s="8"/>
    </row>
    <row r="155" spans="3:10">
      <c r="C155" s="8"/>
      <c r="D155" s="8"/>
      <c r="E155" s="8"/>
      <c r="F155" s="8"/>
      <c r="G155" s="8"/>
      <c r="H155" s="8"/>
      <c r="I155" s="8"/>
      <c r="J155" s="8"/>
    </row>
    <row r="156" spans="3:10">
      <c r="C156" s="8"/>
      <c r="D156" s="8"/>
      <c r="E156" s="8"/>
      <c r="F156" s="8"/>
      <c r="G156" s="8"/>
      <c r="H156" s="8"/>
      <c r="I156" s="8"/>
      <c r="J156" s="8"/>
    </row>
    <row r="157" spans="3:10">
      <c r="C157" s="8"/>
      <c r="D157" s="8"/>
      <c r="E157" s="8"/>
      <c r="F157" s="8"/>
      <c r="G157" s="8"/>
      <c r="H157" s="8"/>
      <c r="I157" s="8"/>
      <c r="J157" s="8"/>
    </row>
    <row r="158" spans="3:10">
      <c r="C158" s="8"/>
      <c r="D158" s="8"/>
      <c r="E158" s="8"/>
      <c r="F158" s="8"/>
      <c r="G158" s="8"/>
      <c r="H158" s="8"/>
      <c r="I158" s="8"/>
      <c r="J158" s="8"/>
    </row>
    <row r="159" spans="3:10">
      <c r="C159" s="8"/>
      <c r="D159" s="8"/>
      <c r="E159" s="8"/>
      <c r="F159" s="8"/>
      <c r="G159" s="8"/>
      <c r="H159" s="8"/>
      <c r="I159" s="8"/>
      <c r="J159" s="8"/>
    </row>
    <row r="160" spans="3:10">
      <c r="C160" s="8"/>
      <c r="D160" s="8"/>
      <c r="E160" s="8"/>
      <c r="F160" s="8"/>
      <c r="G160" s="8"/>
      <c r="H160" s="8"/>
      <c r="I160" s="8"/>
      <c r="J160" s="8"/>
    </row>
    <row r="161" spans="3:10">
      <c r="C161" s="8"/>
      <c r="D161" s="8"/>
      <c r="E161" s="8"/>
      <c r="F161" s="8"/>
      <c r="G161" s="8"/>
      <c r="H161" s="8"/>
      <c r="I161" s="8"/>
      <c r="J161" s="8"/>
    </row>
    <row r="162" spans="3:10">
      <c r="C162" s="8"/>
      <c r="D162" s="8"/>
      <c r="E162" s="8"/>
      <c r="F162" s="8"/>
      <c r="G162" s="8"/>
      <c r="H162" s="8"/>
      <c r="I162" s="8"/>
      <c r="J162" s="8"/>
    </row>
    <row r="163" spans="3:10">
      <c r="C163" s="8"/>
      <c r="D163" s="8"/>
      <c r="E163" s="8"/>
      <c r="F163" s="8"/>
      <c r="G163" s="8"/>
      <c r="H163" s="8"/>
      <c r="I163" s="8"/>
      <c r="J163" s="8"/>
    </row>
    <row r="164" spans="3:10">
      <c r="C164" s="8"/>
      <c r="D164" s="8"/>
      <c r="E164" s="8"/>
      <c r="F164" s="8"/>
      <c r="G164" s="8"/>
      <c r="H164" s="8"/>
      <c r="I164" s="8"/>
      <c r="J164" s="8"/>
    </row>
    <row r="165" spans="3:10">
      <c r="C165" s="8"/>
      <c r="D165" s="8"/>
      <c r="E165" s="8"/>
      <c r="F165" s="8"/>
      <c r="G165" s="8"/>
      <c r="H165" s="8"/>
      <c r="I165" s="8"/>
      <c r="J165" s="8"/>
    </row>
    <row r="166" spans="3:10">
      <c r="C166" s="8"/>
      <c r="D166" s="8"/>
      <c r="E166" s="8"/>
      <c r="F166" s="8"/>
      <c r="G166" s="8"/>
      <c r="H166" s="8"/>
      <c r="I166" s="8"/>
      <c r="J166" s="8"/>
    </row>
    <row r="167" spans="3:10">
      <c r="C167" s="8"/>
      <c r="D167" s="8"/>
      <c r="E167" s="8"/>
      <c r="F167" s="8"/>
      <c r="G167" s="8"/>
      <c r="H167" s="8"/>
      <c r="I167" s="8"/>
      <c r="J167" s="8"/>
    </row>
    <row r="168" spans="3:10">
      <c r="C168" s="8"/>
      <c r="D168" s="8"/>
      <c r="E168" s="8"/>
      <c r="F168" s="8"/>
      <c r="G168" s="8"/>
      <c r="H168" s="8"/>
      <c r="I168" s="8"/>
      <c r="J168" s="8"/>
    </row>
    <row r="169" spans="3:10">
      <c r="C169" s="8"/>
      <c r="D169" s="8"/>
      <c r="E169" s="8"/>
      <c r="F169" s="8"/>
      <c r="G169" s="8"/>
      <c r="H169" s="8"/>
      <c r="I169" s="8"/>
      <c r="J169" s="8"/>
    </row>
    <row r="170" spans="3:10">
      <c r="C170" s="8"/>
      <c r="D170" s="8"/>
      <c r="E170" s="8"/>
      <c r="F170" s="8"/>
      <c r="G170" s="8"/>
      <c r="H170" s="8"/>
      <c r="I170" s="8"/>
      <c r="J170" s="8"/>
    </row>
    <row r="171" spans="3:10">
      <c r="C171" s="8"/>
      <c r="D171" s="8"/>
      <c r="E171" s="8"/>
      <c r="F171" s="8"/>
      <c r="G171" s="8"/>
      <c r="H171" s="8"/>
      <c r="I171" s="8"/>
      <c r="J171" s="8"/>
    </row>
    <row r="172" spans="3:10">
      <c r="C172" s="8"/>
      <c r="D172" s="8"/>
      <c r="E172" s="8"/>
      <c r="F172" s="8"/>
      <c r="G172" s="8"/>
      <c r="H172" s="8"/>
      <c r="I172" s="8"/>
      <c r="J172" s="8"/>
    </row>
    <row r="173" spans="3:10">
      <c r="C173" s="8"/>
      <c r="D173" s="8"/>
      <c r="E173" s="8"/>
      <c r="F173" s="8"/>
      <c r="G173" s="8"/>
      <c r="H173" s="8"/>
      <c r="I173" s="8"/>
      <c r="J173" s="8"/>
    </row>
    <row r="174" spans="3:10">
      <c r="C174" s="8"/>
      <c r="D174" s="8"/>
      <c r="E174" s="8"/>
      <c r="F174" s="8"/>
      <c r="G174" s="8"/>
      <c r="H174" s="8"/>
      <c r="I174" s="8"/>
      <c r="J174" s="8"/>
    </row>
    <row r="175" spans="3:10">
      <c r="C175" s="8"/>
      <c r="D175" s="8"/>
      <c r="E175" s="8"/>
      <c r="F175" s="8"/>
      <c r="G175" s="8"/>
      <c r="H175" s="8"/>
      <c r="I175" s="8"/>
      <c r="J175" s="8"/>
    </row>
    <row r="176" spans="3:10">
      <c r="C176" s="8"/>
      <c r="D176" s="8"/>
      <c r="E176" s="8"/>
      <c r="F176" s="8"/>
      <c r="G176" s="8"/>
      <c r="H176" s="8"/>
      <c r="I176" s="8"/>
      <c r="J176" s="8"/>
    </row>
    <row r="177" spans="3:11">
      <c r="C177" s="8"/>
      <c r="D177" s="8"/>
      <c r="E177" s="8"/>
      <c r="F177" s="8"/>
      <c r="G177" s="8"/>
      <c r="H177" s="8"/>
      <c r="I177" s="8"/>
      <c r="J177" s="8"/>
    </row>
    <row r="178" spans="3:11">
      <c r="C178" s="8"/>
      <c r="D178" s="8"/>
      <c r="E178" s="8"/>
      <c r="F178" s="8"/>
      <c r="G178" s="8"/>
      <c r="H178" s="8"/>
      <c r="I178" s="8"/>
      <c r="J178" s="8"/>
    </row>
    <row r="179" spans="3:11">
      <c r="C179" s="8"/>
      <c r="D179" s="8"/>
      <c r="E179" s="8"/>
      <c r="F179" s="8"/>
      <c r="G179" s="8"/>
      <c r="H179" s="8"/>
      <c r="I179" s="8"/>
      <c r="J179" s="8"/>
    </row>
    <row r="180" spans="3:11">
      <c r="C180" s="8"/>
      <c r="D180" s="8"/>
      <c r="E180" s="8"/>
      <c r="F180" s="8"/>
      <c r="G180" s="8"/>
      <c r="H180" s="8"/>
      <c r="I180" s="8"/>
      <c r="J180" s="8"/>
    </row>
    <row r="181" spans="3:11">
      <c r="C181" s="8"/>
      <c r="D181" s="8"/>
      <c r="E181" s="8"/>
      <c r="F181" s="8"/>
      <c r="G181" s="8"/>
      <c r="H181" s="8"/>
      <c r="I181" s="8"/>
      <c r="J181" s="8"/>
    </row>
    <row r="182" spans="3:11">
      <c r="C182" s="8"/>
      <c r="D182" s="8"/>
      <c r="E182" s="8"/>
      <c r="F182" s="8"/>
      <c r="G182" s="8"/>
      <c r="H182" s="8"/>
      <c r="I182" s="8"/>
      <c r="J182" s="8"/>
    </row>
    <row r="183" spans="3:11">
      <c r="C183" s="8"/>
      <c r="D183" s="8"/>
      <c r="E183" s="8"/>
      <c r="F183" s="8"/>
      <c r="G183" s="8"/>
      <c r="H183" s="8"/>
      <c r="I183" s="8"/>
      <c r="J183" s="8"/>
    </row>
    <row r="184" spans="3:11">
      <c r="C184" s="8"/>
      <c r="D184" s="8"/>
      <c r="E184" s="8"/>
      <c r="F184" s="8"/>
      <c r="G184" s="8"/>
      <c r="H184" s="8"/>
      <c r="I184" s="8"/>
      <c r="J184" s="8"/>
    </row>
    <row r="185" spans="3:11">
      <c r="C185" s="8"/>
      <c r="D185" s="8"/>
      <c r="E185" s="8"/>
      <c r="F185" s="8"/>
      <c r="G185" s="8"/>
      <c r="H185" s="8"/>
      <c r="I185" s="8"/>
      <c r="J185" s="8"/>
    </row>
    <row r="186" spans="3:11">
      <c r="C186" s="8"/>
      <c r="D186" s="8"/>
      <c r="E186" s="8"/>
      <c r="F186" s="8"/>
      <c r="G186" s="8"/>
      <c r="H186" s="8"/>
      <c r="I186" s="8"/>
      <c r="J186" s="8"/>
    </row>
    <row r="187" spans="3:11">
      <c r="C187" s="8"/>
      <c r="D187" s="8"/>
      <c r="E187" s="8"/>
      <c r="F187" s="8"/>
      <c r="G187" s="8"/>
      <c r="H187" s="8"/>
      <c r="I187" s="8"/>
      <c r="J187" s="8"/>
    </row>
    <row r="188" spans="3:11">
      <c r="C188" s="8"/>
      <c r="D188" s="8"/>
      <c r="E188" s="8"/>
      <c r="F188" s="8"/>
      <c r="G188" s="8"/>
      <c r="H188" s="8"/>
      <c r="I188" s="8"/>
      <c r="J188" s="8"/>
      <c r="K188" s="8"/>
    </row>
    <row r="189" spans="3:11">
      <c r="C189" s="8"/>
      <c r="D189" s="8"/>
      <c r="E189" s="8"/>
      <c r="F189" s="8"/>
      <c r="G189" s="8"/>
      <c r="H189" s="8"/>
      <c r="I189" s="8"/>
      <c r="J189" s="8"/>
      <c r="K189" s="8"/>
    </row>
    <row r="190" spans="3:11">
      <c r="C190" s="8"/>
      <c r="D190" s="8"/>
      <c r="E190" s="8"/>
      <c r="F190" s="8"/>
      <c r="G190" s="8"/>
      <c r="H190" s="8"/>
      <c r="I190" s="8"/>
      <c r="J190" s="8"/>
      <c r="K190" s="8"/>
    </row>
    <row r="191" spans="3:11">
      <c r="C191" s="8"/>
      <c r="D191" s="8"/>
      <c r="E191" s="8"/>
      <c r="F191" s="8"/>
      <c r="G191" s="8"/>
      <c r="H191" s="8"/>
      <c r="I191" s="8"/>
      <c r="J191" s="8"/>
      <c r="K191" s="8"/>
    </row>
    <row r="192" spans="3:11">
      <c r="C192" s="8"/>
      <c r="D192" s="8"/>
      <c r="E192" s="8"/>
      <c r="F192" s="8"/>
      <c r="G192" s="8"/>
      <c r="H192" s="8"/>
      <c r="I192" s="8"/>
      <c r="J192" s="8"/>
      <c r="K192" s="8"/>
    </row>
    <row r="193" spans="3:11">
      <c r="C193" s="8"/>
      <c r="D193" s="8"/>
      <c r="E193" s="8"/>
      <c r="F193" s="8"/>
      <c r="G193" s="8"/>
      <c r="H193" s="8"/>
      <c r="I193" s="8"/>
      <c r="J193" s="8"/>
      <c r="K193" s="8"/>
    </row>
    <row r="194" spans="3:11">
      <c r="C194" s="8"/>
      <c r="D194" s="8"/>
      <c r="E194" s="8"/>
      <c r="F194" s="8"/>
      <c r="G194" s="8"/>
      <c r="H194" s="8"/>
      <c r="I194" s="8"/>
      <c r="J194" s="8"/>
      <c r="K194" s="8"/>
    </row>
    <row r="195" spans="3:11">
      <c r="C195" s="8"/>
      <c r="D195" s="8"/>
      <c r="E195" s="8"/>
      <c r="F195" s="8"/>
      <c r="G195" s="8"/>
      <c r="H195" s="8"/>
      <c r="I195" s="8"/>
      <c r="J195" s="8"/>
      <c r="K195" s="8"/>
    </row>
    <row r="196" spans="3:11">
      <c r="C196" s="8"/>
      <c r="D196" s="8"/>
      <c r="E196" s="8"/>
      <c r="F196" s="8"/>
      <c r="G196" s="8"/>
      <c r="H196" s="8"/>
      <c r="I196" s="8"/>
      <c r="J196" s="8"/>
      <c r="K196" s="8"/>
    </row>
    <row r="197" spans="3:11">
      <c r="C197" s="8"/>
      <c r="D197" s="8"/>
      <c r="E197" s="8"/>
      <c r="F197" s="8"/>
      <c r="G197" s="8"/>
      <c r="H197" s="8"/>
      <c r="I197" s="8"/>
      <c r="J197" s="8"/>
      <c r="K197" s="8"/>
    </row>
    <row r="198" spans="3:11">
      <c r="C198" s="8"/>
      <c r="D198" s="8"/>
      <c r="E198" s="8"/>
      <c r="F198" s="8"/>
      <c r="G198" s="8"/>
      <c r="H198" s="8"/>
      <c r="I198" s="8"/>
      <c r="J198" s="8"/>
      <c r="K198" s="8"/>
    </row>
    <row r="199" spans="3:11">
      <c r="C199" s="8"/>
      <c r="D199" s="8"/>
      <c r="E199" s="8"/>
      <c r="F199" s="8"/>
      <c r="G199" s="8"/>
      <c r="H199" s="8"/>
      <c r="I199" s="8"/>
      <c r="J199" s="8"/>
      <c r="K199" s="8"/>
    </row>
    <row r="200" spans="3:11">
      <c r="C200" s="8"/>
      <c r="D200" s="8"/>
      <c r="E200" s="8"/>
      <c r="F200" s="8"/>
      <c r="G200" s="8"/>
      <c r="H200" s="8"/>
      <c r="I200" s="8"/>
      <c r="J200" s="8"/>
      <c r="K200" s="8"/>
    </row>
    <row r="201" spans="3:11">
      <c r="C201" s="8"/>
      <c r="D201" s="8"/>
      <c r="E201" s="8"/>
      <c r="F201" s="8"/>
      <c r="G201" s="8"/>
      <c r="H201" s="8"/>
      <c r="I201" s="8"/>
      <c r="J201" s="8"/>
      <c r="K201" s="8"/>
    </row>
    <row r="202" spans="3:11">
      <c r="C202" s="8"/>
      <c r="D202" s="8"/>
      <c r="E202" s="8"/>
      <c r="F202" s="8"/>
      <c r="G202" s="8"/>
      <c r="H202" s="8"/>
      <c r="I202" s="8"/>
      <c r="J202" s="8"/>
      <c r="K202" s="8"/>
    </row>
    <row r="203" spans="3:11">
      <c r="C203" s="8"/>
      <c r="D203" s="8"/>
      <c r="E203" s="8"/>
      <c r="F203" s="8"/>
      <c r="G203" s="8"/>
      <c r="H203" s="8"/>
      <c r="I203" s="8"/>
      <c r="J203" s="8"/>
      <c r="K203" s="8"/>
    </row>
    <row r="204" spans="3:11">
      <c r="C204" s="8"/>
      <c r="D204" s="8"/>
      <c r="E204" s="8"/>
      <c r="F204" s="8"/>
      <c r="G204" s="8"/>
      <c r="H204" s="8"/>
      <c r="I204" s="8"/>
      <c r="J204" s="8"/>
      <c r="K204" s="8"/>
    </row>
    <row r="205" spans="3:11">
      <c r="C205" s="8"/>
      <c r="D205" s="8"/>
      <c r="E205" s="8"/>
      <c r="F205" s="8"/>
      <c r="G205" s="8"/>
      <c r="H205" s="8"/>
      <c r="I205" s="8"/>
      <c r="J205" s="8"/>
      <c r="K205" s="8"/>
    </row>
    <row r="206" spans="3:11">
      <c r="C206" s="8"/>
      <c r="D206" s="8"/>
      <c r="E206" s="8"/>
      <c r="F206" s="8"/>
      <c r="G206" s="8"/>
      <c r="H206" s="8"/>
      <c r="I206" s="8"/>
      <c r="J206" s="8"/>
      <c r="K206" s="8"/>
    </row>
    <row r="207" spans="3:11">
      <c r="C207" s="8"/>
      <c r="D207" s="8"/>
      <c r="E207" s="8"/>
      <c r="F207" s="8"/>
      <c r="G207" s="8"/>
      <c r="H207" s="8"/>
      <c r="I207" s="8"/>
      <c r="J207" s="8"/>
      <c r="K207" s="8"/>
    </row>
    <row r="208" spans="3:11">
      <c r="C208" s="8"/>
      <c r="D208" s="8"/>
      <c r="E208" s="8"/>
      <c r="F208" s="8"/>
      <c r="G208" s="8"/>
      <c r="H208" s="8"/>
      <c r="I208" s="8"/>
      <c r="J208" s="8"/>
      <c r="K208" s="8"/>
    </row>
    <row r="209" spans="3:11">
      <c r="C209" s="8"/>
      <c r="D209" s="8"/>
      <c r="E209" s="8"/>
      <c r="F209" s="8"/>
      <c r="G209" s="8"/>
      <c r="H209" s="8"/>
      <c r="I209" s="8"/>
      <c r="J209" s="8"/>
      <c r="K209" s="8"/>
    </row>
    <row r="210" spans="3:11">
      <c r="C210" s="8"/>
      <c r="D210" s="8"/>
      <c r="E210" s="8"/>
      <c r="F210" s="8"/>
      <c r="G210" s="8"/>
      <c r="H210" s="8"/>
      <c r="I210" s="8"/>
      <c r="J210" s="8"/>
      <c r="K210" s="8"/>
    </row>
    <row r="211" spans="3:11">
      <c r="C211" s="8"/>
      <c r="D211" s="8"/>
      <c r="E211" s="8"/>
      <c r="F211" s="8"/>
      <c r="G211" s="8"/>
      <c r="H211" s="8"/>
      <c r="I211" s="8"/>
      <c r="J211" s="8"/>
      <c r="K211" s="8"/>
    </row>
    <row r="212" spans="3:11">
      <c r="C212" s="8"/>
      <c r="D212" s="8"/>
      <c r="E212" s="8"/>
      <c r="F212" s="8"/>
      <c r="G212" s="8"/>
      <c r="H212" s="8"/>
      <c r="I212" s="8"/>
      <c r="J212" s="8"/>
      <c r="K212" s="8"/>
    </row>
    <row r="213" spans="3:11">
      <c r="C213" s="8"/>
      <c r="D213" s="8"/>
      <c r="E213" s="8"/>
      <c r="F213" s="8"/>
      <c r="G213" s="8"/>
      <c r="H213" s="8"/>
      <c r="I213" s="8"/>
      <c r="J213" s="8"/>
      <c r="K213" s="8"/>
    </row>
    <row r="214" spans="3:11">
      <c r="C214" s="8"/>
      <c r="D214" s="8"/>
      <c r="E214" s="8"/>
      <c r="F214" s="8"/>
      <c r="G214" s="8"/>
      <c r="H214" s="8"/>
      <c r="I214" s="8"/>
      <c r="J214" s="8"/>
      <c r="K214" s="8"/>
    </row>
    <row r="215" spans="3:11">
      <c r="C215" s="8"/>
      <c r="D215" s="8"/>
      <c r="E215" s="8"/>
      <c r="F215" s="8"/>
      <c r="G215" s="8"/>
      <c r="H215" s="8"/>
      <c r="I215" s="8"/>
      <c r="J215" s="8"/>
      <c r="K215" s="8"/>
    </row>
    <row r="216" spans="3:11">
      <c r="C216" s="8"/>
      <c r="D216" s="8"/>
      <c r="E216" s="8"/>
      <c r="F216" s="8"/>
      <c r="G216" s="8"/>
      <c r="H216" s="8"/>
      <c r="I216" s="8"/>
      <c r="J216" s="8"/>
      <c r="K216" s="8"/>
    </row>
    <row r="217" spans="3:11">
      <c r="C217" s="8"/>
      <c r="D217" s="8"/>
      <c r="E217" s="8"/>
      <c r="F217" s="8"/>
      <c r="G217" s="8"/>
      <c r="H217" s="8"/>
      <c r="I217" s="8"/>
      <c r="J217" s="8"/>
      <c r="K217" s="8"/>
    </row>
    <row r="218" spans="3:11">
      <c r="C218" s="8"/>
      <c r="D218" s="8"/>
      <c r="E218" s="8"/>
      <c r="F218" s="8"/>
      <c r="G218" s="8"/>
      <c r="H218" s="8"/>
      <c r="I218" s="8"/>
      <c r="J218" s="8"/>
      <c r="K218" s="8"/>
    </row>
    <row r="219" spans="3:11">
      <c r="C219" s="8"/>
      <c r="D219" s="8"/>
      <c r="E219" s="8"/>
      <c r="F219" s="8"/>
      <c r="G219" s="8"/>
      <c r="H219" s="8"/>
      <c r="I219" s="8"/>
      <c r="J219" s="8"/>
      <c r="K219" s="8"/>
    </row>
    <row r="220" spans="3:11">
      <c r="C220" s="8"/>
      <c r="D220" s="8"/>
      <c r="E220" s="8"/>
      <c r="F220" s="8"/>
      <c r="G220" s="8"/>
      <c r="H220" s="8"/>
      <c r="I220" s="8"/>
      <c r="J220" s="8"/>
      <c r="K220" s="8"/>
    </row>
    <row r="221" spans="3:11">
      <c r="C221" s="8"/>
      <c r="D221" s="8"/>
      <c r="E221" s="8"/>
      <c r="F221" s="8"/>
      <c r="G221" s="8"/>
      <c r="H221" s="8"/>
      <c r="I221" s="8"/>
      <c r="J221" s="8"/>
      <c r="K221" s="8"/>
    </row>
    <row r="222" spans="3:11">
      <c r="C222" s="8"/>
      <c r="D222" s="8"/>
      <c r="E222" s="8"/>
      <c r="F222" s="8"/>
      <c r="G222" s="8"/>
      <c r="H222" s="8"/>
      <c r="I222" s="8"/>
      <c r="J222" s="8"/>
      <c r="K222" s="8"/>
    </row>
    <row r="223" spans="3:11">
      <c r="C223" s="8"/>
      <c r="D223" s="8"/>
      <c r="E223" s="8"/>
      <c r="F223" s="8"/>
      <c r="G223" s="8"/>
      <c r="H223" s="8"/>
      <c r="I223" s="8"/>
      <c r="J223" s="8"/>
      <c r="K223" s="8"/>
    </row>
    <row r="224" spans="3:11">
      <c r="C224" s="8"/>
      <c r="D224" s="8"/>
      <c r="E224" s="8"/>
      <c r="F224" s="8"/>
      <c r="G224" s="8"/>
      <c r="H224" s="8"/>
      <c r="I224" s="8"/>
      <c r="J224" s="8"/>
      <c r="K224" s="8"/>
    </row>
    <row r="225" spans="3:11">
      <c r="C225" s="8"/>
      <c r="D225" s="8"/>
      <c r="E225" s="8"/>
      <c r="F225" s="8"/>
      <c r="G225" s="8"/>
      <c r="H225" s="8"/>
      <c r="I225" s="8"/>
      <c r="J225" s="8"/>
      <c r="K225" s="8"/>
    </row>
    <row r="226" spans="3:11">
      <c r="C226" s="8"/>
      <c r="D226" s="8"/>
      <c r="E226" s="8"/>
      <c r="F226" s="8"/>
      <c r="G226" s="8"/>
      <c r="H226" s="8"/>
      <c r="I226" s="8"/>
      <c r="J226" s="8"/>
      <c r="K226" s="8"/>
    </row>
    <row r="227" spans="3:11">
      <c r="C227" s="8"/>
      <c r="D227" s="8"/>
      <c r="E227" s="8"/>
      <c r="F227" s="8"/>
      <c r="G227" s="8"/>
      <c r="H227" s="8"/>
      <c r="I227" s="8"/>
      <c r="J227" s="8"/>
      <c r="K227" s="8"/>
    </row>
    <row r="228" spans="3:11">
      <c r="C228" s="8"/>
      <c r="D228" s="8"/>
      <c r="E228" s="8"/>
      <c r="F228" s="8"/>
      <c r="G228" s="8"/>
      <c r="H228" s="8"/>
      <c r="I228" s="8"/>
      <c r="J228" s="8"/>
      <c r="K228" s="8"/>
    </row>
    <row r="229" spans="3:11">
      <c r="C229" s="8"/>
      <c r="D229" s="8"/>
      <c r="E229" s="8"/>
      <c r="F229" s="8"/>
      <c r="G229" s="8"/>
      <c r="H229" s="8"/>
      <c r="I229" s="8"/>
      <c r="J229" s="8"/>
      <c r="K229" s="8"/>
    </row>
    <row r="230" spans="3:11">
      <c r="C230" s="8"/>
      <c r="D230" s="8"/>
      <c r="E230" s="8"/>
      <c r="F230" s="8"/>
      <c r="G230" s="8"/>
      <c r="H230" s="8"/>
      <c r="I230" s="8"/>
      <c r="J230" s="8"/>
      <c r="K230" s="8"/>
    </row>
    <row r="231" spans="3:11">
      <c r="C231" s="8"/>
      <c r="D231" s="8"/>
      <c r="E231" s="8"/>
      <c r="F231" s="8"/>
      <c r="G231" s="8"/>
      <c r="H231" s="8"/>
      <c r="I231" s="8"/>
      <c r="J231" s="8"/>
      <c r="K231" s="8"/>
    </row>
    <row r="232" spans="3:11">
      <c r="C232" s="8"/>
      <c r="D232" s="8"/>
      <c r="E232" s="8"/>
      <c r="F232" s="8"/>
      <c r="G232" s="8"/>
      <c r="H232" s="8"/>
      <c r="I232" s="8"/>
      <c r="J232" s="8"/>
      <c r="K232" s="8"/>
    </row>
    <row r="233" spans="3:11">
      <c r="C233" s="8"/>
      <c r="D233" s="8"/>
      <c r="E233" s="8"/>
      <c r="F233" s="8"/>
      <c r="G233" s="8"/>
      <c r="H233" s="8"/>
      <c r="I233" s="8"/>
      <c r="J233" s="8"/>
      <c r="K233" s="8"/>
    </row>
    <row r="234" spans="3:11">
      <c r="C234" s="8"/>
      <c r="D234" s="8"/>
      <c r="E234" s="8"/>
      <c r="F234" s="8"/>
      <c r="G234" s="8"/>
      <c r="H234" s="8"/>
      <c r="I234" s="8"/>
      <c r="J234" s="8"/>
      <c r="K234" s="8"/>
    </row>
    <row r="235" spans="3:11">
      <c r="C235" s="8"/>
      <c r="D235" s="8"/>
      <c r="E235" s="8"/>
      <c r="F235" s="8"/>
      <c r="G235" s="8"/>
      <c r="H235" s="8"/>
      <c r="I235" s="8"/>
      <c r="J235" s="8"/>
      <c r="K235" s="8"/>
    </row>
    <row r="236" spans="3:11">
      <c r="C236" s="8"/>
      <c r="D236" s="8"/>
      <c r="E236" s="8"/>
      <c r="F236" s="8"/>
      <c r="G236" s="8"/>
      <c r="H236" s="8"/>
      <c r="I236" s="8"/>
      <c r="J236" s="8"/>
      <c r="K236" s="8"/>
    </row>
    <row r="237" spans="3:11">
      <c r="C237" s="8"/>
      <c r="D237" s="8"/>
      <c r="E237" s="8"/>
      <c r="F237" s="8"/>
      <c r="G237" s="8"/>
      <c r="H237" s="8"/>
      <c r="I237" s="8"/>
      <c r="J237" s="8"/>
      <c r="K237" s="8"/>
    </row>
    <row r="238" spans="3:11">
      <c r="C238" s="8"/>
      <c r="D238" s="8"/>
      <c r="E238" s="8"/>
      <c r="F238" s="8"/>
      <c r="G238" s="8"/>
      <c r="H238" s="8"/>
      <c r="I238" s="8"/>
      <c r="J238" s="8"/>
      <c r="K238" s="8"/>
    </row>
    <row r="239" spans="3:11">
      <c r="C239" s="8"/>
      <c r="D239" s="8"/>
      <c r="E239" s="8"/>
      <c r="F239" s="8"/>
      <c r="G239" s="8"/>
      <c r="H239" s="8"/>
      <c r="I239" s="8"/>
      <c r="J239" s="8"/>
      <c r="K239" s="8"/>
    </row>
    <row r="240" spans="3:11">
      <c r="C240" s="8"/>
      <c r="D240" s="8"/>
      <c r="E240" s="8"/>
      <c r="F240" s="8"/>
      <c r="G240" s="8"/>
      <c r="H240" s="8"/>
      <c r="I240" s="8"/>
      <c r="J240" s="8"/>
      <c r="K240" s="8"/>
    </row>
    <row r="241" spans="3:11">
      <c r="C241" s="8"/>
      <c r="D241" s="8"/>
      <c r="E241" s="8"/>
      <c r="F241" s="8"/>
      <c r="G241" s="8"/>
      <c r="H241" s="8"/>
      <c r="I241" s="8"/>
      <c r="J241" s="8"/>
      <c r="K241" s="8"/>
    </row>
    <row r="242" spans="3:11">
      <c r="C242" s="8"/>
      <c r="D242" s="8"/>
      <c r="E242" s="8"/>
      <c r="F242" s="8"/>
      <c r="G242" s="8"/>
      <c r="H242" s="8"/>
      <c r="I242" s="8"/>
      <c r="J242" s="8"/>
      <c r="K242" s="8"/>
    </row>
    <row r="243" spans="3:11">
      <c r="C243" s="8"/>
      <c r="D243" s="8"/>
      <c r="E243" s="8"/>
      <c r="F243" s="8"/>
      <c r="G243" s="8"/>
      <c r="H243" s="8"/>
      <c r="I243" s="8"/>
      <c r="J243" s="8"/>
      <c r="K243" s="8"/>
    </row>
    <row r="244" spans="3:11">
      <c r="C244" s="8"/>
      <c r="D244" s="8"/>
      <c r="E244" s="8"/>
      <c r="F244" s="8"/>
      <c r="G244" s="8"/>
      <c r="H244" s="8"/>
      <c r="I244" s="8"/>
      <c r="J244" s="8"/>
      <c r="K244" s="8"/>
    </row>
    <row r="245" spans="3:11">
      <c r="C245" s="8"/>
      <c r="D245" s="8"/>
      <c r="E245" s="8"/>
      <c r="F245" s="8"/>
      <c r="G245" s="8"/>
      <c r="H245" s="8"/>
      <c r="I245" s="8"/>
      <c r="J245" s="8"/>
      <c r="K245" s="8"/>
    </row>
    <row r="246" spans="3:11">
      <c r="C246" s="8"/>
      <c r="D246" s="8"/>
      <c r="E246" s="8"/>
      <c r="F246" s="8"/>
      <c r="G246" s="8"/>
      <c r="H246" s="8"/>
      <c r="I246" s="8"/>
      <c r="J246" s="8"/>
      <c r="K246" s="8"/>
    </row>
    <row r="247" spans="3:11">
      <c r="C247" s="8"/>
      <c r="D247" s="8"/>
      <c r="E247" s="8"/>
      <c r="F247" s="8"/>
      <c r="G247" s="8"/>
      <c r="H247" s="8"/>
      <c r="I247" s="8"/>
      <c r="J247" s="8"/>
      <c r="K247" s="8"/>
    </row>
    <row r="248" spans="3:11">
      <c r="C248" s="8"/>
      <c r="D248" s="8"/>
      <c r="E248" s="8"/>
      <c r="F248" s="8"/>
      <c r="G248" s="8"/>
      <c r="H248" s="8"/>
      <c r="I248" s="8"/>
      <c r="J248" s="8"/>
      <c r="K248" s="8"/>
    </row>
    <row r="249" spans="3:11">
      <c r="C249" s="8"/>
      <c r="D249" s="8"/>
      <c r="E249" s="8"/>
      <c r="F249" s="8"/>
      <c r="G249" s="8"/>
      <c r="H249" s="8"/>
      <c r="I249" s="8"/>
      <c r="J249" s="8"/>
      <c r="K249" s="8"/>
    </row>
    <row r="250" spans="3:11">
      <c r="C250" s="8"/>
      <c r="D250" s="8"/>
      <c r="E250" s="8"/>
      <c r="F250" s="8"/>
      <c r="G250" s="8"/>
      <c r="H250" s="8"/>
      <c r="I250" s="8"/>
      <c r="J250" s="8"/>
      <c r="K250" s="8"/>
    </row>
    <row r="251" spans="3:11">
      <c r="C251" s="8"/>
      <c r="D251" s="8"/>
      <c r="E251" s="8"/>
      <c r="F251" s="8"/>
      <c r="G251" s="8"/>
      <c r="H251" s="8"/>
      <c r="I251" s="8"/>
      <c r="J251" s="8"/>
      <c r="K251" s="8"/>
    </row>
    <row r="252" spans="3:11">
      <c r="C252" s="8"/>
      <c r="D252" s="8"/>
      <c r="E252" s="8"/>
      <c r="F252" s="8"/>
      <c r="G252" s="8"/>
      <c r="H252" s="8"/>
      <c r="I252" s="8"/>
      <c r="J252" s="8"/>
      <c r="K252" s="8"/>
    </row>
    <row r="253" spans="3:11">
      <c r="C253" s="8"/>
      <c r="D253" s="8"/>
      <c r="E253" s="8"/>
      <c r="F253" s="8"/>
      <c r="G253" s="8"/>
      <c r="H253" s="8"/>
      <c r="I253" s="8"/>
      <c r="J253" s="8"/>
      <c r="K253" s="8"/>
    </row>
    <row r="254" spans="3:11">
      <c r="C254" s="8"/>
      <c r="D254" s="8"/>
      <c r="E254" s="8"/>
      <c r="F254" s="8"/>
      <c r="G254" s="8"/>
      <c r="H254" s="8"/>
      <c r="I254" s="8"/>
      <c r="J254" s="8"/>
      <c r="K254" s="8"/>
    </row>
    <row r="255" spans="3:11">
      <c r="C255" s="8"/>
      <c r="D255" s="8"/>
      <c r="E255" s="8"/>
      <c r="F255" s="8"/>
      <c r="G255" s="8"/>
      <c r="H255" s="8"/>
      <c r="I255" s="8"/>
      <c r="J255" s="8"/>
      <c r="K255" s="8"/>
    </row>
    <row r="256" spans="3:11">
      <c r="C256" s="8"/>
      <c r="D256" s="8"/>
      <c r="E256" s="8"/>
      <c r="F256" s="8"/>
      <c r="G256" s="8"/>
      <c r="H256" s="8"/>
      <c r="I256" s="8"/>
      <c r="J256" s="8"/>
      <c r="K256" s="8"/>
    </row>
    <row r="257" spans="3:11">
      <c r="C257" s="8"/>
      <c r="D257" s="8"/>
      <c r="E257" s="8"/>
      <c r="F257" s="8"/>
      <c r="G257" s="8"/>
      <c r="H257" s="8"/>
      <c r="I257" s="8"/>
      <c r="J257" s="8"/>
      <c r="K257" s="8"/>
    </row>
    <row r="258" spans="3:11">
      <c r="C258" s="8"/>
      <c r="D258" s="8"/>
      <c r="E258" s="8"/>
      <c r="F258" s="8"/>
      <c r="G258" s="8"/>
      <c r="H258" s="8"/>
      <c r="I258" s="8"/>
      <c r="J258" s="8"/>
      <c r="K258" s="8"/>
    </row>
    <row r="259" spans="3:11">
      <c r="C259" s="8"/>
      <c r="D259" s="8"/>
      <c r="E259" s="8"/>
      <c r="F259" s="8"/>
      <c r="G259" s="8"/>
      <c r="H259" s="8"/>
      <c r="I259" s="8"/>
      <c r="J259" s="8"/>
      <c r="K259" s="8"/>
    </row>
    <row r="260" spans="3:11">
      <c r="C260" s="8"/>
      <c r="D260" s="8"/>
      <c r="E260" s="8"/>
      <c r="F260" s="8"/>
      <c r="G260" s="8"/>
      <c r="H260" s="8"/>
      <c r="I260" s="8"/>
      <c r="J260" s="8"/>
      <c r="K260" s="8"/>
    </row>
    <row r="261" spans="3:11">
      <c r="C261" s="8"/>
      <c r="D261" s="8"/>
      <c r="E261" s="8"/>
      <c r="F261" s="8"/>
      <c r="G261" s="8"/>
      <c r="H261" s="8"/>
      <c r="I261" s="8"/>
      <c r="J261" s="8"/>
      <c r="K261" s="8"/>
    </row>
    <row r="262" spans="3:11">
      <c r="C262" s="8"/>
      <c r="D262" s="8"/>
      <c r="E262" s="8"/>
      <c r="F262" s="8"/>
      <c r="G262" s="8"/>
      <c r="H262" s="8"/>
      <c r="I262" s="8"/>
      <c r="J262" s="8"/>
      <c r="K262" s="8"/>
    </row>
    <row r="263" spans="3:11">
      <c r="C263" s="8"/>
      <c r="D263" s="8"/>
      <c r="E263" s="8"/>
      <c r="F263" s="8"/>
      <c r="G263" s="8"/>
      <c r="H263" s="8"/>
      <c r="I263" s="8"/>
      <c r="J263" s="8"/>
      <c r="K263" s="8"/>
    </row>
    <row r="264" spans="3:11">
      <c r="C264" s="8"/>
      <c r="D264" s="8"/>
      <c r="E264" s="8"/>
      <c r="F264" s="8"/>
      <c r="G264" s="8"/>
      <c r="H264" s="8"/>
      <c r="I264" s="8"/>
      <c r="J264" s="8"/>
      <c r="K264" s="8"/>
    </row>
    <row r="265" spans="3:11">
      <c r="C265" s="8"/>
      <c r="D265" s="8"/>
      <c r="E265" s="8"/>
      <c r="F265" s="8"/>
      <c r="G265" s="8"/>
      <c r="H265" s="8"/>
      <c r="I265" s="8"/>
      <c r="J265" s="8"/>
      <c r="K265" s="8"/>
    </row>
    <row r="266" spans="3:11">
      <c r="C266" s="8"/>
      <c r="D266" s="8"/>
      <c r="E266" s="8"/>
      <c r="F266" s="8"/>
      <c r="G266" s="8"/>
      <c r="H266" s="8"/>
      <c r="I266" s="8"/>
      <c r="J266" s="8"/>
      <c r="K266" s="8"/>
    </row>
    <row r="267" spans="3:11">
      <c r="C267" s="8"/>
      <c r="D267" s="8"/>
      <c r="E267" s="8"/>
      <c r="F267" s="8"/>
      <c r="G267" s="8"/>
      <c r="H267" s="8"/>
      <c r="I267" s="8"/>
      <c r="J267" s="8"/>
      <c r="K267" s="8"/>
    </row>
    <row r="268" spans="3:11">
      <c r="C268" s="8"/>
      <c r="D268" s="8"/>
      <c r="E268" s="8"/>
      <c r="F268" s="8"/>
      <c r="G268" s="8"/>
      <c r="H268" s="8"/>
      <c r="I268" s="8"/>
      <c r="J268" s="8"/>
      <c r="K268" s="8"/>
    </row>
    <row r="269" spans="3:11">
      <c r="C269" s="8"/>
      <c r="D269" s="8"/>
      <c r="E269" s="8"/>
      <c r="F269" s="8"/>
      <c r="G269" s="8"/>
      <c r="H269" s="8"/>
      <c r="I269" s="8"/>
      <c r="J269" s="8"/>
      <c r="K269" s="8"/>
    </row>
    <row r="270" spans="3:11">
      <c r="C270" s="8"/>
      <c r="D270" s="8"/>
      <c r="E270" s="8"/>
      <c r="F270" s="8"/>
      <c r="G270" s="8"/>
      <c r="H270" s="8"/>
      <c r="I270" s="8"/>
      <c r="J270" s="8"/>
      <c r="K270" s="8"/>
    </row>
    <row r="271" spans="3:11">
      <c r="C271" s="8"/>
      <c r="D271" s="8"/>
      <c r="E271" s="8"/>
      <c r="F271" s="8"/>
      <c r="G271" s="8"/>
      <c r="H271" s="8"/>
      <c r="I271" s="8"/>
      <c r="J271" s="8"/>
      <c r="K271" s="8"/>
    </row>
    <row r="272" spans="3:11">
      <c r="C272" s="8"/>
      <c r="D272" s="8"/>
      <c r="E272" s="8"/>
      <c r="F272" s="8"/>
      <c r="G272" s="8"/>
      <c r="H272" s="8"/>
      <c r="I272" s="8"/>
      <c r="J272" s="8"/>
      <c r="K272" s="8"/>
    </row>
    <row r="273" spans="3:11">
      <c r="C273" s="8"/>
      <c r="D273" s="8"/>
      <c r="E273" s="8"/>
      <c r="F273" s="8"/>
      <c r="G273" s="8"/>
      <c r="H273" s="8"/>
      <c r="I273" s="8"/>
      <c r="J273" s="8"/>
      <c r="K273" s="8"/>
    </row>
    <row r="274" spans="3:11">
      <c r="C274" s="8"/>
      <c r="D274" s="8"/>
      <c r="E274" s="8"/>
      <c r="F274" s="8"/>
      <c r="G274" s="8"/>
      <c r="H274" s="8"/>
      <c r="I274" s="8"/>
      <c r="J274" s="8"/>
      <c r="K274" s="8"/>
    </row>
    <row r="275" spans="3:11">
      <c r="C275" s="8"/>
      <c r="D275" s="8"/>
      <c r="E275" s="8"/>
      <c r="F275" s="8"/>
      <c r="G275" s="8"/>
      <c r="H275" s="8"/>
      <c r="I275" s="8"/>
      <c r="J275" s="8"/>
      <c r="K275" s="8"/>
    </row>
    <row r="276" spans="3:11">
      <c r="C276" s="8"/>
      <c r="D276" s="8"/>
      <c r="E276" s="8"/>
      <c r="F276" s="8"/>
      <c r="G276" s="8"/>
      <c r="H276" s="8"/>
      <c r="I276" s="8"/>
      <c r="J276" s="8"/>
      <c r="K276" s="8"/>
    </row>
    <row r="277" spans="3:11">
      <c r="C277" s="8"/>
      <c r="D277" s="8"/>
      <c r="E277" s="8"/>
      <c r="F277" s="8"/>
      <c r="G277" s="8"/>
      <c r="H277" s="8"/>
      <c r="I277" s="8"/>
      <c r="J277" s="8"/>
      <c r="K277" s="8"/>
    </row>
    <row r="278" spans="3:11">
      <c r="C278" s="8"/>
      <c r="D278" s="8"/>
      <c r="E278" s="8"/>
      <c r="F278" s="8"/>
      <c r="G278" s="8"/>
      <c r="H278" s="8"/>
      <c r="I278" s="8"/>
      <c r="J278" s="8"/>
      <c r="K278" s="8"/>
    </row>
    <row r="279" spans="3:11">
      <c r="C279" s="8"/>
      <c r="D279" s="8"/>
      <c r="E279" s="8"/>
      <c r="F279" s="8"/>
      <c r="G279" s="8"/>
      <c r="H279" s="8"/>
      <c r="I279" s="8"/>
      <c r="J279" s="8"/>
      <c r="K279" s="8"/>
    </row>
    <row r="280" spans="3:11">
      <c r="C280" s="8"/>
      <c r="D280" s="8"/>
      <c r="E280" s="8"/>
      <c r="F280" s="8"/>
      <c r="G280" s="8"/>
      <c r="H280" s="8"/>
      <c r="I280" s="8"/>
      <c r="J280" s="8"/>
      <c r="K280" s="8"/>
    </row>
    <row r="281" spans="3:11">
      <c r="C281" s="8"/>
      <c r="D281" s="8"/>
      <c r="E281" s="8"/>
      <c r="F281" s="8"/>
      <c r="G281" s="8"/>
      <c r="H281" s="8"/>
      <c r="I281" s="8"/>
      <c r="J281" s="8"/>
      <c r="K281" s="8"/>
    </row>
    <row r="282" spans="3:11">
      <c r="C282" s="8"/>
      <c r="D282" s="8"/>
      <c r="E282" s="8"/>
      <c r="F282" s="8"/>
      <c r="G282" s="8"/>
      <c r="H282" s="8"/>
      <c r="I282" s="8"/>
      <c r="J282" s="8"/>
      <c r="K282" s="8"/>
    </row>
    <row r="283" spans="3:11">
      <c r="C283" s="8"/>
      <c r="D283" s="8"/>
      <c r="E283" s="8"/>
      <c r="F283" s="8"/>
      <c r="G283" s="8"/>
      <c r="H283" s="8"/>
      <c r="I283" s="8"/>
      <c r="J283" s="8"/>
      <c r="K283" s="8"/>
    </row>
    <row r="284" spans="3:11">
      <c r="C284" s="8"/>
      <c r="D284" s="8"/>
      <c r="E284" s="8"/>
      <c r="F284" s="8"/>
      <c r="G284" s="8"/>
      <c r="H284" s="8"/>
      <c r="I284" s="8"/>
      <c r="J284" s="8"/>
      <c r="K284" s="8"/>
    </row>
    <row r="285" spans="3:11">
      <c r="C285" s="8"/>
      <c r="D285" s="8"/>
      <c r="E285" s="8"/>
      <c r="F285" s="8"/>
      <c r="G285" s="8"/>
      <c r="H285" s="8"/>
      <c r="I285" s="8"/>
      <c r="J285" s="8"/>
      <c r="K285" s="8"/>
    </row>
    <row r="286" spans="3:11">
      <c r="C286" s="8"/>
      <c r="D286" s="8"/>
      <c r="E286" s="8"/>
      <c r="F286" s="8"/>
      <c r="G286" s="8"/>
      <c r="H286" s="8"/>
      <c r="I286" s="8"/>
      <c r="J286" s="8"/>
      <c r="K286" s="8"/>
    </row>
    <row r="287" spans="3:11">
      <c r="C287" s="8"/>
      <c r="D287" s="8"/>
      <c r="E287" s="8"/>
      <c r="F287" s="8"/>
      <c r="G287" s="8"/>
      <c r="H287" s="8"/>
      <c r="I287" s="8"/>
      <c r="J287" s="8"/>
      <c r="K287" s="8"/>
    </row>
    <row r="288" spans="3:11">
      <c r="C288" s="8"/>
      <c r="D288" s="8"/>
      <c r="E288" s="8"/>
      <c r="F288" s="8"/>
      <c r="G288" s="8"/>
      <c r="H288" s="8"/>
      <c r="I288" s="8"/>
      <c r="J288" s="8"/>
      <c r="K288" s="8"/>
    </row>
    <row r="289" spans="3:11">
      <c r="C289" s="8"/>
      <c r="D289" s="8"/>
      <c r="E289" s="8"/>
      <c r="F289" s="8"/>
      <c r="G289" s="8"/>
      <c r="H289" s="8"/>
      <c r="I289" s="8"/>
      <c r="J289" s="8"/>
      <c r="K289" s="8"/>
    </row>
    <row r="290" spans="3:11">
      <c r="C290" s="8"/>
      <c r="D290" s="8"/>
      <c r="E290" s="8"/>
      <c r="F290" s="8"/>
      <c r="G290" s="8"/>
      <c r="H290" s="8"/>
      <c r="I290" s="8"/>
      <c r="J290" s="8"/>
      <c r="K290" s="8"/>
    </row>
    <row r="291" spans="3:11">
      <c r="C291" s="8"/>
      <c r="D291" s="8"/>
      <c r="E291" s="8"/>
      <c r="F291" s="8"/>
      <c r="G291" s="8"/>
      <c r="H291" s="8"/>
      <c r="I291" s="8"/>
      <c r="J291" s="8"/>
      <c r="K291" s="8"/>
    </row>
    <row r="292" spans="3:11">
      <c r="C292" s="8"/>
      <c r="D292" s="8"/>
      <c r="E292" s="8"/>
      <c r="F292" s="8"/>
      <c r="G292" s="8"/>
      <c r="H292" s="8"/>
      <c r="I292" s="8"/>
      <c r="J292" s="8"/>
      <c r="K292" s="8"/>
    </row>
    <row r="293" spans="3:11">
      <c r="C293" s="8"/>
      <c r="D293" s="8"/>
      <c r="E293" s="8"/>
      <c r="F293" s="8"/>
      <c r="G293" s="8"/>
      <c r="H293" s="8"/>
      <c r="I293" s="8"/>
      <c r="J293" s="8"/>
      <c r="K293" s="8"/>
    </row>
    <row r="294" spans="3:11">
      <c r="C294" s="8"/>
      <c r="D294" s="8"/>
      <c r="E294" s="8"/>
      <c r="F294" s="8"/>
      <c r="G294" s="8"/>
      <c r="H294" s="8"/>
      <c r="I294" s="8"/>
      <c r="J294" s="8"/>
      <c r="K294" s="8"/>
    </row>
    <row r="295" spans="3:11">
      <c r="C295" s="8"/>
      <c r="D295" s="8"/>
      <c r="E295" s="8"/>
      <c r="F295" s="8"/>
      <c r="G295" s="8"/>
      <c r="H295" s="8"/>
      <c r="I295" s="8"/>
      <c r="J295" s="8"/>
      <c r="K295" s="8"/>
    </row>
    <row r="296" spans="3:11">
      <c r="C296" s="8"/>
      <c r="D296" s="8"/>
      <c r="E296" s="8"/>
      <c r="F296" s="8"/>
      <c r="G296" s="8"/>
      <c r="H296" s="8"/>
      <c r="I296" s="8"/>
      <c r="J296" s="8"/>
    </row>
    <row r="297" spans="3:11">
      <c r="C297" s="8"/>
      <c r="D297" s="8"/>
      <c r="E297" s="8"/>
      <c r="F297" s="8"/>
      <c r="G297" s="8"/>
      <c r="H297" s="8"/>
      <c r="I297" s="8"/>
      <c r="J297" s="8"/>
    </row>
    <row r="298" spans="3:11">
      <c r="C298" s="8"/>
      <c r="D298" s="8"/>
      <c r="E298" s="8"/>
      <c r="F298" s="8"/>
      <c r="G298" s="8"/>
      <c r="H298" s="8"/>
      <c r="I298" s="8"/>
      <c r="J298" s="8"/>
    </row>
    <row r="299" spans="3:11">
      <c r="C299" s="8"/>
      <c r="D299" s="8"/>
      <c r="E299" s="8"/>
      <c r="F299" s="8"/>
      <c r="G299" s="8"/>
      <c r="H299" s="8"/>
      <c r="I299" s="8"/>
      <c r="J299" s="8"/>
    </row>
    <row r="300" spans="3:11">
      <c r="C300" s="8"/>
      <c r="D300" s="8"/>
      <c r="E300" s="8"/>
      <c r="F300" s="8"/>
      <c r="G300" s="8"/>
      <c r="H300" s="8"/>
      <c r="I300" s="8"/>
      <c r="J300" s="8"/>
    </row>
    <row r="301" spans="3:11">
      <c r="C301" s="8"/>
      <c r="D301" s="8"/>
      <c r="E301" s="8"/>
      <c r="F301" s="8"/>
      <c r="G301" s="8"/>
      <c r="H301" s="8"/>
      <c r="I301" s="8"/>
      <c r="J301" s="8"/>
    </row>
    <row r="302" spans="3:11">
      <c r="C302" s="8"/>
      <c r="D302" s="8"/>
      <c r="E302" s="8"/>
      <c r="F302" s="8"/>
      <c r="G302" s="8"/>
      <c r="H302" s="8"/>
      <c r="I302" s="8"/>
      <c r="J302" s="8"/>
    </row>
    <row r="303" spans="3:11">
      <c r="C303" s="8"/>
      <c r="D303" s="8"/>
      <c r="E303" s="8"/>
      <c r="F303" s="8"/>
      <c r="G303" s="8"/>
      <c r="H303" s="8"/>
      <c r="I303" s="8"/>
      <c r="J303" s="8"/>
    </row>
    <row r="304" spans="3:11">
      <c r="C304" s="8"/>
      <c r="D304" s="8"/>
      <c r="E304" s="8"/>
      <c r="F304" s="8"/>
      <c r="G304" s="8"/>
      <c r="H304" s="8"/>
      <c r="I304" s="8"/>
      <c r="J304" s="8"/>
    </row>
    <row r="305" spans="3:10">
      <c r="C305" s="8"/>
      <c r="D305" s="8"/>
      <c r="E305" s="8"/>
      <c r="F305" s="8"/>
      <c r="G305" s="8"/>
      <c r="H305" s="8"/>
      <c r="I305" s="8"/>
      <c r="J305" s="8"/>
    </row>
    <row r="306" spans="3:10">
      <c r="C306" s="8"/>
      <c r="D306" s="8"/>
      <c r="E306" s="8"/>
      <c r="F306" s="8"/>
      <c r="G306" s="8"/>
      <c r="H306" s="8"/>
      <c r="I306" s="8"/>
      <c r="J306" s="8"/>
    </row>
    <row r="307" spans="3:10">
      <c r="C307" s="8"/>
      <c r="D307" s="8"/>
      <c r="E307" s="8"/>
      <c r="F307" s="8"/>
      <c r="G307" s="8"/>
      <c r="H307" s="8"/>
      <c r="I307" s="8"/>
      <c r="J307" s="8"/>
    </row>
    <row r="308" spans="3:10">
      <c r="C308" s="8"/>
      <c r="D308" s="8"/>
      <c r="E308" s="8"/>
      <c r="F308" s="8"/>
      <c r="G308" s="8"/>
      <c r="H308" s="8"/>
      <c r="I308" s="8"/>
      <c r="J308" s="8"/>
    </row>
    <row r="309" spans="3:10">
      <c r="C309" s="8"/>
      <c r="D309" s="8"/>
      <c r="E309" s="8"/>
      <c r="F309" s="8"/>
      <c r="G309" s="8"/>
      <c r="H309" s="8"/>
      <c r="I309" s="8"/>
      <c r="J309" s="8"/>
    </row>
    <row r="310" spans="3:10">
      <c r="C310" s="8"/>
      <c r="D310" s="8"/>
      <c r="E310" s="8"/>
      <c r="F310" s="8"/>
      <c r="G310" s="8"/>
      <c r="H310" s="8"/>
      <c r="I310" s="8"/>
      <c r="J310" s="8"/>
    </row>
    <row r="311" spans="3:10">
      <c r="C311" s="8"/>
      <c r="D311" s="8"/>
      <c r="E311" s="8"/>
      <c r="F311" s="8"/>
      <c r="G311" s="8"/>
      <c r="H311" s="8"/>
      <c r="I311" s="8"/>
      <c r="J311" s="8"/>
    </row>
    <row r="312" spans="3:10">
      <c r="C312" s="8"/>
      <c r="D312" s="8"/>
      <c r="E312" s="8"/>
      <c r="F312" s="8"/>
      <c r="G312" s="8"/>
      <c r="H312" s="8"/>
      <c r="I312" s="8"/>
      <c r="J312" s="8"/>
    </row>
    <row r="313" spans="3:10">
      <c r="C313" s="8"/>
      <c r="D313" s="8"/>
      <c r="E313" s="8"/>
      <c r="F313" s="8"/>
      <c r="G313" s="8"/>
      <c r="H313" s="8"/>
      <c r="I313" s="8"/>
      <c r="J313" s="8"/>
    </row>
    <row r="314" spans="3:10">
      <c r="C314" s="8"/>
      <c r="D314" s="8"/>
      <c r="E314" s="8"/>
      <c r="F314" s="8"/>
      <c r="G314" s="8"/>
      <c r="H314" s="8"/>
      <c r="I314" s="8"/>
      <c r="J314" s="8"/>
    </row>
    <row r="315" spans="3:10">
      <c r="C315" s="8"/>
      <c r="D315" s="8"/>
      <c r="E315" s="8"/>
      <c r="F315" s="8"/>
      <c r="G315" s="8"/>
      <c r="H315" s="8"/>
      <c r="I315" s="8"/>
      <c r="J315" s="8"/>
    </row>
    <row r="316" spans="3:10">
      <c r="C316" s="8"/>
      <c r="D316" s="8"/>
      <c r="E316" s="8"/>
      <c r="F316" s="8"/>
      <c r="G316" s="8"/>
      <c r="H316" s="8"/>
      <c r="I316" s="8"/>
      <c r="J316" s="8"/>
    </row>
    <row r="317" spans="3:10">
      <c r="C317" s="8"/>
      <c r="D317" s="8"/>
      <c r="E317" s="8"/>
      <c r="F317" s="8"/>
      <c r="G317" s="8"/>
      <c r="H317" s="8"/>
      <c r="I317" s="8"/>
      <c r="J317" s="8"/>
    </row>
    <row r="318" spans="3:10">
      <c r="C318" s="8"/>
      <c r="D318" s="8"/>
      <c r="E318" s="8"/>
      <c r="F318" s="8"/>
      <c r="G318" s="8"/>
      <c r="H318" s="8"/>
      <c r="I318" s="8"/>
      <c r="J318" s="8"/>
    </row>
    <row r="319" spans="3:10">
      <c r="C319" s="8"/>
      <c r="D319" s="8"/>
      <c r="E319" s="8"/>
      <c r="F319" s="8"/>
      <c r="G319" s="8"/>
      <c r="H319" s="8"/>
      <c r="I319" s="8"/>
      <c r="J319" s="8"/>
    </row>
    <row r="320" spans="3:10">
      <c r="C320" s="8"/>
      <c r="D320" s="8"/>
      <c r="E320" s="8"/>
      <c r="F320" s="8"/>
      <c r="G320" s="8"/>
      <c r="H320" s="8"/>
      <c r="I320" s="8"/>
      <c r="J320" s="8"/>
    </row>
    <row r="321" spans="3:10">
      <c r="C321" s="8"/>
      <c r="D321" s="8"/>
      <c r="E321" s="8"/>
      <c r="F321" s="8"/>
      <c r="G321" s="8"/>
      <c r="H321" s="8"/>
      <c r="I321" s="8"/>
      <c r="J321" s="8"/>
    </row>
    <row r="322" spans="3:10">
      <c r="C322" s="8"/>
      <c r="D322" s="8"/>
      <c r="E322" s="8"/>
      <c r="F322" s="8"/>
      <c r="G322" s="8"/>
      <c r="H322" s="8"/>
      <c r="I322" s="8"/>
      <c r="J322" s="8"/>
    </row>
    <row r="323" spans="3:10">
      <c r="C323" s="8"/>
      <c r="D323" s="8"/>
      <c r="E323" s="8"/>
      <c r="F323" s="8"/>
      <c r="G323" s="8"/>
      <c r="H323" s="8"/>
      <c r="I323" s="8"/>
      <c r="J323" s="8"/>
    </row>
    <row r="324" spans="3:10">
      <c r="C324" s="8"/>
      <c r="D324" s="8"/>
      <c r="E324" s="8"/>
      <c r="F324" s="8"/>
      <c r="G324" s="8"/>
      <c r="H324" s="8"/>
      <c r="I324" s="8"/>
      <c r="J324" s="8"/>
    </row>
    <row r="325" spans="3:10">
      <c r="C325" s="8"/>
      <c r="D325" s="8"/>
      <c r="E325" s="8"/>
      <c r="F325" s="8"/>
      <c r="G325" s="8"/>
      <c r="H325" s="8"/>
      <c r="I325" s="8"/>
      <c r="J325" s="8"/>
    </row>
    <row r="326" spans="3:10">
      <c r="C326" s="8"/>
      <c r="D326" s="8"/>
      <c r="E326" s="8"/>
      <c r="F326" s="8"/>
      <c r="G326" s="8"/>
      <c r="H326" s="8"/>
      <c r="I326" s="8"/>
      <c r="J326" s="8"/>
    </row>
    <row r="327" spans="3:10">
      <c r="C327" s="8"/>
      <c r="D327" s="8"/>
      <c r="E327" s="8"/>
      <c r="F327" s="8"/>
      <c r="G327" s="8"/>
      <c r="H327" s="8"/>
      <c r="I327" s="8"/>
      <c r="J327" s="8"/>
    </row>
    <row r="328" spans="3:10">
      <c r="C328" s="8"/>
      <c r="D328" s="8"/>
      <c r="E328" s="8"/>
      <c r="F328" s="8"/>
      <c r="G328" s="8"/>
      <c r="H328" s="8"/>
      <c r="I328" s="8"/>
      <c r="J328" s="8"/>
    </row>
    <row r="329" spans="3:10">
      <c r="C329" s="8"/>
      <c r="D329" s="8"/>
      <c r="E329" s="8"/>
      <c r="F329" s="8"/>
      <c r="G329" s="8"/>
      <c r="H329" s="8"/>
      <c r="I329" s="8"/>
      <c r="J329" s="8"/>
    </row>
    <row r="330" spans="3:10">
      <c r="C330" s="8"/>
      <c r="D330" s="8"/>
      <c r="E330" s="8"/>
      <c r="F330" s="8"/>
      <c r="G330" s="8"/>
      <c r="H330" s="8"/>
      <c r="I330" s="8"/>
      <c r="J330" s="8"/>
    </row>
    <row r="331" spans="3:10">
      <c r="C331" s="8"/>
      <c r="D331" s="8"/>
      <c r="E331" s="8"/>
      <c r="F331" s="8"/>
      <c r="G331" s="8"/>
      <c r="H331" s="8"/>
      <c r="I331" s="8"/>
      <c r="J331" s="8"/>
    </row>
    <row r="332" spans="3:10">
      <c r="C332" s="8"/>
      <c r="D332" s="8"/>
      <c r="E332" s="8"/>
      <c r="F332" s="8"/>
      <c r="G332" s="8"/>
      <c r="H332" s="8"/>
      <c r="I332" s="8"/>
      <c r="J332" s="8"/>
    </row>
    <row r="333" spans="3:10">
      <c r="C333" s="8"/>
      <c r="D333" s="8"/>
      <c r="E333" s="8"/>
      <c r="F333" s="8"/>
      <c r="G333" s="8"/>
      <c r="H333" s="8"/>
      <c r="I333" s="8"/>
      <c r="J333" s="8"/>
    </row>
    <row r="334" spans="3:10">
      <c r="C334" s="8"/>
      <c r="D334" s="8"/>
      <c r="E334" s="8"/>
      <c r="F334" s="8"/>
      <c r="G334" s="8"/>
      <c r="H334" s="8"/>
      <c r="I334" s="8"/>
      <c r="J334" s="8"/>
    </row>
    <row r="335" spans="3:10">
      <c r="C335" s="8"/>
      <c r="D335" s="8"/>
      <c r="E335" s="8"/>
      <c r="F335" s="8"/>
      <c r="G335" s="8"/>
      <c r="H335" s="8"/>
      <c r="I335" s="8"/>
      <c r="J335" s="8"/>
    </row>
    <row r="336" spans="3:10">
      <c r="C336" s="8"/>
      <c r="D336" s="8"/>
      <c r="E336" s="8"/>
      <c r="F336" s="8"/>
      <c r="G336" s="8"/>
      <c r="H336" s="8"/>
      <c r="I336" s="8"/>
      <c r="J336" s="8"/>
    </row>
    <row r="337" spans="3:10">
      <c r="C337" s="8"/>
      <c r="D337" s="8"/>
      <c r="E337" s="8"/>
      <c r="F337" s="8"/>
      <c r="G337" s="8"/>
      <c r="H337" s="8"/>
      <c r="I337" s="8"/>
      <c r="J337" s="8"/>
    </row>
    <row r="338" spans="3:10">
      <c r="C338" s="8"/>
      <c r="D338" s="8"/>
      <c r="E338" s="8"/>
      <c r="F338" s="8"/>
      <c r="G338" s="8"/>
      <c r="H338" s="8"/>
      <c r="I338" s="8"/>
      <c r="J338" s="8"/>
    </row>
    <row r="339" spans="3:10">
      <c r="C339" s="8"/>
      <c r="D339" s="8"/>
      <c r="E339" s="8"/>
      <c r="F339" s="8"/>
      <c r="G339" s="8"/>
      <c r="H339" s="8"/>
      <c r="I339" s="8"/>
      <c r="J339" s="8"/>
    </row>
    <row r="340" spans="3:10">
      <c r="C340" s="8"/>
      <c r="D340" s="8"/>
      <c r="E340" s="8"/>
      <c r="F340" s="8"/>
      <c r="G340" s="8"/>
      <c r="H340" s="8"/>
      <c r="I340" s="8"/>
      <c r="J340" s="8"/>
    </row>
    <row r="341" spans="3:10">
      <c r="C341" s="8"/>
      <c r="D341" s="8"/>
      <c r="E341" s="8"/>
      <c r="F341" s="8"/>
      <c r="G341" s="8"/>
      <c r="H341" s="8"/>
      <c r="I341" s="8"/>
      <c r="J341" s="8"/>
    </row>
    <row r="342" spans="3:10">
      <c r="C342" s="8"/>
      <c r="D342" s="8"/>
      <c r="E342" s="8"/>
      <c r="F342" s="8"/>
      <c r="G342" s="8"/>
      <c r="H342" s="8"/>
      <c r="I342" s="8"/>
      <c r="J342" s="8"/>
    </row>
    <row r="343" spans="3:10">
      <c r="C343" s="8"/>
      <c r="D343" s="8"/>
      <c r="E343" s="8"/>
      <c r="F343" s="8"/>
      <c r="G343" s="8"/>
      <c r="H343" s="8"/>
      <c r="I343" s="8"/>
      <c r="J343" s="8"/>
    </row>
    <row r="344" spans="3:10">
      <c r="C344" s="8"/>
      <c r="D344" s="8"/>
      <c r="E344" s="8"/>
      <c r="F344" s="8"/>
      <c r="G344" s="8"/>
      <c r="H344" s="8"/>
      <c r="I344" s="8"/>
      <c r="J344" s="8"/>
    </row>
    <row r="345" spans="3:10">
      <c r="C345" s="8"/>
      <c r="D345" s="8"/>
      <c r="E345" s="8"/>
      <c r="F345" s="8"/>
      <c r="G345" s="8"/>
      <c r="H345" s="8"/>
      <c r="I345" s="8"/>
      <c r="J345" s="8"/>
    </row>
    <row r="346" spans="3:10">
      <c r="C346" s="8"/>
      <c r="D346" s="8"/>
      <c r="E346" s="8"/>
      <c r="F346" s="8"/>
      <c r="G346" s="8"/>
      <c r="H346" s="8"/>
      <c r="I346" s="8"/>
      <c r="J346" s="8"/>
    </row>
    <row r="347" spans="3:10">
      <c r="C347" s="8"/>
      <c r="D347" s="8"/>
      <c r="E347" s="8"/>
      <c r="F347" s="8"/>
      <c r="G347" s="8"/>
      <c r="H347" s="8"/>
      <c r="I347" s="8"/>
      <c r="J347" s="8"/>
    </row>
    <row r="348" spans="3:10">
      <c r="C348" s="8"/>
      <c r="D348" s="8"/>
      <c r="E348" s="8"/>
      <c r="F348" s="8"/>
      <c r="G348" s="8"/>
      <c r="H348" s="8"/>
      <c r="I348" s="8"/>
      <c r="J348" s="8"/>
    </row>
    <row r="349" spans="3:10">
      <c r="C349" s="8"/>
      <c r="D349" s="8"/>
      <c r="E349" s="8"/>
      <c r="F349" s="8"/>
      <c r="G349" s="8"/>
      <c r="H349" s="8"/>
      <c r="I349" s="8"/>
      <c r="J349" s="8"/>
    </row>
    <row r="350" spans="3:10">
      <c r="C350" s="8"/>
      <c r="D350" s="8"/>
      <c r="E350" s="8"/>
      <c r="F350" s="8"/>
      <c r="G350" s="8"/>
      <c r="H350" s="8"/>
      <c r="I350" s="8"/>
      <c r="J350" s="8"/>
    </row>
    <row r="351" spans="3:10">
      <c r="C351" s="8"/>
      <c r="D351" s="8"/>
      <c r="E351" s="8"/>
      <c r="F351" s="8"/>
      <c r="G351" s="8"/>
      <c r="H351" s="8"/>
      <c r="I351" s="8"/>
      <c r="J351" s="8"/>
    </row>
    <row r="352" spans="3:10">
      <c r="C352" s="8"/>
      <c r="D352" s="8"/>
      <c r="E352" s="8"/>
      <c r="F352" s="8"/>
      <c r="G352" s="8"/>
      <c r="H352" s="8"/>
      <c r="I352" s="8"/>
      <c r="J352" s="8"/>
    </row>
    <row r="353" spans="3:22">
      <c r="C353" s="8"/>
      <c r="D353" s="8"/>
      <c r="E353" s="8"/>
      <c r="F353" s="8"/>
      <c r="G353" s="8"/>
      <c r="H353" s="8"/>
      <c r="I353" s="8"/>
      <c r="J353" s="8"/>
    </row>
    <row r="354" spans="3:22">
      <c r="C354" s="8"/>
      <c r="D354" s="8"/>
      <c r="E354" s="8"/>
      <c r="F354" s="8"/>
      <c r="G354" s="8"/>
      <c r="H354" s="8"/>
      <c r="I354" s="8"/>
      <c r="J354" s="8"/>
    </row>
    <row r="355" spans="3:22">
      <c r="C355" s="8"/>
      <c r="D355" s="8"/>
      <c r="E355" s="8"/>
      <c r="F355" s="8"/>
      <c r="G355" s="8"/>
      <c r="H355" s="8"/>
      <c r="I355" s="8"/>
      <c r="J355" s="8"/>
    </row>
    <row r="356" spans="3:22">
      <c r="C356" s="8"/>
      <c r="D356" s="8"/>
      <c r="E356" s="8"/>
      <c r="F356" s="8"/>
      <c r="G356" s="8"/>
      <c r="H356" s="8"/>
      <c r="I356" s="8"/>
      <c r="J356" s="8"/>
    </row>
    <row r="357" spans="3:22">
      <c r="C357" s="8"/>
      <c r="D357" s="8"/>
      <c r="E357" s="8"/>
      <c r="F357" s="8"/>
      <c r="G357" s="8"/>
      <c r="H357" s="8"/>
      <c r="I357" s="8"/>
      <c r="J357" s="8"/>
    </row>
    <row r="358" spans="3:22">
      <c r="C358" s="8"/>
      <c r="D358" s="8"/>
      <c r="E358" s="8"/>
      <c r="F358" s="8"/>
      <c r="G358" s="8"/>
      <c r="H358" s="8"/>
      <c r="I358" s="8"/>
      <c r="J358" s="8"/>
    </row>
    <row r="359" spans="3:22">
      <c r="C359" s="8"/>
      <c r="D359" s="8"/>
      <c r="E359" s="8"/>
      <c r="F359" s="8"/>
      <c r="G359" s="8"/>
      <c r="H359" s="8"/>
      <c r="I359" s="8"/>
      <c r="J359" s="8"/>
    </row>
    <row r="360" spans="3:22">
      <c r="C360" s="8"/>
      <c r="D360" s="8"/>
      <c r="E360" s="8"/>
      <c r="F360" s="8"/>
      <c r="G360" s="8"/>
      <c r="H360" s="8"/>
      <c r="I360" s="8"/>
      <c r="J360" s="8"/>
    </row>
    <row r="361" spans="3:22">
      <c r="C361" s="8"/>
      <c r="D361" s="8"/>
      <c r="E361" s="8"/>
      <c r="F361" s="8"/>
      <c r="G361" s="8"/>
      <c r="H361" s="8"/>
      <c r="I361" s="8"/>
      <c r="J361" s="8"/>
    </row>
    <row r="362" spans="3:22">
      <c r="M362" t="s">
        <v>285</v>
      </c>
      <c r="N362" t="s">
        <v>170</v>
      </c>
      <c r="O362" s="19">
        <v>65.820045741028594</v>
      </c>
      <c r="P362" s="19">
        <v>65.820045741028594</v>
      </c>
      <c r="Q362" s="19">
        <v>65.820045741028594</v>
      </c>
      <c r="R362" s="19">
        <v>65.820045741028594</v>
      </c>
      <c r="S362" s="19">
        <v>65.820045741028594</v>
      </c>
      <c r="T362" s="19">
        <v>65.820045741028594</v>
      </c>
      <c r="U362" s="19">
        <v>65.820045741028594</v>
      </c>
      <c r="V362" s="19">
        <v>65.820045741028594</v>
      </c>
    </row>
    <row r="363" spans="3:22">
      <c r="M363" t="s">
        <v>286</v>
      </c>
      <c r="N363" t="s">
        <v>170</v>
      </c>
      <c r="O363" s="19">
        <v>76.085236927821001</v>
      </c>
      <c r="P363" s="19">
        <v>76.085236927821001</v>
      </c>
      <c r="Q363" s="19">
        <v>76.085236927821001</v>
      </c>
      <c r="R363" s="19">
        <v>76.085236927821001</v>
      </c>
      <c r="S363" s="19">
        <v>76.085236927821001</v>
      </c>
      <c r="T363" s="19">
        <v>76.085236927821001</v>
      </c>
      <c r="U363" s="19">
        <v>76.085236927821001</v>
      </c>
      <c r="V363" s="19">
        <v>76.085236927821001</v>
      </c>
    </row>
    <row r="364" spans="3:22">
      <c r="M364" t="s">
        <v>287</v>
      </c>
      <c r="N364" t="s">
        <v>170</v>
      </c>
      <c r="O364" s="19">
        <v>20.93285073857475</v>
      </c>
      <c r="P364" s="19">
        <v>20.93285073857475</v>
      </c>
      <c r="Q364" s="19">
        <v>20.93285073857475</v>
      </c>
      <c r="R364" s="19">
        <v>20.93285073857475</v>
      </c>
      <c r="S364" s="19">
        <v>20.93285073857475</v>
      </c>
      <c r="T364" s="19">
        <v>20.93285073857475</v>
      </c>
      <c r="U364" s="19">
        <v>20.93285073857475</v>
      </c>
      <c r="V364" s="19">
        <v>20.93285073857475</v>
      </c>
    </row>
    <row r="365" spans="3:22">
      <c r="M365" t="s">
        <v>288</v>
      </c>
      <c r="N365" t="s">
        <v>170</v>
      </c>
      <c r="O365" s="19">
        <v>67.547330585132741</v>
      </c>
      <c r="P365" s="19">
        <v>67.547330585132741</v>
      </c>
      <c r="Q365" s="19">
        <v>67.547330585132741</v>
      </c>
      <c r="R365" s="19">
        <v>67.547330585132741</v>
      </c>
      <c r="S365" s="19">
        <v>67.547330585132741</v>
      </c>
      <c r="T365" s="19">
        <v>67.547330585132741</v>
      </c>
      <c r="U365" s="19">
        <v>67.547330585132741</v>
      </c>
      <c r="V365" s="19">
        <v>67.547330585132741</v>
      </c>
    </row>
    <row r="366" spans="3:22">
      <c r="M366" t="s">
        <v>289</v>
      </c>
      <c r="N366" t="s">
        <v>170</v>
      </c>
      <c r="O366" s="19">
        <v>59.925357884434241</v>
      </c>
      <c r="P366" s="19">
        <v>59.925357884434241</v>
      </c>
      <c r="Q366" s="19">
        <v>59.925357884434241</v>
      </c>
      <c r="R366" s="19">
        <v>59.925357884434241</v>
      </c>
      <c r="S366" s="19">
        <v>59.925357884434241</v>
      </c>
      <c r="T366" s="19">
        <v>59.925357884434241</v>
      </c>
      <c r="U366" s="19">
        <v>59.925357884434241</v>
      </c>
      <c r="V366" s="19">
        <v>59.925357884434241</v>
      </c>
    </row>
    <row r="367" spans="3:22">
      <c r="M367" t="s">
        <v>290</v>
      </c>
      <c r="N367" t="s">
        <v>170</v>
      </c>
      <c r="O367" s="19">
        <v>500.14764081946714</v>
      </c>
      <c r="P367" s="19">
        <v>500.14764081946714</v>
      </c>
      <c r="Q367" s="19">
        <v>500.14764081946714</v>
      </c>
      <c r="R367" s="19">
        <v>500.14764081946714</v>
      </c>
      <c r="S367" s="19">
        <v>500.14764081946714</v>
      </c>
      <c r="T367" s="19">
        <v>500.14764081946714</v>
      </c>
      <c r="U367" s="19">
        <v>500.14764081946714</v>
      </c>
      <c r="V367" s="19">
        <v>500.14764081946714</v>
      </c>
    </row>
    <row r="368" spans="3:22">
      <c r="M368" t="s">
        <v>291</v>
      </c>
      <c r="N368" t="s">
        <v>170</v>
      </c>
      <c r="O368" s="19">
        <v>40.256056216624273</v>
      </c>
      <c r="P368" s="19">
        <v>40.256056216624273</v>
      </c>
      <c r="Q368" s="19">
        <v>40.256056216624273</v>
      </c>
      <c r="R368" s="19">
        <v>40.256056216624273</v>
      </c>
      <c r="S368" s="19">
        <v>40.256056216624273</v>
      </c>
      <c r="T368" s="19">
        <v>40.256056216624273</v>
      </c>
      <c r="U368" s="19">
        <v>40.256056216624273</v>
      </c>
      <c r="V368" s="19">
        <v>40.256056216624273</v>
      </c>
    </row>
    <row r="369" spans="13:22">
      <c r="M369" t="s">
        <v>292</v>
      </c>
      <c r="N369" t="s">
        <v>170</v>
      </c>
      <c r="O369" s="19">
        <v>487.66262871539328</v>
      </c>
      <c r="P369" s="19">
        <v>487.66262871539328</v>
      </c>
      <c r="Q369" s="19">
        <v>487.66262871539328</v>
      </c>
      <c r="R369" s="19">
        <v>487.66262871539328</v>
      </c>
      <c r="S369" s="19">
        <v>487.66262871539328</v>
      </c>
      <c r="T369" s="19">
        <v>487.66262871539328</v>
      </c>
      <c r="U369" s="19">
        <v>487.66262871539328</v>
      </c>
      <c r="V369" s="19">
        <v>487.66262871539328</v>
      </c>
    </row>
    <row r="370" spans="13:22">
      <c r="M370" t="s">
        <v>293</v>
      </c>
      <c r="N370" t="s">
        <v>170</v>
      </c>
      <c r="O370" s="19">
        <v>389.04571844698876</v>
      </c>
      <c r="P370" s="19">
        <v>389.04571844698876</v>
      </c>
      <c r="Q370" s="19">
        <v>389.04571844698876</v>
      </c>
      <c r="R370" s="19">
        <v>389.04571844698876</v>
      </c>
      <c r="S370" s="19">
        <v>389.04571844698876</v>
      </c>
      <c r="T370" s="19">
        <v>389.04571844698876</v>
      </c>
      <c r="U370" s="19">
        <v>389.04571844698876</v>
      </c>
      <c r="V370" s="19">
        <v>389.04571844698876</v>
      </c>
    </row>
    <row r="371" spans="13:22">
      <c r="M371" t="s">
        <v>294</v>
      </c>
      <c r="N371" t="s">
        <v>170</v>
      </c>
      <c r="O371" s="19">
        <v>327.15469850445265</v>
      </c>
      <c r="P371" s="19">
        <v>327.15469850445265</v>
      </c>
      <c r="Q371" s="19">
        <v>327.15469850445265</v>
      </c>
      <c r="R371" s="19">
        <v>327.15469850445265</v>
      </c>
      <c r="S371" s="19">
        <v>327.15469850445265</v>
      </c>
      <c r="T371" s="19">
        <v>327.15469850445265</v>
      </c>
      <c r="U371" s="19">
        <v>327.15469850445265</v>
      </c>
      <c r="V371" s="19">
        <v>327.15469850445265</v>
      </c>
    </row>
    <row r="372" spans="13:22">
      <c r="M372" t="s">
        <v>295</v>
      </c>
      <c r="N372" t="s">
        <v>170</v>
      </c>
      <c r="O372" s="19">
        <v>258.68540103922237</v>
      </c>
      <c r="P372" s="19">
        <v>258.68540103922237</v>
      </c>
      <c r="Q372" s="19">
        <v>258.68540103922237</v>
      </c>
      <c r="R372" s="19">
        <v>258.68540103922237</v>
      </c>
      <c r="S372" s="19">
        <v>258.68540103922237</v>
      </c>
      <c r="T372" s="19">
        <v>258.68540103922237</v>
      </c>
      <c r="U372" s="19">
        <v>258.68540103922237</v>
      </c>
      <c r="V372" s="19">
        <v>258.68540103922237</v>
      </c>
    </row>
    <row r="373" spans="13:22">
      <c r="M373" t="s">
        <v>296</v>
      </c>
      <c r="N373" t="s">
        <v>170</v>
      </c>
      <c r="O373" s="19">
        <v>45.8268505771767</v>
      </c>
      <c r="P373" s="19">
        <v>45.8268505771767</v>
      </c>
      <c r="Q373" s="19">
        <v>45.8268505771767</v>
      </c>
      <c r="R373" s="19">
        <v>45.8268505771767</v>
      </c>
      <c r="S373" s="19">
        <v>45.8268505771767</v>
      </c>
      <c r="T373" s="19">
        <v>45.8268505771767</v>
      </c>
      <c r="U373" s="19">
        <v>45.8268505771767</v>
      </c>
      <c r="V373" s="19">
        <v>45.8268505771767</v>
      </c>
    </row>
    <row r="374" spans="13:22">
      <c r="M374" t="s">
        <v>297</v>
      </c>
      <c r="N374" t="s">
        <v>170</v>
      </c>
      <c r="O374" s="19">
        <v>356.88843167231295</v>
      </c>
      <c r="P374" s="19">
        <v>356.88843167231295</v>
      </c>
      <c r="Q374" s="19">
        <v>356.88843167231295</v>
      </c>
      <c r="R374" s="19">
        <v>356.88843167231295</v>
      </c>
      <c r="S374" s="19">
        <v>356.88843167231295</v>
      </c>
      <c r="T374" s="19">
        <v>356.88843167231295</v>
      </c>
      <c r="U374" s="19">
        <v>356.88843167231295</v>
      </c>
      <c r="V374" s="19">
        <v>356.88843167231295</v>
      </c>
    </row>
    <row r="375" spans="13:22">
      <c r="M375" t="s">
        <v>298</v>
      </c>
      <c r="N375" t="s">
        <v>170</v>
      </c>
      <c r="O375" s="19">
        <v>253.53837610735107</v>
      </c>
      <c r="P375" s="19">
        <v>253.53837610735107</v>
      </c>
      <c r="Q375" s="19">
        <v>253.53837610735107</v>
      </c>
      <c r="R375" s="19">
        <v>253.53837610735107</v>
      </c>
      <c r="S375" s="19">
        <v>253.53837610735107</v>
      </c>
      <c r="T375" s="19">
        <v>253.53837610735107</v>
      </c>
      <c r="U375" s="19">
        <v>253.53837610735107</v>
      </c>
      <c r="V375" s="19">
        <v>253.53837610735107</v>
      </c>
    </row>
    <row r="376" spans="13:22">
      <c r="M376" t="s">
        <v>307</v>
      </c>
      <c r="N376" t="s">
        <v>170</v>
      </c>
      <c r="O376" s="19">
        <v>213.72791792937628</v>
      </c>
      <c r="P376" s="19">
        <v>213.72791792937628</v>
      </c>
      <c r="Q376" s="19">
        <v>213.72791792937628</v>
      </c>
      <c r="R376" s="19">
        <v>213.72791792937628</v>
      </c>
      <c r="S376" s="19">
        <v>213.72791792937628</v>
      </c>
      <c r="T376" s="19">
        <v>213.72791792937628</v>
      </c>
      <c r="U376" s="19">
        <v>213.72791792937628</v>
      </c>
      <c r="V376" s="19">
        <v>213.72791792937628</v>
      </c>
    </row>
    <row r="377" spans="13:22">
      <c r="O377">
        <f>SUM(O362:O376)</f>
        <v>3163.244541905357</v>
      </c>
      <c r="P377">
        <f t="shared" ref="P377:V377" si="0">SUM(P362:P376)</f>
        <v>3163.244541905357</v>
      </c>
      <c r="Q377">
        <f t="shared" si="0"/>
        <v>3163.244541905357</v>
      </c>
      <c r="R377">
        <f t="shared" si="0"/>
        <v>3163.244541905357</v>
      </c>
      <c r="S377">
        <f t="shared" si="0"/>
        <v>3163.244541905357</v>
      </c>
      <c r="T377">
        <f t="shared" si="0"/>
        <v>3163.244541905357</v>
      </c>
      <c r="U377">
        <f t="shared" si="0"/>
        <v>3163.244541905357</v>
      </c>
      <c r="V377">
        <f t="shared" si="0"/>
        <v>3163.244541905357</v>
      </c>
    </row>
    <row r="379" spans="13:22">
      <c r="M379" t="s">
        <v>285</v>
      </c>
      <c r="N379" t="s">
        <v>171</v>
      </c>
      <c r="O379" s="19">
        <v>73.286615442456608</v>
      </c>
      <c r="P379" s="19">
        <v>73.286615442456608</v>
      </c>
      <c r="Q379" s="19">
        <v>73.286615442456608</v>
      </c>
      <c r="R379" s="19">
        <v>73.286615442456608</v>
      </c>
      <c r="S379" s="19">
        <v>73.286615442456608</v>
      </c>
      <c r="T379" s="19">
        <v>73.286615442456608</v>
      </c>
      <c r="U379" s="19">
        <v>73.286615442456608</v>
      </c>
      <c r="V379" s="19">
        <v>73.286615442456608</v>
      </c>
    </row>
    <row r="380" spans="13:22">
      <c r="M380" t="s">
        <v>286</v>
      </c>
      <c r="N380" t="s">
        <v>171</v>
      </c>
      <c r="O380" s="19">
        <v>37.756469465347188</v>
      </c>
      <c r="P380" s="19">
        <v>37.756469465347188</v>
      </c>
      <c r="Q380" s="19">
        <v>37.756469465347188</v>
      </c>
      <c r="R380" s="19">
        <v>37.756469465347188</v>
      </c>
      <c r="S380" s="19">
        <v>37.756469465347188</v>
      </c>
      <c r="T380" s="19">
        <v>37.756469465347188</v>
      </c>
      <c r="U380" s="19">
        <v>37.756469465347188</v>
      </c>
      <c r="V380" s="19">
        <v>37.756469465347188</v>
      </c>
    </row>
    <row r="381" spans="13:22">
      <c r="M381" t="s">
        <v>287</v>
      </c>
      <c r="N381" t="s">
        <v>171</v>
      </c>
      <c r="O381" s="19">
        <v>19.999865351724221</v>
      </c>
      <c r="P381" s="19">
        <v>19.999865351724221</v>
      </c>
      <c r="Q381" s="19">
        <v>19.999865351724221</v>
      </c>
      <c r="R381" s="19">
        <v>19.999865351724221</v>
      </c>
      <c r="S381" s="19">
        <v>19.999865351724221</v>
      </c>
      <c r="T381" s="19">
        <v>19.999865351724221</v>
      </c>
      <c r="U381" s="19">
        <v>19.999865351724221</v>
      </c>
      <c r="V381" s="19">
        <v>19.999865351724221</v>
      </c>
    </row>
    <row r="382" spans="13:22">
      <c r="M382" t="s">
        <v>288</v>
      </c>
      <c r="N382" t="s">
        <v>171</v>
      </c>
      <c r="O382" s="19">
        <v>74.991117985797089</v>
      </c>
      <c r="P382" s="19">
        <v>74.991117985797089</v>
      </c>
      <c r="Q382" s="19">
        <v>74.991117985797089</v>
      </c>
      <c r="R382" s="19">
        <v>74.991117985797089</v>
      </c>
      <c r="S382" s="19">
        <v>74.991117985797089</v>
      </c>
      <c r="T382" s="19">
        <v>74.991117985797089</v>
      </c>
      <c r="U382" s="19">
        <v>74.991117985797089</v>
      </c>
      <c r="V382" s="19">
        <v>74.991117985797089</v>
      </c>
    </row>
    <row r="383" spans="13:22">
      <c r="M383" t="s">
        <v>289</v>
      </c>
      <c r="N383" t="s">
        <v>171</v>
      </c>
      <c r="O383" s="19">
        <v>54.891598464476111</v>
      </c>
      <c r="P383" s="19">
        <v>54.891598464476111</v>
      </c>
      <c r="Q383" s="19">
        <v>54.891598464476111</v>
      </c>
      <c r="R383" s="19">
        <v>54.891598464476111</v>
      </c>
      <c r="S383" s="19">
        <v>54.891598464476111</v>
      </c>
      <c r="T383" s="19">
        <v>54.891598464476111</v>
      </c>
      <c r="U383" s="19">
        <v>54.891598464476111</v>
      </c>
      <c r="V383" s="19">
        <v>54.891598464476111</v>
      </c>
    </row>
    <row r="384" spans="13:22">
      <c r="M384" t="s">
        <v>290</v>
      </c>
      <c r="N384" t="s">
        <v>171</v>
      </c>
      <c r="O384" s="19">
        <v>416.83052705856466</v>
      </c>
      <c r="P384" s="19">
        <v>416.83052705856466</v>
      </c>
      <c r="Q384" s="19">
        <v>416.83052705856466</v>
      </c>
      <c r="R384" s="19">
        <v>416.83052705856466</v>
      </c>
      <c r="S384" s="19">
        <v>416.83052705856466</v>
      </c>
      <c r="T384" s="19">
        <v>416.83052705856466</v>
      </c>
      <c r="U384" s="19">
        <v>416.83052705856466</v>
      </c>
      <c r="V384" s="19">
        <v>416.83052705856466</v>
      </c>
    </row>
    <row r="385" spans="13:22">
      <c r="M385" t="s">
        <v>291</v>
      </c>
      <c r="N385" t="s">
        <v>171</v>
      </c>
      <c r="O385" s="19">
        <v>20.877473470201608</v>
      </c>
      <c r="P385" s="19">
        <v>20.877473470201608</v>
      </c>
      <c r="Q385" s="19">
        <v>20.877473470201608</v>
      </c>
      <c r="R385" s="19">
        <v>20.877473470201608</v>
      </c>
      <c r="S385" s="19">
        <v>20.877473470201608</v>
      </c>
      <c r="T385" s="19">
        <v>20.877473470201608</v>
      </c>
      <c r="U385" s="19">
        <v>20.877473470201608</v>
      </c>
      <c r="V385" s="19">
        <v>20.877473470201608</v>
      </c>
    </row>
    <row r="386" spans="13:22">
      <c r="M386" t="s">
        <v>292</v>
      </c>
      <c r="N386" t="s">
        <v>171</v>
      </c>
      <c r="O386" s="19">
        <v>520.14152416124296</v>
      </c>
      <c r="P386" s="19">
        <v>520.14152416124296</v>
      </c>
      <c r="Q386" s="19">
        <v>520.14152416124296</v>
      </c>
      <c r="R386" s="19">
        <v>520.14152416124296</v>
      </c>
      <c r="S386" s="19">
        <v>520.14152416124296</v>
      </c>
      <c r="T386" s="19">
        <v>520.14152416124296</v>
      </c>
      <c r="U386" s="19">
        <v>520.14152416124296</v>
      </c>
      <c r="V386" s="19">
        <v>520.14152416124296</v>
      </c>
    </row>
    <row r="387" spans="13:22">
      <c r="M387" t="s">
        <v>293</v>
      </c>
      <c r="N387" t="s">
        <v>171</v>
      </c>
      <c r="O387" s="19">
        <v>211.58879749195361</v>
      </c>
      <c r="P387" s="19">
        <v>211.58879749195361</v>
      </c>
      <c r="Q387" s="19">
        <v>211.58879749195361</v>
      </c>
      <c r="R387" s="19">
        <v>211.58879749195361</v>
      </c>
      <c r="S387" s="19">
        <v>211.58879749195361</v>
      </c>
      <c r="T387" s="19">
        <v>211.58879749195361</v>
      </c>
      <c r="U387" s="19">
        <v>211.58879749195361</v>
      </c>
      <c r="V387" s="19">
        <v>211.58879749195361</v>
      </c>
    </row>
    <row r="388" spans="13:22">
      <c r="M388" t="s">
        <v>294</v>
      </c>
      <c r="N388" t="s">
        <v>171</v>
      </c>
      <c r="O388" s="19">
        <v>670.04415479610032</v>
      </c>
      <c r="P388" s="19">
        <v>670.04415479610032</v>
      </c>
      <c r="Q388" s="19">
        <v>670.04415479610032</v>
      </c>
      <c r="R388" s="19">
        <v>670.04415479610032</v>
      </c>
      <c r="S388" s="19">
        <v>670.04415479610032</v>
      </c>
      <c r="T388" s="19">
        <v>670.04415479610032</v>
      </c>
      <c r="U388" s="19">
        <v>670.04415479610032</v>
      </c>
      <c r="V388" s="19">
        <v>670.04415479610032</v>
      </c>
    </row>
    <row r="389" spans="13:22">
      <c r="M389" t="s">
        <v>295</v>
      </c>
      <c r="N389" t="s">
        <v>171</v>
      </c>
      <c r="O389" s="19">
        <v>702.85878737091514</v>
      </c>
      <c r="P389" s="19">
        <v>702.85878737091514</v>
      </c>
      <c r="Q389" s="19">
        <v>702.85878737091514</v>
      </c>
      <c r="R389" s="19">
        <v>702.85878737091514</v>
      </c>
      <c r="S389" s="19">
        <v>702.85878737091514</v>
      </c>
      <c r="T389" s="19">
        <v>702.85878737091514</v>
      </c>
      <c r="U389" s="19">
        <v>702.85878737091514</v>
      </c>
      <c r="V389" s="19">
        <v>702.85878737091514</v>
      </c>
    </row>
    <row r="390" spans="13:22">
      <c r="M390" t="s">
        <v>296</v>
      </c>
      <c r="N390" t="s">
        <v>171</v>
      </c>
      <c r="O390" s="19">
        <v>23.408221565813491</v>
      </c>
      <c r="P390" s="19">
        <v>23.408221565813491</v>
      </c>
      <c r="Q390" s="19">
        <v>23.408221565813491</v>
      </c>
      <c r="R390" s="19">
        <v>23.408221565813491</v>
      </c>
      <c r="S390" s="19">
        <v>23.408221565813491</v>
      </c>
      <c r="T390" s="19">
        <v>23.408221565813491</v>
      </c>
      <c r="U390" s="19">
        <v>23.408221565813491</v>
      </c>
      <c r="V390" s="19">
        <v>23.408221565813491</v>
      </c>
    </row>
    <row r="391" spans="13:22">
      <c r="M391" t="s">
        <v>297</v>
      </c>
      <c r="N391" t="s">
        <v>171</v>
      </c>
      <c r="O391" s="19">
        <v>181.41601630718262</v>
      </c>
      <c r="P391" s="19">
        <v>181.41601630718262</v>
      </c>
      <c r="Q391" s="19">
        <v>181.41601630718262</v>
      </c>
      <c r="R391" s="19">
        <v>181.41601630718262</v>
      </c>
      <c r="S391" s="19">
        <v>181.41601630718262</v>
      </c>
      <c r="T391" s="19">
        <v>181.41601630718262</v>
      </c>
      <c r="U391" s="19">
        <v>181.41601630718262</v>
      </c>
      <c r="V391" s="19">
        <v>181.41601630718262</v>
      </c>
    </row>
    <row r="392" spans="13:22">
      <c r="M392" t="s">
        <v>298</v>
      </c>
      <c r="N392" t="s">
        <v>171</v>
      </c>
      <c r="O392" s="19">
        <v>111.91081539316926</v>
      </c>
      <c r="P392" s="19">
        <v>111.91081539316926</v>
      </c>
      <c r="Q392" s="19">
        <v>111.91081539316926</v>
      </c>
      <c r="R392" s="19">
        <v>111.91081539316926</v>
      </c>
      <c r="S392" s="19">
        <v>111.91081539316926</v>
      </c>
      <c r="T392" s="19">
        <v>111.91081539316926</v>
      </c>
      <c r="U392" s="19">
        <v>111.91081539316926</v>
      </c>
      <c r="V392" s="19">
        <v>111.91081539316926</v>
      </c>
    </row>
    <row r="393" spans="13:22">
      <c r="M393" t="s">
        <v>307</v>
      </c>
      <c r="N393" t="s">
        <v>171</v>
      </c>
      <c r="O393" s="19">
        <v>287.87534837756562</v>
      </c>
      <c r="P393" s="19">
        <v>287.87534837756562</v>
      </c>
      <c r="Q393" s="19">
        <v>287.87534837756562</v>
      </c>
      <c r="R393" s="19">
        <v>287.87534837756562</v>
      </c>
      <c r="S393" s="19">
        <v>287.87534837756562</v>
      </c>
      <c r="T393" s="19">
        <v>287.87534837756562</v>
      </c>
      <c r="U393" s="19">
        <v>287.87534837756562</v>
      </c>
      <c r="V393" s="19">
        <v>287.87534837756562</v>
      </c>
    </row>
    <row r="394" spans="13:22">
      <c r="O394">
        <f>SUM(O379:O393)</f>
        <v>3407.8773327025101</v>
      </c>
      <c r="P394">
        <f t="shared" ref="P394:V394" si="1">SUM(P379:P393)</f>
        <v>3407.8773327025101</v>
      </c>
      <c r="Q394">
        <f t="shared" si="1"/>
        <v>3407.8773327025101</v>
      </c>
      <c r="R394">
        <f t="shared" si="1"/>
        <v>3407.8773327025101</v>
      </c>
      <c r="S394">
        <f t="shared" si="1"/>
        <v>3407.8773327025101</v>
      </c>
      <c r="T394">
        <f t="shared" si="1"/>
        <v>3407.8773327025101</v>
      </c>
      <c r="U394">
        <f t="shared" si="1"/>
        <v>3407.8773327025101</v>
      </c>
      <c r="V394">
        <f t="shared" si="1"/>
        <v>3407.8773327025101</v>
      </c>
    </row>
    <row r="578" spans="1:12">
      <c r="A578" s="5"/>
      <c r="C578" s="21"/>
      <c r="D578" s="21"/>
      <c r="E578" s="21"/>
      <c r="F578" s="21"/>
      <c r="G578" s="21"/>
      <c r="H578" s="21"/>
      <c r="I578" s="21"/>
      <c r="J578" s="21"/>
    </row>
    <row r="579" spans="1:12">
      <c r="A579" s="5"/>
      <c r="C579" s="21"/>
      <c r="D579" s="21"/>
      <c r="E579" s="21"/>
      <c r="F579" s="21"/>
      <c r="G579" s="21"/>
      <c r="H579" s="21"/>
      <c r="I579" s="21"/>
      <c r="J579" s="21"/>
    </row>
    <row r="580" spans="1:12">
      <c r="A580" s="5"/>
      <c r="C580" s="21"/>
      <c r="D580" s="21"/>
      <c r="E580" s="21"/>
      <c r="F580" s="21"/>
      <c r="G580" s="21"/>
      <c r="H580" s="21"/>
      <c r="I580" s="21"/>
      <c r="J580" s="21"/>
      <c r="L580" s="16"/>
    </row>
    <row r="581" spans="1:12">
      <c r="A581" s="5"/>
      <c r="C581" s="21"/>
      <c r="D581" s="21"/>
      <c r="E581" s="21"/>
      <c r="F581" s="21"/>
      <c r="G581" s="21"/>
      <c r="H581" s="21"/>
      <c r="I581" s="21"/>
      <c r="J581" s="21"/>
      <c r="L581" s="16"/>
    </row>
    <row r="582" spans="1:12">
      <c r="A582" s="5"/>
      <c r="C582" s="21"/>
      <c r="D582" s="21"/>
      <c r="E582" s="21"/>
      <c r="F582" s="21"/>
      <c r="G582" s="21"/>
      <c r="H582" s="21"/>
      <c r="I582" s="21"/>
      <c r="J582" s="21"/>
    </row>
    <row r="583" spans="1:12">
      <c r="A583" s="5"/>
      <c r="C583" s="21"/>
      <c r="D583" s="21"/>
      <c r="E583" s="21"/>
      <c r="F583" s="21"/>
      <c r="G583" s="21"/>
      <c r="H583" s="21"/>
      <c r="I583" s="21"/>
      <c r="J583" s="21"/>
    </row>
    <row r="584" spans="1:12">
      <c r="A584" s="5"/>
      <c r="C584" s="21"/>
      <c r="D584" s="21"/>
      <c r="E584" s="21"/>
      <c r="F584" s="21"/>
      <c r="G584" s="21"/>
      <c r="H584" s="21"/>
      <c r="I584" s="21"/>
      <c r="J584" s="21"/>
    </row>
    <row r="585" spans="1:12">
      <c r="A585" s="5"/>
      <c r="C585" s="21"/>
      <c r="D585" s="21"/>
      <c r="E585" s="21"/>
      <c r="F585" s="21"/>
      <c r="G585" s="21"/>
      <c r="H585" s="21"/>
      <c r="I585" s="21"/>
      <c r="J585" s="21"/>
    </row>
    <row r="586" spans="1:12">
      <c r="A586" s="5"/>
      <c r="C586" s="21"/>
      <c r="D586" s="21"/>
      <c r="E586" s="21"/>
      <c r="F586" s="21"/>
      <c r="G586" s="21"/>
      <c r="H586" s="21"/>
      <c r="I586" s="21"/>
      <c r="J586" s="21"/>
    </row>
    <row r="587" spans="1:12">
      <c r="A587" s="5"/>
      <c r="C587" s="21"/>
      <c r="D587" s="21"/>
      <c r="E587" s="21"/>
      <c r="F587" s="21"/>
      <c r="G587" s="21"/>
      <c r="H587" s="21"/>
      <c r="I587" s="21"/>
      <c r="J587" s="21"/>
    </row>
    <row r="588" spans="1:12">
      <c r="A588" s="5"/>
      <c r="C588" s="16"/>
      <c r="D588" s="16"/>
      <c r="E588" s="16"/>
      <c r="F588" s="16"/>
      <c r="G588" s="16"/>
      <c r="H588" s="16"/>
      <c r="I588" s="16"/>
      <c r="J588" s="16"/>
    </row>
    <row r="589" spans="1:12">
      <c r="A589" s="5"/>
      <c r="C589" s="16"/>
      <c r="D589" s="16"/>
      <c r="E589" s="16"/>
      <c r="F589" s="16"/>
      <c r="G589" s="16"/>
      <c r="H589" s="16"/>
      <c r="I589" s="16"/>
      <c r="J589" s="16"/>
    </row>
    <row r="590" spans="1:12">
      <c r="A590" s="5"/>
      <c r="C590" s="16"/>
      <c r="D590" s="16"/>
      <c r="E590" s="16"/>
      <c r="F590" s="16"/>
      <c r="G590" s="16"/>
      <c r="H590" s="16"/>
      <c r="I590" s="16"/>
      <c r="J590" s="16"/>
    </row>
    <row r="591" spans="1:12">
      <c r="A591" s="5"/>
      <c r="C591" s="21"/>
      <c r="D591" s="21"/>
      <c r="E591" s="21"/>
      <c r="F591" s="21"/>
      <c r="G591" s="21"/>
      <c r="H591" s="21"/>
      <c r="I591" s="21"/>
      <c r="J591" s="21"/>
    </row>
    <row r="592" spans="1:12">
      <c r="A592" s="5"/>
      <c r="C592" s="21"/>
      <c r="D592" s="21"/>
      <c r="E592" s="21"/>
      <c r="F592" s="21"/>
      <c r="G592" s="21"/>
      <c r="H592" s="21"/>
      <c r="I592" s="21"/>
      <c r="J592" s="21"/>
    </row>
    <row r="593" spans="1:10">
      <c r="A593" s="5"/>
      <c r="C593" s="21"/>
      <c r="D593" s="21"/>
      <c r="E593" s="21"/>
      <c r="F593" s="21"/>
      <c r="G593" s="21"/>
      <c r="H593" s="21"/>
      <c r="I593" s="21"/>
      <c r="J593" s="21"/>
    </row>
    <row r="594" spans="1:10">
      <c r="A594" s="5"/>
      <c r="C594" s="21"/>
      <c r="D594" s="21"/>
      <c r="E594" s="21"/>
      <c r="F594" s="21"/>
      <c r="G594" s="21"/>
      <c r="H594" s="21"/>
      <c r="I594" s="21"/>
      <c r="J594" s="21"/>
    </row>
    <row r="595" spans="1:10">
      <c r="C595"/>
      <c r="D595"/>
      <c r="E595"/>
      <c r="F595"/>
      <c r="G595"/>
      <c r="H595"/>
      <c r="I595"/>
      <c r="J595"/>
    </row>
    <row r="596" spans="1:10">
      <c r="C596"/>
      <c r="D596"/>
      <c r="E596"/>
      <c r="F596"/>
      <c r="G596"/>
      <c r="H596"/>
      <c r="I596"/>
      <c r="J596"/>
    </row>
    <row r="597" spans="1:10">
      <c r="C597"/>
      <c r="D597"/>
      <c r="E597"/>
      <c r="F597"/>
      <c r="G597"/>
      <c r="H597"/>
      <c r="I597"/>
      <c r="J597"/>
    </row>
    <row r="598" spans="1:10">
      <c r="C598"/>
      <c r="D598"/>
      <c r="E598"/>
      <c r="F598"/>
      <c r="G598"/>
      <c r="H598"/>
      <c r="I598"/>
      <c r="J598"/>
    </row>
    <row r="599" spans="1:10">
      <c r="C599"/>
      <c r="D599"/>
      <c r="E599"/>
      <c r="F599"/>
      <c r="G599"/>
      <c r="H599"/>
      <c r="I599"/>
      <c r="J599"/>
    </row>
    <row r="600" spans="1:10">
      <c r="C600"/>
      <c r="D600"/>
      <c r="E600"/>
      <c r="F600"/>
      <c r="G600"/>
      <c r="H600"/>
      <c r="I600"/>
      <c r="J600"/>
    </row>
    <row r="601" spans="1:10">
      <c r="C601"/>
      <c r="D601"/>
      <c r="E601"/>
      <c r="F601"/>
      <c r="G601"/>
      <c r="H601"/>
      <c r="I601"/>
      <c r="J601"/>
    </row>
    <row r="602" spans="1:10">
      <c r="C602"/>
      <c r="D602"/>
      <c r="E602"/>
      <c r="F602"/>
      <c r="G602"/>
      <c r="H602"/>
      <c r="I602"/>
      <c r="J602"/>
    </row>
    <row r="603" spans="1:10">
      <c r="C603"/>
      <c r="D603"/>
      <c r="E603"/>
      <c r="F603"/>
      <c r="G603"/>
      <c r="H603"/>
      <c r="I603"/>
      <c r="J603"/>
    </row>
    <row r="604" spans="1:10">
      <c r="C604"/>
      <c r="D604"/>
      <c r="E604"/>
      <c r="F604"/>
      <c r="G604"/>
      <c r="H604"/>
      <c r="I604"/>
      <c r="J604"/>
    </row>
    <row r="605" spans="1:10">
      <c r="C605"/>
      <c r="D605"/>
      <c r="E605"/>
      <c r="F605"/>
      <c r="G605"/>
      <c r="H605"/>
      <c r="I605"/>
      <c r="J605"/>
    </row>
    <row r="606" spans="1:10">
      <c r="C606"/>
      <c r="D606"/>
      <c r="E606"/>
      <c r="F606"/>
      <c r="G606"/>
      <c r="H606"/>
      <c r="I606"/>
      <c r="J606"/>
    </row>
    <row r="607" spans="1:10">
      <c r="C607"/>
      <c r="D607"/>
      <c r="E607"/>
      <c r="F607"/>
      <c r="G607"/>
      <c r="H607"/>
      <c r="I607"/>
      <c r="J607"/>
    </row>
    <row r="608" spans="1:10">
      <c r="C608"/>
      <c r="D608"/>
      <c r="E608"/>
      <c r="F608"/>
      <c r="G608"/>
      <c r="H608"/>
      <c r="I608"/>
      <c r="J608"/>
    </row>
    <row r="609" customFormat="1"/>
    <row r="610" customFormat="1"/>
    <row r="611" customFormat="1"/>
    <row r="612" customFormat="1"/>
    <row r="613" customFormat="1"/>
    <row r="614" customFormat="1"/>
    <row r="615" customFormat="1"/>
    <row r="616" customFormat="1"/>
    <row r="617" customFormat="1"/>
    <row r="618" customFormat="1"/>
    <row r="619" customFormat="1"/>
    <row r="620" customFormat="1"/>
    <row r="647" spans="2:11">
      <c r="B647" s="8"/>
    </row>
    <row r="648" spans="2:11">
      <c r="K648" s="14" t="s">
        <v>326</v>
      </c>
    </row>
    <row r="649" spans="2:11">
      <c r="K649" s="14" t="s">
        <v>326</v>
      </c>
    </row>
    <row r="650" spans="2:11">
      <c r="K650" s="14" t="s">
        <v>326</v>
      </c>
    </row>
    <row r="651" spans="2:11">
      <c r="K651" s="14" t="s">
        <v>326</v>
      </c>
    </row>
    <row r="652" spans="2:11">
      <c r="K652" s="14" t="s">
        <v>326</v>
      </c>
    </row>
    <row r="653" spans="2:11">
      <c r="K653" s="14" t="s">
        <v>326</v>
      </c>
    </row>
    <row r="654" spans="2:11">
      <c r="K654" s="14" t="s">
        <v>326</v>
      </c>
    </row>
    <row r="655" spans="2:11">
      <c r="K655" s="14" t="s">
        <v>326</v>
      </c>
    </row>
    <row r="656" spans="2:11">
      <c r="K656" s="14" t="s">
        <v>326</v>
      </c>
    </row>
    <row r="657" spans="3:11">
      <c r="K657" s="14" t="s">
        <v>326</v>
      </c>
    </row>
    <row r="658" spans="3:11">
      <c r="K658" s="14" t="s">
        <v>326</v>
      </c>
    </row>
    <row r="659" spans="3:11">
      <c r="K659" s="14" t="s">
        <v>326</v>
      </c>
    </row>
    <row r="660" spans="3:11">
      <c r="K660" s="14" t="s">
        <v>326</v>
      </c>
    </row>
    <row r="661" spans="3:11">
      <c r="K661" s="14" t="s">
        <v>326</v>
      </c>
    </row>
    <row r="662" spans="3:11">
      <c r="K662" s="14" t="s">
        <v>326</v>
      </c>
    </row>
    <row r="663" spans="3:11">
      <c r="K663" s="14" t="s">
        <v>326</v>
      </c>
    </row>
    <row r="664" spans="3:11">
      <c r="K664" s="14" t="s">
        <v>326</v>
      </c>
    </row>
    <row r="665" spans="3:11">
      <c r="K665" s="14" t="s">
        <v>326</v>
      </c>
    </row>
    <row r="666" spans="3:11">
      <c r="K666" s="14" t="s">
        <v>326</v>
      </c>
    </row>
    <row r="667" spans="3:11">
      <c r="K667" s="14" t="s">
        <v>326</v>
      </c>
    </row>
    <row r="668" spans="3:11">
      <c r="C668" s="8"/>
      <c r="D668" s="8"/>
      <c r="E668" s="8"/>
      <c r="F668" s="8"/>
      <c r="G668" s="8"/>
      <c r="H668" s="8"/>
      <c r="I668" s="8"/>
      <c r="J668" s="8"/>
    </row>
    <row r="669" spans="3:11">
      <c r="C669" s="8"/>
      <c r="D669" s="8"/>
      <c r="E669" s="8"/>
      <c r="F669" s="8"/>
      <c r="G669" s="8"/>
      <c r="H669" s="8"/>
      <c r="I669" s="8"/>
      <c r="J669" s="8"/>
    </row>
    <row r="670" spans="3:11">
      <c r="C670" s="8"/>
      <c r="D670" s="8"/>
      <c r="E670" s="8"/>
      <c r="F670" s="8"/>
      <c r="G670" s="8"/>
      <c r="H670" s="8"/>
      <c r="I670" s="8"/>
      <c r="J670" s="8"/>
    </row>
    <row r="671" spans="3:11">
      <c r="C671" s="8"/>
      <c r="D671" s="8"/>
      <c r="E671" s="8"/>
      <c r="F671" s="8"/>
      <c r="G671" s="8"/>
      <c r="H671" s="8"/>
      <c r="I671" s="8"/>
      <c r="J671" s="8"/>
    </row>
    <row r="672" spans="3:11">
      <c r="C672" s="8"/>
      <c r="D672" s="8"/>
      <c r="E672" s="8"/>
      <c r="F672" s="8"/>
      <c r="G672" s="8"/>
      <c r="H672" s="8"/>
      <c r="I672" s="8"/>
      <c r="J672" s="8"/>
    </row>
    <row r="673" spans="3:10">
      <c r="C673" s="8"/>
      <c r="D673" s="8"/>
      <c r="E673" s="8"/>
      <c r="F673" s="8"/>
      <c r="G673" s="8"/>
      <c r="H673" s="8"/>
      <c r="I673" s="8"/>
      <c r="J673" s="8"/>
    </row>
    <row r="674" spans="3:10">
      <c r="C674" s="8"/>
      <c r="D674" s="8"/>
      <c r="E674" s="8"/>
      <c r="F674" s="8"/>
      <c r="G674" s="8"/>
      <c r="H674" s="8"/>
      <c r="I674" s="8"/>
      <c r="J674" s="8"/>
    </row>
    <row r="675" spans="3:10">
      <c r="C675" s="8"/>
      <c r="D675" s="8"/>
      <c r="E675" s="8"/>
      <c r="F675" s="8"/>
      <c r="G675" s="8"/>
      <c r="H675" s="8"/>
      <c r="I675" s="8"/>
      <c r="J675" s="8"/>
    </row>
    <row r="676" spans="3:10">
      <c r="C676" s="8"/>
      <c r="D676" s="8"/>
      <c r="E676" s="8"/>
      <c r="F676" s="8"/>
      <c r="G676" s="8"/>
      <c r="H676" s="8"/>
      <c r="I676" s="8"/>
      <c r="J676" s="8"/>
    </row>
    <row r="677" spans="3:10">
      <c r="C677" s="8"/>
      <c r="D677" s="8"/>
      <c r="E677" s="8"/>
      <c r="F677" s="8"/>
      <c r="G677" s="8"/>
      <c r="H677" s="8"/>
      <c r="I677" s="8"/>
      <c r="J677" s="8"/>
    </row>
    <row r="678" spans="3:10">
      <c r="C678" s="8"/>
      <c r="D678" s="8"/>
      <c r="E678" s="8"/>
      <c r="F678" s="8"/>
      <c r="G678" s="8"/>
      <c r="H678" s="8"/>
      <c r="I678" s="8"/>
      <c r="J678" s="8"/>
    </row>
    <row r="679" spans="3:10">
      <c r="C679" s="8"/>
      <c r="D679" s="8"/>
      <c r="E679" s="8"/>
      <c r="F679" s="8"/>
      <c r="G679" s="8"/>
      <c r="H679" s="8"/>
      <c r="I679" s="8"/>
      <c r="J679" s="8"/>
    </row>
    <row r="680" spans="3:10">
      <c r="C680" s="8"/>
      <c r="D680" s="8"/>
      <c r="E680" s="8"/>
      <c r="F680" s="8"/>
      <c r="G680" s="8"/>
      <c r="H680" s="8"/>
      <c r="I680" s="8"/>
      <c r="J680" s="8"/>
    </row>
    <row r="681" spans="3:10">
      <c r="C681" s="8"/>
      <c r="D681" s="8"/>
      <c r="E681" s="8"/>
      <c r="F681" s="8"/>
      <c r="G681" s="8"/>
      <c r="H681" s="8"/>
      <c r="I681" s="8"/>
      <c r="J681" s="8"/>
    </row>
    <row r="682" spans="3:10">
      <c r="C682" s="8"/>
      <c r="D682" s="8"/>
      <c r="E682" s="8"/>
      <c r="F682" s="8"/>
      <c r="G682" s="8"/>
      <c r="H682" s="8"/>
      <c r="I682" s="8"/>
      <c r="J682" s="8"/>
    </row>
    <row r="683" spans="3:10">
      <c r="C683" s="8"/>
      <c r="D683" s="8"/>
      <c r="E683" s="8"/>
      <c r="F683" s="8"/>
      <c r="G683" s="8"/>
      <c r="H683" s="8"/>
      <c r="I683" s="8"/>
      <c r="J683" s="8"/>
    </row>
    <row r="684" spans="3:10">
      <c r="C684" s="8"/>
      <c r="D684" s="8"/>
      <c r="E684" s="8"/>
      <c r="F684" s="8"/>
      <c r="G684" s="8"/>
      <c r="H684" s="8"/>
      <c r="I684" s="8"/>
      <c r="J684" s="8"/>
    </row>
    <row r="685" spans="3:10">
      <c r="C685" s="8"/>
      <c r="D685" s="8"/>
      <c r="E685" s="8"/>
      <c r="F685" s="8"/>
      <c r="G685" s="8"/>
      <c r="H685" s="8"/>
      <c r="I685" s="8"/>
      <c r="J685" s="8"/>
    </row>
    <row r="686" spans="3:10">
      <c r="C686" s="8"/>
      <c r="D686" s="8"/>
      <c r="E686" s="8"/>
      <c r="F686" s="8"/>
      <c r="G686" s="8"/>
      <c r="H686" s="8"/>
      <c r="I686" s="8"/>
      <c r="J686" s="8"/>
    </row>
    <row r="687" spans="3:10">
      <c r="C687" s="8"/>
      <c r="D687" s="8"/>
      <c r="E687" s="8"/>
      <c r="F687" s="8"/>
      <c r="G687" s="8"/>
      <c r="H687" s="8"/>
      <c r="I687" s="8"/>
      <c r="J687" s="8"/>
    </row>
    <row r="688" spans="3:10">
      <c r="C688" s="8"/>
      <c r="D688" s="8"/>
      <c r="E688" s="8"/>
      <c r="F688" s="8"/>
      <c r="G688" s="8"/>
      <c r="H688" s="8"/>
      <c r="I688" s="8"/>
      <c r="J688" s="8"/>
    </row>
    <row r="689" spans="3:10">
      <c r="C689" s="8"/>
      <c r="D689" s="8"/>
      <c r="E689" s="8"/>
      <c r="F689" s="8"/>
      <c r="G689" s="8"/>
      <c r="H689" s="8"/>
      <c r="I689" s="8"/>
      <c r="J689" s="8"/>
    </row>
    <row r="690" spans="3:10">
      <c r="C690" s="8"/>
      <c r="D690" s="8"/>
      <c r="E690" s="8"/>
      <c r="F690" s="8"/>
      <c r="G690" s="8"/>
      <c r="H690" s="8"/>
      <c r="I690" s="8"/>
      <c r="J690" s="8"/>
    </row>
    <row r="691" spans="3:10">
      <c r="C691" s="8"/>
      <c r="D691" s="8"/>
      <c r="E691" s="8"/>
      <c r="F691" s="8"/>
      <c r="G691" s="8"/>
      <c r="H691" s="8"/>
      <c r="I691" s="8"/>
      <c r="J691" s="8"/>
    </row>
    <row r="692" spans="3:10">
      <c r="C692" s="8"/>
      <c r="D692" s="8"/>
      <c r="E692" s="8"/>
      <c r="F692" s="8"/>
      <c r="G692" s="8"/>
      <c r="H692" s="8"/>
      <c r="I692" s="8"/>
      <c r="J692" s="8"/>
    </row>
    <row r="693" spans="3:10">
      <c r="C693" s="8"/>
      <c r="D693" s="8"/>
      <c r="E693" s="8"/>
      <c r="F693" s="8"/>
      <c r="G693" s="8"/>
      <c r="H693" s="8"/>
      <c r="I693" s="8"/>
      <c r="J693" s="8"/>
    </row>
    <row r="694" spans="3:10">
      <c r="C694" s="8"/>
      <c r="D694" s="8"/>
      <c r="E694" s="8"/>
      <c r="F694" s="8"/>
      <c r="G694" s="8"/>
      <c r="H694" s="8"/>
      <c r="I694" s="8"/>
      <c r="J694" s="8"/>
    </row>
    <row r="695" spans="3:10">
      <c r="C695" s="8"/>
      <c r="D695" s="8"/>
      <c r="E695" s="8"/>
      <c r="F695" s="8"/>
      <c r="G695" s="8"/>
      <c r="H695" s="8"/>
      <c r="I695" s="8"/>
      <c r="J695" s="8"/>
    </row>
    <row r="696" spans="3:10">
      <c r="C696" s="8"/>
      <c r="D696" s="8"/>
      <c r="E696" s="8"/>
      <c r="F696" s="8"/>
      <c r="G696" s="8"/>
      <c r="H696" s="8"/>
      <c r="I696" s="8"/>
      <c r="J696" s="8"/>
    </row>
    <row r="697" spans="3:10">
      <c r="C697" s="8"/>
      <c r="D697" s="8"/>
      <c r="E697" s="8"/>
      <c r="F697" s="8"/>
      <c r="G697" s="8"/>
      <c r="H697" s="8"/>
      <c r="I697" s="8"/>
      <c r="J697" s="8"/>
    </row>
    <row r="698" spans="3:10">
      <c r="C698" s="8"/>
      <c r="D698" s="8"/>
      <c r="E698" s="8"/>
      <c r="F698" s="8"/>
      <c r="G698" s="8"/>
      <c r="H698" s="8"/>
      <c r="I698" s="8"/>
      <c r="J698" s="8"/>
    </row>
    <row r="699" spans="3:10">
      <c r="C699" s="8"/>
      <c r="D699" s="8"/>
      <c r="E699" s="8"/>
      <c r="F699" s="8"/>
      <c r="G699" s="8"/>
      <c r="H699" s="8"/>
      <c r="I699" s="8"/>
      <c r="J699" s="8"/>
    </row>
    <row r="700" spans="3:10">
      <c r="C700" s="8"/>
      <c r="D700" s="8"/>
      <c r="E700" s="8"/>
      <c r="F700" s="8"/>
      <c r="G700" s="8"/>
      <c r="H700" s="8"/>
      <c r="I700" s="8"/>
      <c r="J700" s="8"/>
    </row>
    <row r="701" spans="3:10">
      <c r="C701" s="8"/>
      <c r="D701" s="8"/>
      <c r="E701" s="8"/>
      <c r="F701" s="8"/>
      <c r="G701" s="8"/>
      <c r="H701" s="8"/>
      <c r="I701" s="8"/>
      <c r="J701" s="8"/>
    </row>
    <row r="702" spans="3:10">
      <c r="C702" s="8"/>
      <c r="D702" s="8"/>
      <c r="E702" s="8"/>
      <c r="F702" s="8"/>
      <c r="G702" s="8"/>
      <c r="H702" s="8"/>
      <c r="I702" s="8"/>
      <c r="J702" s="8"/>
    </row>
    <row r="703" spans="3:10">
      <c r="C703" s="8"/>
      <c r="D703" s="8"/>
      <c r="E703" s="8"/>
      <c r="F703" s="8"/>
      <c r="G703" s="8"/>
      <c r="H703" s="8"/>
      <c r="I703" s="8"/>
      <c r="J703" s="8"/>
    </row>
    <row r="704" spans="3:10">
      <c r="C704" s="8"/>
      <c r="D704" s="8"/>
      <c r="E704" s="8"/>
      <c r="F704" s="8"/>
      <c r="G704" s="8"/>
      <c r="H704" s="8"/>
      <c r="I704" s="8"/>
      <c r="J704" s="8"/>
    </row>
    <row r="705" spans="3:10">
      <c r="C705" s="8"/>
      <c r="D705" s="8"/>
      <c r="E705" s="8"/>
      <c r="F705" s="8"/>
      <c r="G705" s="8"/>
      <c r="H705" s="8"/>
      <c r="I705" s="8"/>
      <c r="J705" s="8"/>
    </row>
    <row r="706" spans="3:10">
      <c r="C706" s="8"/>
      <c r="D706" s="8"/>
      <c r="E706" s="8"/>
      <c r="F706" s="8"/>
      <c r="G706" s="8"/>
      <c r="H706" s="8"/>
      <c r="I706" s="8"/>
      <c r="J706" s="8"/>
    </row>
    <row r="707" spans="3:10">
      <c r="C707" s="8"/>
      <c r="D707" s="8"/>
      <c r="E707" s="8"/>
      <c r="F707" s="8"/>
      <c r="G707" s="8"/>
      <c r="H707" s="8"/>
      <c r="I707" s="8"/>
      <c r="J707" s="8"/>
    </row>
    <row r="708" spans="3:10">
      <c r="C708" s="8"/>
      <c r="D708" s="8"/>
      <c r="E708" s="8"/>
      <c r="F708" s="8"/>
      <c r="G708" s="8"/>
      <c r="H708" s="8"/>
      <c r="I708" s="8"/>
      <c r="J708" s="8"/>
    </row>
    <row r="709" spans="3:10">
      <c r="C709" s="8"/>
      <c r="D709" s="8"/>
      <c r="E709" s="8"/>
      <c r="F709" s="8"/>
      <c r="G709" s="8"/>
      <c r="H709" s="8"/>
      <c r="I709" s="8"/>
      <c r="J709" s="8"/>
    </row>
    <row r="710" spans="3:10">
      <c r="C710" s="8"/>
      <c r="D710" s="8"/>
      <c r="E710" s="8"/>
      <c r="F710" s="8"/>
      <c r="G710" s="8"/>
      <c r="H710" s="8"/>
      <c r="I710" s="8"/>
      <c r="J710" s="8"/>
    </row>
    <row r="711" spans="3:10">
      <c r="C711" s="8"/>
      <c r="D711" s="8"/>
      <c r="E711" s="8"/>
      <c r="F711" s="8"/>
      <c r="G711" s="8"/>
      <c r="H711" s="8"/>
      <c r="I711" s="8"/>
      <c r="J711" s="8"/>
    </row>
    <row r="712" spans="3:10">
      <c r="C712" s="8"/>
      <c r="D712" s="8"/>
      <c r="E712" s="8"/>
      <c r="F712" s="8"/>
      <c r="G712" s="8"/>
      <c r="H712" s="8"/>
      <c r="I712" s="8"/>
      <c r="J712" s="8"/>
    </row>
    <row r="713" spans="3:10">
      <c r="C713" s="8"/>
      <c r="D713" s="8"/>
      <c r="E713" s="8"/>
      <c r="F713" s="8"/>
      <c r="G713" s="8"/>
      <c r="H713" s="8"/>
      <c r="I713" s="8"/>
      <c r="J713" s="8"/>
    </row>
    <row r="714" spans="3:10">
      <c r="C714" s="8"/>
      <c r="D714" s="8"/>
      <c r="E714" s="8"/>
      <c r="F714" s="8"/>
      <c r="G714" s="8"/>
      <c r="H714" s="8"/>
      <c r="I714" s="8"/>
      <c r="J714" s="8"/>
    </row>
    <row r="715" spans="3:10">
      <c r="C715" s="8"/>
      <c r="D715" s="8"/>
      <c r="E715" s="8"/>
      <c r="F715" s="8"/>
      <c r="G715" s="8"/>
      <c r="H715" s="8"/>
      <c r="I715" s="8"/>
      <c r="J715" s="8"/>
    </row>
    <row r="716" spans="3:10">
      <c r="C716" s="8"/>
      <c r="D716" s="8"/>
      <c r="E716" s="8"/>
      <c r="F716" s="8"/>
      <c r="G716" s="8"/>
      <c r="H716" s="8"/>
      <c r="I716" s="8"/>
      <c r="J716" s="8"/>
    </row>
    <row r="717" spans="3:10">
      <c r="C717" s="8"/>
      <c r="D717" s="8"/>
      <c r="E717" s="8"/>
      <c r="F717" s="8"/>
      <c r="G717" s="8"/>
      <c r="H717" s="8"/>
      <c r="I717" s="8"/>
      <c r="J717" s="8"/>
    </row>
    <row r="718" spans="3:10">
      <c r="C718" s="8"/>
      <c r="D718" s="8"/>
      <c r="E718" s="8"/>
      <c r="F718" s="8"/>
      <c r="G718" s="8"/>
      <c r="H718" s="8"/>
      <c r="I718" s="8"/>
      <c r="J718" s="8"/>
    </row>
    <row r="719" spans="3:10">
      <c r="C719" s="8"/>
      <c r="D719" s="8"/>
      <c r="E719" s="8"/>
      <c r="F719" s="8"/>
      <c r="G719" s="8"/>
      <c r="H719" s="8"/>
      <c r="I719" s="8"/>
      <c r="J719" s="8"/>
    </row>
    <row r="720" spans="3:10">
      <c r="C720"/>
      <c r="D720"/>
      <c r="E720"/>
      <c r="F720"/>
      <c r="G720"/>
      <c r="H720"/>
      <c r="I720"/>
      <c r="J720"/>
    </row>
    <row r="721" customFormat="1"/>
    <row r="722" customFormat="1"/>
    <row r="723" customFormat="1"/>
    <row r="724" customFormat="1"/>
    <row r="725" customFormat="1"/>
    <row r="726" customFormat="1"/>
    <row r="727" customFormat="1"/>
    <row r="728" customFormat="1"/>
    <row r="729" customFormat="1"/>
    <row r="730" customFormat="1"/>
    <row r="731" customFormat="1"/>
    <row r="732" customFormat="1"/>
    <row r="733" customFormat="1"/>
    <row r="734" customFormat="1"/>
    <row r="735" customFormat="1"/>
    <row r="736" customFormat="1"/>
    <row r="737" customFormat="1"/>
    <row r="738" customFormat="1"/>
    <row r="739" customFormat="1"/>
    <row r="740" customFormat="1"/>
    <row r="741" customFormat="1"/>
    <row r="742" customFormat="1"/>
    <row r="743" customFormat="1"/>
    <row r="744" customFormat="1"/>
    <row r="745" customFormat="1"/>
  </sheetData>
  <hyperlinks>
    <hyperlink ref="K648" r:id="rId1" xr:uid="{00000000-0004-0000-2400-000000000000}"/>
    <hyperlink ref="K649" r:id="rId2" xr:uid="{00000000-0004-0000-2400-000001000000}"/>
    <hyperlink ref="K650" r:id="rId3" xr:uid="{00000000-0004-0000-2400-000002000000}"/>
    <hyperlink ref="K651" r:id="rId4" xr:uid="{00000000-0004-0000-2400-000003000000}"/>
    <hyperlink ref="K652" r:id="rId5" xr:uid="{00000000-0004-0000-2400-000004000000}"/>
    <hyperlink ref="K653" r:id="rId6" xr:uid="{00000000-0004-0000-2400-000005000000}"/>
    <hyperlink ref="K654" r:id="rId7" xr:uid="{00000000-0004-0000-2400-000006000000}"/>
    <hyperlink ref="K655" r:id="rId8" xr:uid="{00000000-0004-0000-2400-000007000000}"/>
    <hyperlink ref="K656" r:id="rId9" xr:uid="{00000000-0004-0000-2400-000008000000}"/>
    <hyperlink ref="K657" r:id="rId10" xr:uid="{00000000-0004-0000-2400-000009000000}"/>
    <hyperlink ref="K658" r:id="rId11" xr:uid="{00000000-0004-0000-2400-00000A000000}"/>
    <hyperlink ref="K659" r:id="rId12" xr:uid="{00000000-0004-0000-2400-00000B000000}"/>
    <hyperlink ref="K660" r:id="rId13" xr:uid="{00000000-0004-0000-2400-00000C000000}"/>
    <hyperlink ref="K661" r:id="rId14" xr:uid="{00000000-0004-0000-2400-00000D000000}"/>
    <hyperlink ref="K662" r:id="rId15" xr:uid="{00000000-0004-0000-2400-00000E000000}"/>
    <hyperlink ref="K663" r:id="rId16" xr:uid="{00000000-0004-0000-2400-00000F000000}"/>
    <hyperlink ref="K664" r:id="rId17" xr:uid="{00000000-0004-0000-2400-000010000000}"/>
    <hyperlink ref="K665" r:id="rId18" xr:uid="{00000000-0004-0000-2400-000011000000}"/>
    <hyperlink ref="K666" r:id="rId19" xr:uid="{00000000-0004-0000-2400-000012000000}"/>
    <hyperlink ref="K667" r:id="rId20" xr:uid="{00000000-0004-0000-2400-000013000000}"/>
  </hyperlinks>
  <pageMargins left="0.7" right="0.7" top="0.78740157499999996" bottom="0.78740157499999996" header="0.3" footer="0.3"/>
  <pageSetup paperSize="9" orientation="portrait" horizontalDpi="1200" verticalDpi="1200" r:id="rId2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Tabelle40">
    <tabColor theme="5" tint="0.79998168889431442"/>
  </sheetPr>
  <dimension ref="A1:J47"/>
  <sheetViews>
    <sheetView workbookViewId="0">
      <selection activeCell="K45" sqref="K45"/>
    </sheetView>
  </sheetViews>
  <sheetFormatPr defaultColWidth="11.42578125" defaultRowHeight="15"/>
  <cols>
    <col min="1" max="1" width="20.85546875" style="17" customWidth="1"/>
    <col min="2" max="2" width="15.5703125" bestFit="1" customWidth="1"/>
  </cols>
  <sheetData>
    <row r="1" spans="1:10">
      <c r="A1" s="17" t="s">
        <v>411</v>
      </c>
      <c r="C1" s="19"/>
      <c r="D1" s="19"/>
      <c r="E1" s="19"/>
      <c r="F1" s="48" t="s">
        <v>482</v>
      </c>
      <c r="G1" s="19"/>
      <c r="H1" s="19"/>
      <c r="I1" s="19"/>
      <c r="J1" s="19"/>
    </row>
    <row r="2" spans="1:10">
      <c r="A2" s="17" t="s">
        <v>346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A4" s="17" t="s">
        <v>20</v>
      </c>
      <c r="B4" t="s">
        <v>26</v>
      </c>
      <c r="C4" t="s">
        <v>35</v>
      </c>
      <c r="D4" s="19"/>
      <c r="E4" s="19"/>
      <c r="F4" s="19"/>
      <c r="G4" s="19"/>
      <c r="H4" s="19"/>
      <c r="I4" s="19"/>
      <c r="J4" s="19"/>
    </row>
    <row r="5" spans="1:10">
      <c r="C5" s="16"/>
      <c r="F5" s="17"/>
    </row>
    <row r="6" spans="1:10">
      <c r="C6" s="16"/>
      <c r="F6" s="17"/>
    </row>
    <row r="7" spans="1:10">
      <c r="C7" s="16"/>
      <c r="F7" s="17"/>
    </row>
    <row r="8" spans="1:10">
      <c r="C8" s="16"/>
      <c r="F8" s="17"/>
    </row>
    <row r="9" spans="1:10">
      <c r="C9" s="16"/>
    </row>
    <row r="10" spans="1:10">
      <c r="C10" s="16"/>
    </row>
    <row r="11" spans="1:10">
      <c r="A11" s="7"/>
      <c r="C11" s="16"/>
    </row>
    <row r="12" spans="1:10">
      <c r="A12" s="7"/>
      <c r="C12" s="16"/>
    </row>
    <row r="13" spans="1:10">
      <c r="A13" s="7"/>
      <c r="C13" s="16"/>
    </row>
    <row r="14" spans="1:10">
      <c r="A14" s="7"/>
      <c r="C14" s="16"/>
    </row>
    <row r="15" spans="1:10">
      <c r="A15"/>
      <c r="C15" s="16"/>
    </row>
    <row r="16" spans="1:10">
      <c r="A16"/>
      <c r="C16" s="16"/>
    </row>
    <row r="17" spans="1:10">
      <c r="A17" s="7"/>
      <c r="C17" s="16"/>
    </row>
    <row r="18" spans="1:10">
      <c r="C18" s="16"/>
    </row>
    <row r="19" spans="1:10">
      <c r="C19" s="16"/>
    </row>
    <row r="20" spans="1:10">
      <c r="C20" s="16"/>
      <c r="J20" s="7"/>
    </row>
    <row r="21" spans="1:10">
      <c r="A21" s="7"/>
      <c r="C21" s="16"/>
      <c r="J21" s="7"/>
    </row>
    <row r="22" spans="1:10">
      <c r="C22" s="16"/>
    </row>
    <row r="23" spans="1:10">
      <c r="C23" s="16"/>
    </row>
    <row r="24" spans="1:10">
      <c r="A24" s="7"/>
      <c r="C24" s="16"/>
    </row>
    <row r="25" spans="1:10">
      <c r="C25" s="16"/>
    </row>
    <row r="26" spans="1:10">
      <c r="C26" s="16"/>
    </row>
    <row r="27" spans="1:10">
      <c r="C27" s="16"/>
    </row>
    <row r="28" spans="1:10">
      <c r="A28" s="7"/>
      <c r="C28" s="16"/>
    </row>
    <row r="29" spans="1:10">
      <c r="C29" s="16"/>
    </row>
    <row r="30" spans="1:10">
      <c r="C30" s="16"/>
    </row>
    <row r="31" spans="1:10">
      <c r="C31" s="16"/>
    </row>
    <row r="32" spans="1:10">
      <c r="C32" s="16"/>
    </row>
    <row r="33" spans="1:6">
      <c r="A33"/>
      <c r="C33" s="16"/>
    </row>
    <row r="34" spans="1:6">
      <c r="A34"/>
      <c r="C34" s="16"/>
    </row>
    <row r="35" spans="1:6">
      <c r="A35" s="7"/>
      <c r="C35" s="16"/>
    </row>
    <row r="36" spans="1:6">
      <c r="A36" s="7"/>
      <c r="C36" s="16"/>
    </row>
    <row r="37" spans="1:6">
      <c r="A37" s="7"/>
      <c r="C37" s="16"/>
    </row>
    <row r="38" spans="1:6">
      <c r="C38" s="16"/>
    </row>
    <row r="39" spans="1:6">
      <c r="C39" s="16"/>
    </row>
    <row r="40" spans="1:6">
      <c r="C40" s="16"/>
    </row>
    <row r="41" spans="1:6">
      <c r="A41" s="7"/>
      <c r="C41" s="16"/>
    </row>
    <row r="42" spans="1:6">
      <c r="A42" s="7"/>
      <c r="C42" s="16"/>
    </row>
    <row r="43" spans="1:6">
      <c r="A43" s="7"/>
      <c r="C43" s="16"/>
    </row>
    <row r="44" spans="1:6">
      <c r="C44" s="16"/>
    </row>
    <row r="45" spans="1:6">
      <c r="A45"/>
      <c r="C45" s="16"/>
    </row>
    <row r="46" spans="1:6">
      <c r="A46"/>
      <c r="C46" s="16"/>
    </row>
    <row r="47" spans="1:6">
      <c r="A47" s="7"/>
      <c r="C47" s="16"/>
      <c r="F47" s="27"/>
    </row>
  </sheetData>
  <sortState xmlns:xlrd2="http://schemas.microsoft.com/office/spreadsheetml/2017/richdata2" ref="A5:C36">
    <sortCondition ref="A5"/>
  </sortState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Tabelle25"/>
  <dimension ref="A1:J5"/>
  <sheetViews>
    <sheetView workbookViewId="0">
      <selection activeCell="A4" sqref="A4"/>
    </sheetView>
  </sheetViews>
  <sheetFormatPr defaultColWidth="11.42578125" defaultRowHeight="15"/>
  <sheetData>
    <row r="1" spans="1:10">
      <c r="A1" t="s">
        <v>412</v>
      </c>
    </row>
    <row r="2" spans="1:10">
      <c r="A2" t="s">
        <v>13</v>
      </c>
    </row>
    <row r="3" spans="1:10">
      <c r="A3" t="s">
        <v>365</v>
      </c>
    </row>
    <row r="5" spans="1:10">
      <c r="A5" t="s">
        <v>20</v>
      </c>
      <c r="B5" t="s">
        <v>26</v>
      </c>
      <c r="C5">
        <v>2018</v>
      </c>
      <c r="D5">
        <v>2021</v>
      </c>
      <c r="E5">
        <v>2025</v>
      </c>
      <c r="F5">
        <v>2030</v>
      </c>
      <c r="G5">
        <v>2035</v>
      </c>
      <c r="H5">
        <v>2040</v>
      </c>
      <c r="I5">
        <v>2045</v>
      </c>
      <c r="J5">
        <v>2050</v>
      </c>
    </row>
  </sheetData>
  <pageMargins left="0.7" right="0.7" top="0.78740157499999996" bottom="0.78740157499999996" header="0.3" footer="0.3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5"/>
  <sheetViews>
    <sheetView zoomScale="85" zoomScaleNormal="85" workbookViewId="0">
      <selection activeCell="F15" sqref="F15"/>
    </sheetView>
  </sheetViews>
  <sheetFormatPr defaultColWidth="11.42578125" defaultRowHeight="15"/>
  <sheetData>
    <row r="1" spans="1:9">
      <c r="A1" s="17" t="s">
        <v>414</v>
      </c>
      <c r="B1" s="19"/>
      <c r="C1" s="19"/>
      <c r="D1" s="19"/>
      <c r="E1" s="19"/>
      <c r="F1" s="19"/>
      <c r="G1" s="19"/>
      <c r="H1" s="19"/>
      <c r="I1" s="19"/>
    </row>
    <row r="2" spans="1:9">
      <c r="A2" s="17" t="s">
        <v>348</v>
      </c>
      <c r="B2" s="19"/>
      <c r="C2" s="19"/>
      <c r="D2" s="19"/>
      <c r="E2" s="19"/>
      <c r="F2" s="19"/>
      <c r="G2" s="19"/>
      <c r="H2" s="19"/>
      <c r="I2" s="19"/>
    </row>
    <row r="3" spans="1:9">
      <c r="A3" s="17" t="s">
        <v>378</v>
      </c>
      <c r="B3" s="19"/>
      <c r="C3" s="19"/>
      <c r="D3" s="19"/>
      <c r="E3" s="19"/>
      <c r="F3" s="19"/>
      <c r="G3" s="19"/>
      <c r="H3" s="19"/>
      <c r="I3" s="19"/>
    </row>
    <row r="4" spans="1:9">
      <c r="A4" s="17"/>
      <c r="B4" s="19"/>
      <c r="C4" s="19"/>
      <c r="D4" s="19"/>
      <c r="E4" s="19"/>
      <c r="F4" s="19"/>
      <c r="G4" s="19"/>
      <c r="H4" s="19"/>
      <c r="I4" s="19"/>
    </row>
    <row r="5" spans="1:9">
      <c r="A5" t="s">
        <v>20</v>
      </c>
      <c r="B5" t="s">
        <v>35</v>
      </c>
      <c r="C5" s="19"/>
      <c r="D5" s="19"/>
      <c r="E5" s="19"/>
      <c r="F5" s="19"/>
      <c r="G5" s="19"/>
      <c r="H5" s="19"/>
      <c r="I5" s="19"/>
    </row>
  </sheetData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Tabelle56">
    <tabColor theme="5" tint="0.79998168889431442"/>
  </sheetPr>
  <dimension ref="A1:M967"/>
  <sheetViews>
    <sheetView zoomScaleNormal="100" workbookViewId="0">
      <selection activeCell="I16" sqref="I16"/>
    </sheetView>
  </sheetViews>
  <sheetFormatPr defaultColWidth="11.42578125" defaultRowHeight="15"/>
  <cols>
    <col min="1" max="1" width="24.140625" customWidth="1"/>
    <col min="2" max="2" width="24" customWidth="1"/>
    <col min="3" max="3" width="23.42578125" bestFit="1" customWidth="1"/>
    <col min="10" max="10" width="11.85546875" bestFit="1" customWidth="1"/>
  </cols>
  <sheetData>
    <row r="1" spans="1:13">
      <c r="A1" t="s">
        <v>415</v>
      </c>
    </row>
    <row r="2" spans="1:13">
      <c r="A2" t="s">
        <v>349</v>
      </c>
    </row>
    <row r="3" spans="1:13">
      <c r="A3" t="s">
        <v>390</v>
      </c>
    </row>
    <row r="5" spans="1:13">
      <c r="A5" t="s">
        <v>20</v>
      </c>
      <c r="B5" t="s">
        <v>26</v>
      </c>
      <c r="C5" t="s">
        <v>21</v>
      </c>
      <c r="D5">
        <v>2018</v>
      </c>
    </row>
    <row r="6" spans="1:13">
      <c r="I6" s="34"/>
      <c r="J6" s="35"/>
      <c r="K6" s="35"/>
      <c r="L6" s="35"/>
      <c r="M6" s="35"/>
    </row>
    <row r="38" spans="9:13">
      <c r="I38" s="34"/>
      <c r="J38" s="35"/>
      <c r="K38" s="35"/>
      <c r="L38" s="35"/>
      <c r="M38" s="35"/>
    </row>
    <row r="74" spans="9:13">
      <c r="I74" s="34"/>
      <c r="J74" s="35"/>
      <c r="K74" s="35"/>
      <c r="L74" s="35"/>
      <c r="M74" s="35"/>
    </row>
    <row r="107" spans="9:13">
      <c r="I107" s="34"/>
      <c r="J107" s="35"/>
      <c r="K107" s="35"/>
      <c r="L107" s="35"/>
      <c r="M107" s="35"/>
    </row>
    <row r="131" spans="9:13">
      <c r="I131" s="34"/>
      <c r="J131" s="35"/>
      <c r="K131" s="35"/>
      <c r="L131" s="35"/>
      <c r="M131" s="35"/>
    </row>
    <row r="168" spans="9:13">
      <c r="I168" s="34"/>
      <c r="J168" s="35"/>
      <c r="K168" s="35"/>
      <c r="L168" s="35"/>
      <c r="M168" s="35"/>
    </row>
    <row r="206" spans="9:13">
      <c r="I206" s="34"/>
      <c r="J206" s="35"/>
      <c r="K206" s="35"/>
      <c r="L206" s="35"/>
      <c r="M206" s="35"/>
    </row>
    <row r="237" spans="9:13">
      <c r="I237" s="34"/>
      <c r="J237" s="35"/>
      <c r="K237" s="35"/>
      <c r="L237" s="35"/>
      <c r="M237" s="35"/>
    </row>
    <row r="269" spans="9:13">
      <c r="I269" s="34"/>
      <c r="J269" s="35"/>
      <c r="K269" s="35"/>
      <c r="L269" s="35"/>
      <c r="M269" s="35"/>
    </row>
    <row r="304" spans="9:13">
      <c r="I304" s="34"/>
      <c r="J304" s="35"/>
      <c r="K304" s="35"/>
      <c r="L304" s="35"/>
      <c r="M304" s="35"/>
    </row>
    <row r="338" spans="9:13">
      <c r="I338" s="34"/>
      <c r="J338" s="35"/>
      <c r="K338" s="35"/>
      <c r="L338" s="35"/>
      <c r="M338" s="35"/>
    </row>
    <row r="373" spans="9:13">
      <c r="I373" s="34"/>
      <c r="J373" s="35"/>
      <c r="K373" s="35"/>
      <c r="L373" s="35"/>
      <c r="M373" s="35"/>
    </row>
    <row r="406" spans="9:13">
      <c r="I406" s="34"/>
      <c r="J406" s="35"/>
      <c r="K406" s="35"/>
      <c r="L406" s="35"/>
      <c r="M406" s="35"/>
    </row>
    <row r="438" spans="9:13">
      <c r="I438" s="34"/>
      <c r="J438" s="35"/>
      <c r="K438" s="35"/>
      <c r="L438" s="35"/>
      <c r="M438" s="35"/>
    </row>
    <row r="475" spans="9:13">
      <c r="I475" s="34"/>
      <c r="J475" s="35"/>
      <c r="K475" s="35"/>
      <c r="L475" s="35"/>
      <c r="M475" s="35"/>
    </row>
    <row r="509" spans="9:13">
      <c r="I509" s="34"/>
      <c r="J509" s="35"/>
      <c r="K509" s="35"/>
      <c r="L509" s="35"/>
      <c r="M509" s="35"/>
    </row>
    <row r="543" spans="9:13">
      <c r="I543" s="34"/>
      <c r="J543" s="35"/>
      <c r="K543" s="35"/>
      <c r="L543" s="35"/>
      <c r="M543" s="35"/>
    </row>
    <row r="574" spans="9:13">
      <c r="I574" s="34"/>
      <c r="J574" s="35"/>
      <c r="K574" s="35"/>
      <c r="L574" s="35"/>
      <c r="M574" s="35"/>
    </row>
    <row r="603" spans="9:13">
      <c r="I603" s="34"/>
      <c r="J603" s="35"/>
      <c r="K603" s="35"/>
      <c r="L603" s="35"/>
      <c r="M603" s="35"/>
    </row>
    <row r="630" spans="9:13">
      <c r="I630" s="34"/>
      <c r="J630" s="35"/>
      <c r="K630" s="35"/>
      <c r="L630" s="35"/>
      <c r="M630" s="35"/>
    </row>
    <row r="664" spans="9:13">
      <c r="I664" s="34"/>
      <c r="J664" s="35"/>
      <c r="K664" s="35"/>
      <c r="L664" s="35"/>
      <c r="M664" s="35"/>
    </row>
    <row r="706" spans="9:13">
      <c r="I706" s="34"/>
      <c r="J706" s="35"/>
      <c r="K706" s="35"/>
      <c r="L706" s="35"/>
      <c r="M706" s="35"/>
    </row>
    <row r="737" spans="9:13">
      <c r="I737" s="34"/>
      <c r="J737" s="35"/>
      <c r="K737" s="35"/>
      <c r="L737" s="35"/>
      <c r="M737" s="35"/>
    </row>
    <row r="769" spans="9:13">
      <c r="I769" s="34"/>
      <c r="J769" s="35"/>
      <c r="K769" s="35"/>
      <c r="L769" s="35"/>
      <c r="M769" s="35"/>
    </row>
    <row r="802" spans="9:13">
      <c r="I802" s="34"/>
      <c r="J802" s="35"/>
      <c r="K802" s="35"/>
      <c r="L802" s="35"/>
      <c r="M802" s="35"/>
    </row>
    <row r="836" spans="9:13">
      <c r="I836" s="34"/>
      <c r="J836" s="35"/>
      <c r="K836" s="35"/>
      <c r="L836" s="35"/>
      <c r="M836" s="35"/>
    </row>
    <row r="868" spans="9:13">
      <c r="I868" s="34"/>
      <c r="J868" s="35"/>
      <c r="K868" s="35"/>
      <c r="L868" s="35"/>
      <c r="M868" s="35"/>
    </row>
    <row r="910" spans="9:13">
      <c r="I910" s="34"/>
      <c r="J910" s="35"/>
      <c r="K910" s="35"/>
      <c r="L910" s="35"/>
      <c r="M910" s="35"/>
    </row>
    <row r="953" spans="1:4">
      <c r="A953" t="s">
        <v>281</v>
      </c>
      <c r="B953" t="s">
        <v>449</v>
      </c>
      <c r="C953" t="s">
        <v>24</v>
      </c>
      <c r="D953">
        <v>0.1</v>
      </c>
    </row>
    <row r="954" spans="1:4">
      <c r="A954" t="s">
        <v>280</v>
      </c>
      <c r="B954" t="s">
        <v>449</v>
      </c>
      <c r="C954" t="s">
        <v>24</v>
      </c>
      <c r="D954">
        <v>18.420000000000002</v>
      </c>
    </row>
    <row r="955" spans="1:4">
      <c r="A955" t="s">
        <v>280</v>
      </c>
      <c r="B955" t="s">
        <v>451</v>
      </c>
      <c r="C955" t="s">
        <v>24</v>
      </c>
      <c r="D955">
        <v>2.96</v>
      </c>
    </row>
    <row r="956" spans="1:4">
      <c r="A956" t="s">
        <v>273</v>
      </c>
      <c r="B956" t="s">
        <v>449</v>
      </c>
      <c r="C956" t="s">
        <v>24</v>
      </c>
      <c r="D956">
        <v>2.1920000000000002</v>
      </c>
    </row>
    <row r="963" spans="9:11">
      <c r="I963" s="40" t="s">
        <v>273</v>
      </c>
      <c r="J963" t="s">
        <v>449</v>
      </c>
      <c r="K963">
        <v>0.10199999999999999</v>
      </c>
    </row>
    <row r="964" spans="9:11">
      <c r="I964" s="40" t="s">
        <v>283</v>
      </c>
      <c r="J964" t="s">
        <v>449</v>
      </c>
      <c r="K964">
        <v>1.024</v>
      </c>
    </row>
    <row r="965" spans="9:11">
      <c r="I965" s="41" t="s">
        <v>280</v>
      </c>
      <c r="J965" t="s">
        <v>449</v>
      </c>
      <c r="K965">
        <v>0.74129999999999996</v>
      </c>
    </row>
    <row r="966" spans="9:11">
      <c r="I966" s="40" t="s">
        <v>281</v>
      </c>
      <c r="J966" t="s">
        <v>449</v>
      </c>
      <c r="K966">
        <v>1.488</v>
      </c>
    </row>
    <row r="967" spans="9:11">
      <c r="I967" s="42" t="s">
        <v>325</v>
      </c>
      <c r="J967" t="s">
        <v>449</v>
      </c>
      <c r="K967">
        <v>23.545866999999998</v>
      </c>
    </row>
  </sheetData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Tabelle57"/>
  <dimension ref="A1:J38"/>
  <sheetViews>
    <sheetView workbookViewId="0">
      <selection activeCell="E8" sqref="E8"/>
    </sheetView>
  </sheetViews>
  <sheetFormatPr defaultColWidth="11.42578125" defaultRowHeight="15"/>
  <cols>
    <col min="1" max="1" width="20.85546875" style="17" customWidth="1"/>
    <col min="2" max="2" width="23.42578125" bestFit="1" customWidth="1"/>
  </cols>
  <sheetData>
    <row r="1" spans="1:10">
      <c r="A1" s="17" t="s">
        <v>416</v>
      </c>
      <c r="C1" s="19"/>
      <c r="D1" s="19"/>
      <c r="E1" s="19"/>
      <c r="F1" s="19"/>
      <c r="G1" s="19"/>
      <c r="H1" s="19"/>
      <c r="I1" s="19"/>
      <c r="J1" s="19"/>
    </row>
    <row r="2" spans="1:10">
      <c r="A2" s="17" t="s">
        <v>350</v>
      </c>
      <c r="C2" s="19"/>
      <c r="D2" s="19"/>
      <c r="E2" s="19"/>
      <c r="F2" s="19"/>
      <c r="G2" s="19"/>
      <c r="H2" s="19"/>
      <c r="I2" s="19"/>
      <c r="J2" s="19"/>
    </row>
    <row r="3" spans="1:10">
      <c r="A3" s="17" t="s">
        <v>390</v>
      </c>
      <c r="C3" s="19"/>
      <c r="D3" s="19"/>
      <c r="E3" s="19"/>
      <c r="F3" s="19"/>
      <c r="G3" s="19"/>
      <c r="H3" s="19"/>
      <c r="I3" s="19"/>
      <c r="J3" s="19"/>
    </row>
    <row r="4" spans="1:10">
      <c r="C4" s="19"/>
      <c r="D4" s="19"/>
      <c r="E4" s="19"/>
      <c r="F4" s="19"/>
      <c r="G4" s="19"/>
      <c r="H4" s="19"/>
      <c r="I4" s="19"/>
      <c r="J4" s="19"/>
    </row>
    <row r="5" spans="1:10">
      <c r="A5" t="s">
        <v>26</v>
      </c>
      <c r="B5" t="s">
        <v>21</v>
      </c>
      <c r="C5" t="s">
        <v>35</v>
      </c>
      <c r="D5" s="19"/>
      <c r="E5" s="19"/>
      <c r="F5" s="19"/>
      <c r="G5" s="19"/>
      <c r="H5" s="19"/>
      <c r="I5" s="19"/>
      <c r="J5" s="19"/>
    </row>
    <row r="6" spans="1:10">
      <c r="A6"/>
    </row>
    <row r="7" spans="1:10">
      <c r="A7" s="9"/>
    </row>
    <row r="8" spans="1:10">
      <c r="A8" s="9"/>
    </row>
    <row r="9" spans="1:10">
      <c r="A9" s="9"/>
    </row>
    <row r="10" spans="1:10">
      <c r="A10" s="9"/>
    </row>
    <row r="11" spans="1:10">
      <c r="A11" s="9"/>
    </row>
    <row r="12" spans="1:10">
      <c r="A12" s="9"/>
    </row>
    <row r="13" spans="1:10">
      <c r="A13" s="9"/>
    </row>
    <row r="14" spans="1:10">
      <c r="A14" s="9"/>
    </row>
    <row r="15" spans="1:10">
      <c r="A15" s="9"/>
    </row>
    <row r="16" spans="1:10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  <row r="27" spans="1:1">
      <c r="A27" s="9"/>
    </row>
    <row r="28" spans="1:1">
      <c r="A28" s="9"/>
    </row>
    <row r="29" spans="1:1">
      <c r="A29" s="9"/>
    </row>
    <row r="30" spans="1:1">
      <c r="A30" s="9"/>
    </row>
    <row r="31" spans="1:1">
      <c r="A31" s="9"/>
    </row>
    <row r="32" spans="1:1">
      <c r="A32" s="9"/>
    </row>
    <row r="33" spans="1:1">
      <c r="A33" s="9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</sheetData>
  <pageMargins left="0.7" right="0.7" top="0.78740157499999996" bottom="0.78740157499999996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Tabelle41"/>
  <dimension ref="A1:T42"/>
  <sheetViews>
    <sheetView zoomScaleNormal="100" workbookViewId="0">
      <pane xSplit="1" ySplit="5" topLeftCell="I6" activePane="bottomRight" state="frozen"/>
      <selection activeCell="D17" sqref="D17"/>
      <selection pane="topRight" activeCell="D17" sqref="D17"/>
      <selection pane="bottomLeft" activeCell="D17" sqref="D17"/>
      <selection pane="bottomRight" activeCell="T6" sqref="T6"/>
    </sheetView>
  </sheetViews>
  <sheetFormatPr defaultColWidth="11.42578125" defaultRowHeight="15"/>
  <cols>
    <col min="1" max="2" width="23.42578125" customWidth="1"/>
    <col min="3" max="8" width="17.140625" customWidth="1"/>
    <col min="9" max="21" width="17" customWidth="1"/>
  </cols>
  <sheetData>
    <row r="1" spans="1:20">
      <c r="A1" t="s">
        <v>413</v>
      </c>
    </row>
    <row r="2" spans="1:20">
      <c r="A2" t="s">
        <v>347</v>
      </c>
    </row>
    <row r="3" spans="1:20">
      <c r="A3" t="s">
        <v>382</v>
      </c>
    </row>
    <row r="5" spans="1:20">
      <c r="A5" t="s">
        <v>26</v>
      </c>
      <c r="B5" t="s">
        <v>341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494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492</v>
      </c>
      <c r="O5" t="s">
        <v>48</v>
      </c>
      <c r="P5" t="s">
        <v>49</v>
      </c>
      <c r="Q5" t="s">
        <v>50</v>
      </c>
      <c r="R5" t="s">
        <v>51</v>
      </c>
      <c r="S5" t="s">
        <v>52</v>
      </c>
      <c r="T5" t="s">
        <v>493</v>
      </c>
    </row>
    <row r="6" spans="1:20">
      <c r="A6" s="2" t="s">
        <v>130</v>
      </c>
      <c r="B6" s="2">
        <v>1</v>
      </c>
      <c r="G6">
        <v>1</v>
      </c>
      <c r="S6">
        <v>1</v>
      </c>
    </row>
    <row r="7" spans="1:20">
      <c r="A7" s="2" t="s">
        <v>130</v>
      </c>
      <c r="B7" s="2">
        <v>2</v>
      </c>
      <c r="G7">
        <v>1</v>
      </c>
      <c r="M7">
        <v>1</v>
      </c>
    </row>
    <row r="8" spans="1:20">
      <c r="A8" s="2" t="s">
        <v>130</v>
      </c>
      <c r="B8" s="2">
        <v>3</v>
      </c>
      <c r="G8">
        <v>1</v>
      </c>
      <c r="M8">
        <v>1</v>
      </c>
    </row>
    <row r="9" spans="1:20">
      <c r="A9" s="2" t="s">
        <v>131</v>
      </c>
      <c r="B9" s="2">
        <v>1</v>
      </c>
      <c r="G9">
        <v>1</v>
      </c>
      <c r="M9">
        <v>1</v>
      </c>
    </row>
    <row r="10" spans="1:20">
      <c r="A10" s="2" t="s">
        <v>125</v>
      </c>
      <c r="B10" s="2">
        <v>1</v>
      </c>
      <c r="F10">
        <v>1</v>
      </c>
      <c r="L10">
        <v>1</v>
      </c>
    </row>
    <row r="11" spans="1:20">
      <c r="A11" s="2" t="s">
        <v>57</v>
      </c>
      <c r="B11" s="2">
        <v>1</v>
      </c>
      <c r="F11">
        <v>1</v>
      </c>
      <c r="L11">
        <v>1</v>
      </c>
    </row>
    <row r="12" spans="1:20">
      <c r="A12" s="2" t="s">
        <v>126</v>
      </c>
      <c r="B12" s="2">
        <v>1</v>
      </c>
      <c r="F12">
        <v>1</v>
      </c>
      <c r="R12">
        <v>1</v>
      </c>
    </row>
    <row r="13" spans="1:20">
      <c r="A13" s="2" t="s">
        <v>126</v>
      </c>
      <c r="B13" s="2">
        <v>2</v>
      </c>
      <c r="F13">
        <v>1</v>
      </c>
      <c r="L13">
        <v>1</v>
      </c>
    </row>
    <row r="14" spans="1:20">
      <c r="A14" s="2" t="s">
        <v>126</v>
      </c>
      <c r="B14" s="2">
        <v>3</v>
      </c>
      <c r="F14">
        <v>1</v>
      </c>
      <c r="L14">
        <v>1</v>
      </c>
    </row>
    <row r="15" spans="1:20">
      <c r="A15" s="2" t="s">
        <v>316</v>
      </c>
      <c r="B15" s="2">
        <v>1</v>
      </c>
      <c r="F15">
        <v>1</v>
      </c>
      <c r="L15">
        <v>1</v>
      </c>
      <c r="R15">
        <v>1</v>
      </c>
    </row>
    <row r="16" spans="1:20">
      <c r="A16" s="2" t="s">
        <v>176</v>
      </c>
      <c r="B16" s="2">
        <v>1</v>
      </c>
      <c r="F16">
        <v>1</v>
      </c>
      <c r="L16">
        <v>1</v>
      </c>
    </row>
    <row r="17" spans="1:20">
      <c r="A17" s="2" t="s">
        <v>127</v>
      </c>
      <c r="B17" s="2">
        <v>1</v>
      </c>
      <c r="F17">
        <v>1</v>
      </c>
      <c r="R17">
        <v>1</v>
      </c>
    </row>
    <row r="18" spans="1:20">
      <c r="A18" s="2" t="s">
        <v>127</v>
      </c>
      <c r="B18" s="2">
        <v>2</v>
      </c>
      <c r="F18">
        <v>1</v>
      </c>
      <c r="L18">
        <v>1</v>
      </c>
    </row>
    <row r="19" spans="1:20">
      <c r="A19" s="2" t="s">
        <v>127</v>
      </c>
      <c r="B19" s="2">
        <v>3</v>
      </c>
      <c r="F19">
        <v>1</v>
      </c>
      <c r="L19">
        <v>1</v>
      </c>
    </row>
    <row r="20" spans="1:20">
      <c r="A20" s="2" t="s">
        <v>495</v>
      </c>
      <c r="B20" s="2">
        <v>1</v>
      </c>
      <c r="H20">
        <v>1</v>
      </c>
      <c r="N20">
        <v>1</v>
      </c>
    </row>
    <row r="21" spans="1:20">
      <c r="A21" s="2" t="s">
        <v>496</v>
      </c>
      <c r="B21" s="2">
        <v>1</v>
      </c>
      <c r="H21">
        <v>1</v>
      </c>
      <c r="T21">
        <v>1</v>
      </c>
    </row>
    <row r="22" spans="1:20">
      <c r="A22" s="2" t="s">
        <v>496</v>
      </c>
      <c r="B22" s="2">
        <v>2</v>
      </c>
      <c r="H22">
        <v>1</v>
      </c>
      <c r="N22">
        <v>1</v>
      </c>
    </row>
    <row r="23" spans="1:20">
      <c r="A23" s="2" t="s">
        <v>497</v>
      </c>
      <c r="B23" s="2">
        <v>1</v>
      </c>
      <c r="H23">
        <v>1</v>
      </c>
      <c r="N23">
        <v>1</v>
      </c>
      <c r="T23">
        <v>1</v>
      </c>
    </row>
    <row r="24" spans="1:20">
      <c r="A24" t="s">
        <v>179</v>
      </c>
      <c r="B24" s="2">
        <v>1</v>
      </c>
      <c r="F24">
        <v>1</v>
      </c>
      <c r="G24">
        <v>1</v>
      </c>
      <c r="H24">
        <v>1</v>
      </c>
      <c r="L24">
        <v>1</v>
      </c>
      <c r="M24">
        <v>1</v>
      </c>
      <c r="N24">
        <v>1</v>
      </c>
      <c r="R24">
        <v>1</v>
      </c>
      <c r="S24">
        <v>1</v>
      </c>
      <c r="T24">
        <v>1</v>
      </c>
    </row>
    <row r="25" spans="1:20">
      <c r="A25" t="s">
        <v>178</v>
      </c>
      <c r="B25" s="2">
        <v>1</v>
      </c>
      <c r="C25">
        <v>1</v>
      </c>
      <c r="D25">
        <v>1</v>
      </c>
      <c r="E25">
        <v>1</v>
      </c>
      <c r="I25">
        <v>1</v>
      </c>
      <c r="J25">
        <v>1</v>
      </c>
      <c r="K25">
        <v>1</v>
      </c>
      <c r="O25">
        <v>1</v>
      </c>
      <c r="P25">
        <v>1</v>
      </c>
      <c r="Q25">
        <v>1</v>
      </c>
    </row>
    <row r="26" spans="1:20">
      <c r="A26" s="2" t="s">
        <v>132</v>
      </c>
      <c r="B26" s="2">
        <v>1</v>
      </c>
      <c r="E26">
        <v>1</v>
      </c>
      <c r="K26">
        <v>1</v>
      </c>
    </row>
    <row r="27" spans="1:20">
      <c r="A27" s="2" t="s">
        <v>58</v>
      </c>
      <c r="B27" s="2">
        <v>1</v>
      </c>
      <c r="E27">
        <v>1</v>
      </c>
      <c r="P27" s="3">
        <v>0</v>
      </c>
      <c r="Q27">
        <v>1</v>
      </c>
    </row>
    <row r="28" spans="1:20">
      <c r="A28" s="2" t="s">
        <v>58</v>
      </c>
      <c r="B28" s="2">
        <v>2</v>
      </c>
      <c r="E28">
        <v>1</v>
      </c>
      <c r="P28" s="3">
        <v>0</v>
      </c>
      <c r="Q28">
        <v>1</v>
      </c>
    </row>
    <row r="29" spans="1:20">
      <c r="A29" s="2" t="s">
        <v>133</v>
      </c>
      <c r="B29" s="2">
        <v>1</v>
      </c>
      <c r="E29">
        <v>1</v>
      </c>
      <c r="J29" s="3"/>
      <c r="K29">
        <v>1</v>
      </c>
    </row>
    <row r="30" spans="1:20">
      <c r="A30" s="2" t="s">
        <v>128</v>
      </c>
      <c r="B30" s="2">
        <v>1</v>
      </c>
      <c r="D30">
        <v>1</v>
      </c>
      <c r="P30">
        <v>1</v>
      </c>
    </row>
    <row r="31" spans="1:20">
      <c r="A31" s="2" t="s">
        <v>128</v>
      </c>
      <c r="B31" s="2">
        <v>2</v>
      </c>
      <c r="D31">
        <v>1</v>
      </c>
      <c r="J31">
        <v>1</v>
      </c>
    </row>
    <row r="32" spans="1:20">
      <c r="A32" s="2" t="s">
        <v>128</v>
      </c>
      <c r="B32" s="2">
        <v>3</v>
      </c>
      <c r="D32">
        <v>1</v>
      </c>
      <c r="J32">
        <v>1</v>
      </c>
    </row>
    <row r="33" spans="1:15">
      <c r="A33" s="2" t="s">
        <v>129</v>
      </c>
      <c r="B33" s="2">
        <v>1</v>
      </c>
      <c r="D33">
        <v>1</v>
      </c>
      <c r="J33">
        <v>1</v>
      </c>
    </row>
    <row r="34" spans="1:15">
      <c r="A34" s="2" t="s">
        <v>60</v>
      </c>
      <c r="B34" s="2">
        <v>1</v>
      </c>
      <c r="C34">
        <v>1</v>
      </c>
      <c r="I34">
        <v>1</v>
      </c>
    </row>
    <row r="35" spans="1:15">
      <c r="A35" s="2" t="s">
        <v>123</v>
      </c>
      <c r="B35" s="2">
        <v>1</v>
      </c>
      <c r="C35">
        <v>1</v>
      </c>
      <c r="I35">
        <v>1</v>
      </c>
    </row>
    <row r="36" spans="1:15">
      <c r="A36" s="2" t="s">
        <v>59</v>
      </c>
      <c r="B36" s="2">
        <v>1</v>
      </c>
      <c r="C36">
        <v>1</v>
      </c>
      <c r="O36">
        <v>1</v>
      </c>
    </row>
    <row r="37" spans="1:15">
      <c r="A37" s="2" t="s">
        <v>59</v>
      </c>
      <c r="B37" s="2">
        <v>2</v>
      </c>
      <c r="C37">
        <v>1</v>
      </c>
      <c r="I37">
        <v>1</v>
      </c>
    </row>
    <row r="38" spans="1:15">
      <c r="A38" s="2" t="s">
        <v>59</v>
      </c>
      <c r="B38" s="2">
        <v>3</v>
      </c>
      <c r="C38">
        <v>1</v>
      </c>
      <c r="I38">
        <v>1</v>
      </c>
    </row>
    <row r="39" spans="1:15">
      <c r="A39" s="2" t="s">
        <v>317</v>
      </c>
      <c r="B39" s="2">
        <v>1</v>
      </c>
      <c r="C39">
        <v>1</v>
      </c>
      <c r="I39">
        <v>1</v>
      </c>
      <c r="O39">
        <v>1</v>
      </c>
    </row>
    <row r="40" spans="1:15">
      <c r="A40" s="2" t="s">
        <v>124</v>
      </c>
      <c r="B40" s="2">
        <v>1</v>
      </c>
      <c r="C40">
        <v>1</v>
      </c>
      <c r="O40">
        <v>1</v>
      </c>
    </row>
    <row r="41" spans="1:15">
      <c r="A41" s="2" t="s">
        <v>124</v>
      </c>
      <c r="B41" s="2">
        <v>2</v>
      </c>
      <c r="C41">
        <v>1</v>
      </c>
      <c r="I41">
        <v>1</v>
      </c>
    </row>
    <row r="42" spans="1:15">
      <c r="A42" s="2" t="s">
        <v>124</v>
      </c>
      <c r="B42" s="2">
        <v>3</v>
      </c>
      <c r="C42">
        <v>1</v>
      </c>
      <c r="I42">
        <v>1</v>
      </c>
    </row>
  </sheetData>
  <autoFilter ref="A5:T5" xr:uid="{00000000-0001-0000-2700-000000000000}">
    <sortState xmlns:xlrd2="http://schemas.microsoft.com/office/spreadsheetml/2017/richdata2" ref="A6:T42">
      <sortCondition ref="A5"/>
    </sortState>
  </autoFilter>
  <dataValidations count="1">
    <dataValidation type="list" allowBlank="1" showInputMessage="1" showErrorMessage="1" sqref="A27 A11:A14 A38:A39 A41" xr:uid="{00000000-0002-0000-2700-000000000000}">
      <formula1>Technologies</formula1>
    </dataValidation>
  </dataValidations>
  <pageMargins left="0.7" right="0.7" top="0.78740157499999996" bottom="0.78740157499999996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Tabelle42">
    <tabColor theme="5" tint="0.79998168889431442"/>
  </sheetPr>
  <dimension ref="A1:L486"/>
  <sheetViews>
    <sheetView workbookViewId="0">
      <pane xSplit="2" ySplit="4" topLeftCell="C8" activePane="bottomRight" state="frozen"/>
      <selection pane="topRight" activeCell="C1" sqref="C1"/>
      <selection pane="bottomLeft" activeCell="A6" sqref="A6"/>
      <selection pane="bottomRight" activeCell="H17" sqref="H17"/>
    </sheetView>
  </sheetViews>
  <sheetFormatPr defaultColWidth="9.140625" defaultRowHeight="15"/>
  <cols>
    <col min="1" max="1" width="25.28515625" customWidth="1"/>
    <col min="2" max="2" width="30.28515625" customWidth="1"/>
    <col min="3" max="4" width="25.28515625" customWidth="1"/>
    <col min="5" max="8" width="15.42578125" customWidth="1"/>
    <col min="9" max="9" width="12.85546875" bestFit="1" customWidth="1"/>
    <col min="10" max="10" width="19" bestFit="1" customWidth="1"/>
    <col min="11" max="11" width="17.5703125" bestFit="1" customWidth="1"/>
    <col min="12" max="12" width="16.85546875" bestFit="1" customWidth="1"/>
    <col min="13" max="13" width="17.42578125" bestFit="1" customWidth="1"/>
    <col min="14" max="14" width="15.85546875" bestFit="1" customWidth="1"/>
    <col min="15" max="15" width="16.140625" bestFit="1" customWidth="1"/>
    <col min="16" max="16" width="22.42578125" bestFit="1" customWidth="1"/>
    <col min="17" max="17" width="20.85546875" bestFit="1" customWidth="1"/>
    <col min="18" max="18" width="20" bestFit="1" customWidth="1"/>
    <col min="19" max="19" width="20.42578125" bestFit="1" customWidth="1"/>
    <col min="20" max="20" width="19.140625" bestFit="1" customWidth="1"/>
    <col min="21" max="21" width="19.42578125" bestFit="1" customWidth="1"/>
  </cols>
  <sheetData>
    <row r="1" spans="1:12">
      <c r="A1" t="s">
        <v>417</v>
      </c>
    </row>
    <row r="2" spans="1:12">
      <c r="A2" t="s">
        <v>351</v>
      </c>
    </row>
    <row r="3" spans="1:12">
      <c r="A3" s="15" t="s">
        <v>383</v>
      </c>
      <c r="B3" s="3"/>
      <c r="C3" s="3"/>
      <c r="D3" s="3"/>
      <c r="E3" s="3"/>
      <c r="F3" s="3"/>
      <c r="G3" s="3"/>
      <c r="H3" s="3"/>
      <c r="I3" s="3"/>
    </row>
    <row r="4" spans="1:12">
      <c r="A4" s="2"/>
      <c r="B4" s="2"/>
      <c r="C4" s="2"/>
      <c r="D4" s="2"/>
      <c r="E4" s="2"/>
      <c r="F4" s="2"/>
      <c r="G4" s="2"/>
      <c r="H4" s="2"/>
      <c r="I4" s="2"/>
    </row>
    <row r="5" spans="1:12">
      <c r="A5" t="s">
        <v>20</v>
      </c>
      <c r="B5" t="s">
        <v>21</v>
      </c>
      <c r="C5" t="s">
        <v>27</v>
      </c>
      <c r="D5" t="s">
        <v>37</v>
      </c>
      <c r="E5" t="s">
        <v>38</v>
      </c>
      <c r="F5" t="s">
        <v>39</v>
      </c>
      <c r="G5" s="57" t="s">
        <v>494</v>
      </c>
      <c r="H5" t="s">
        <v>48</v>
      </c>
      <c r="I5" t="s">
        <v>49</v>
      </c>
      <c r="J5" t="s">
        <v>50</v>
      </c>
      <c r="K5" t="s">
        <v>493</v>
      </c>
      <c r="L5" t="s">
        <v>43</v>
      </c>
    </row>
    <row r="6" spans="1:12">
      <c r="A6" t="s">
        <v>483</v>
      </c>
      <c r="B6" t="s">
        <v>146</v>
      </c>
      <c r="C6">
        <v>2018</v>
      </c>
      <c r="D6" s="46">
        <v>0.26347400832432255</v>
      </c>
      <c r="E6">
        <v>0</v>
      </c>
      <c r="F6" s="46">
        <v>0.68060491961483049</v>
      </c>
      <c r="G6" s="57">
        <v>5.5921072060847003E-2</v>
      </c>
      <c r="H6" s="46">
        <v>0.26347400832432255</v>
      </c>
      <c r="I6" s="46">
        <v>0</v>
      </c>
      <c r="J6" s="46">
        <v>0.68060491961483049</v>
      </c>
      <c r="K6" s="46">
        <v>5.5921072060847003E-2</v>
      </c>
    </row>
    <row r="7" spans="1:12">
      <c r="A7" t="s">
        <v>485</v>
      </c>
      <c r="B7" t="s">
        <v>146</v>
      </c>
      <c r="C7">
        <v>2018</v>
      </c>
      <c r="D7" s="46">
        <v>0.82491567498970286</v>
      </c>
      <c r="E7">
        <v>0</v>
      </c>
      <c r="F7" s="46">
        <v>0</v>
      </c>
      <c r="G7" s="57">
        <v>0.17508432501029708</v>
      </c>
      <c r="H7" s="46">
        <v>0.82491567498970286</v>
      </c>
      <c r="I7" s="46">
        <v>0</v>
      </c>
      <c r="J7" s="46">
        <v>0</v>
      </c>
      <c r="K7" s="46">
        <v>0.17508432501029708</v>
      </c>
    </row>
    <row r="8" spans="1:12">
      <c r="A8" t="s">
        <v>480</v>
      </c>
      <c r="B8" t="s">
        <v>146</v>
      </c>
      <c r="C8">
        <v>2018</v>
      </c>
      <c r="D8" s="46">
        <v>0.82491567498970297</v>
      </c>
      <c r="E8">
        <v>0</v>
      </c>
      <c r="F8" s="46">
        <v>0</v>
      </c>
      <c r="G8" s="57">
        <v>0.17508432501029714</v>
      </c>
      <c r="H8" s="46">
        <v>0.82491567498970297</v>
      </c>
      <c r="I8" s="46">
        <v>0</v>
      </c>
      <c r="J8" s="46">
        <v>0</v>
      </c>
      <c r="K8" s="46">
        <v>0.17508432501029714</v>
      </c>
    </row>
    <row r="9" spans="1:12">
      <c r="A9" t="s">
        <v>484</v>
      </c>
      <c r="B9" t="s">
        <v>146</v>
      </c>
      <c r="C9">
        <v>2018</v>
      </c>
      <c r="D9" s="46">
        <v>0.82491567498970286</v>
      </c>
      <c r="E9">
        <v>0</v>
      </c>
      <c r="F9" s="46">
        <v>0</v>
      </c>
      <c r="G9" s="57">
        <v>0.17508432501029708</v>
      </c>
      <c r="H9" s="46">
        <v>0.82491567498970286</v>
      </c>
      <c r="I9" s="46">
        <v>0</v>
      </c>
      <c r="J9" s="46">
        <v>0</v>
      </c>
      <c r="K9" s="46">
        <v>0.17508432501029708</v>
      </c>
    </row>
    <row r="10" spans="1:12">
      <c r="A10" t="s">
        <v>479</v>
      </c>
      <c r="B10" t="s">
        <v>146</v>
      </c>
      <c r="C10">
        <v>2018</v>
      </c>
      <c r="D10" s="46">
        <v>0.82491567498970297</v>
      </c>
      <c r="E10">
        <v>0</v>
      </c>
      <c r="F10" s="46">
        <v>0</v>
      </c>
      <c r="G10" s="57">
        <v>0.17508432501029708</v>
      </c>
      <c r="H10" s="46">
        <v>0.82491567498970297</v>
      </c>
      <c r="I10" s="46">
        <v>0</v>
      </c>
      <c r="J10" s="46">
        <v>0</v>
      </c>
      <c r="K10" s="46">
        <v>0.17508432501029708</v>
      </c>
    </row>
    <row r="11" spans="1:12">
      <c r="A11" t="s">
        <v>487</v>
      </c>
      <c r="B11" t="s">
        <v>146</v>
      </c>
      <c r="C11">
        <v>2018</v>
      </c>
      <c r="D11" s="46">
        <v>0.82491567498970286</v>
      </c>
      <c r="E11">
        <v>0</v>
      </c>
      <c r="F11" s="46">
        <v>0</v>
      </c>
      <c r="G11" s="57">
        <v>0.17508432501029714</v>
      </c>
      <c r="H11" s="46">
        <v>0.82491567498970286</v>
      </c>
      <c r="I11" s="46">
        <v>0</v>
      </c>
      <c r="J11" s="46">
        <v>0</v>
      </c>
      <c r="K11" s="46">
        <v>0.17508432501029714</v>
      </c>
    </row>
    <row r="12" spans="1:12">
      <c r="A12" t="s">
        <v>486</v>
      </c>
      <c r="B12" t="s">
        <v>146</v>
      </c>
      <c r="C12">
        <v>2018</v>
      </c>
      <c r="D12" s="46">
        <v>0.82491567498970297</v>
      </c>
      <c r="E12">
        <v>0</v>
      </c>
      <c r="F12" s="46">
        <v>0</v>
      </c>
      <c r="G12" s="57">
        <v>0.17508432501029708</v>
      </c>
      <c r="H12" s="46">
        <v>0.82491567498970297</v>
      </c>
      <c r="I12" s="46">
        <v>0</v>
      </c>
      <c r="J12" s="46">
        <v>0</v>
      </c>
      <c r="K12" s="46">
        <v>0.17508432501029708</v>
      </c>
    </row>
    <row r="13" spans="1:12">
      <c r="A13" t="s">
        <v>481</v>
      </c>
      <c r="B13" t="s">
        <v>146</v>
      </c>
      <c r="C13">
        <v>2018</v>
      </c>
      <c r="D13" s="46">
        <v>0.82491567498970297</v>
      </c>
      <c r="E13">
        <v>0</v>
      </c>
      <c r="F13" s="46">
        <v>0</v>
      </c>
      <c r="G13" s="57">
        <v>0.17508432501029708</v>
      </c>
      <c r="H13" s="46">
        <v>0.82491567498970297</v>
      </c>
      <c r="I13" s="46">
        <v>0</v>
      </c>
      <c r="J13" s="46">
        <v>0</v>
      </c>
      <c r="K13" s="46">
        <v>0.17508432501029708</v>
      </c>
    </row>
    <row r="14" spans="1:12">
      <c r="A14" t="s">
        <v>483</v>
      </c>
      <c r="B14" t="s">
        <v>146</v>
      </c>
      <c r="C14">
        <v>2021</v>
      </c>
      <c r="D14" s="46">
        <v>0.28442470194383357</v>
      </c>
      <c r="E14">
        <v>0</v>
      </c>
      <c r="F14" s="46">
        <v>0.51588995433620521</v>
      </c>
      <c r="G14" s="57">
        <v>0.19968534371996124</v>
      </c>
      <c r="H14" s="46">
        <v>0.28300257843411442</v>
      </c>
      <c r="I14" s="46">
        <v>0</v>
      </c>
      <c r="J14" s="46">
        <v>0.51331050456452421</v>
      </c>
      <c r="K14" s="46">
        <v>0.19868691700136143</v>
      </c>
      <c r="L14">
        <v>2.8442470194383357E-5</v>
      </c>
    </row>
    <row r="15" spans="1:12">
      <c r="A15" t="s">
        <v>485</v>
      </c>
      <c r="B15" t="s">
        <v>146</v>
      </c>
      <c r="C15">
        <v>2021</v>
      </c>
      <c r="D15" s="46">
        <v>0.58752075998307429</v>
      </c>
      <c r="E15">
        <v>0</v>
      </c>
      <c r="F15" s="46">
        <v>0</v>
      </c>
      <c r="G15" s="57">
        <v>0.41247924001692565</v>
      </c>
      <c r="H15" s="46">
        <v>0.58458315618315893</v>
      </c>
      <c r="I15" s="46">
        <v>0</v>
      </c>
      <c r="J15" s="46">
        <v>0</v>
      </c>
      <c r="K15" s="46">
        <v>0.41041684381684101</v>
      </c>
      <c r="L15">
        <v>5.8752075998307429E-5</v>
      </c>
    </row>
    <row r="16" spans="1:12">
      <c r="A16" t="s">
        <v>480</v>
      </c>
      <c r="B16" t="s">
        <v>146</v>
      </c>
      <c r="C16">
        <v>2021</v>
      </c>
      <c r="D16" s="46">
        <v>0.58752075998307429</v>
      </c>
      <c r="E16">
        <v>0</v>
      </c>
      <c r="F16" s="46">
        <v>0</v>
      </c>
      <c r="G16" s="57">
        <v>0.41247924001692576</v>
      </c>
      <c r="H16" s="46">
        <v>0.58458315618315893</v>
      </c>
      <c r="I16" s="46">
        <v>0</v>
      </c>
      <c r="J16" s="46">
        <v>0</v>
      </c>
      <c r="K16" s="46">
        <v>0.41041684381684113</v>
      </c>
      <c r="L16">
        <v>5.8752075998307429E-5</v>
      </c>
    </row>
    <row r="17" spans="1:12">
      <c r="A17" t="s">
        <v>484</v>
      </c>
      <c r="B17" t="s">
        <v>146</v>
      </c>
      <c r="C17">
        <v>2021</v>
      </c>
      <c r="D17" s="46">
        <v>0.5875207599830744</v>
      </c>
      <c r="E17">
        <v>0</v>
      </c>
      <c r="F17" s="46">
        <v>0</v>
      </c>
      <c r="G17" s="57">
        <v>0.41247924001692571</v>
      </c>
      <c r="H17" s="46">
        <v>0.58458315618315904</v>
      </c>
      <c r="I17" s="46">
        <v>0</v>
      </c>
      <c r="J17" s="46">
        <v>0</v>
      </c>
      <c r="K17" s="46">
        <v>0.41041684381684107</v>
      </c>
      <c r="L17">
        <v>5.8752075998307442E-5</v>
      </c>
    </row>
    <row r="18" spans="1:12">
      <c r="A18" t="s">
        <v>479</v>
      </c>
      <c r="B18" t="s">
        <v>146</v>
      </c>
      <c r="C18">
        <v>2021</v>
      </c>
      <c r="D18" s="46">
        <v>0.58752075998307429</v>
      </c>
      <c r="E18">
        <v>0</v>
      </c>
      <c r="F18" s="46">
        <v>0</v>
      </c>
      <c r="G18" s="57">
        <v>0.41247924001692565</v>
      </c>
      <c r="H18" s="46">
        <v>0.58458315618315893</v>
      </c>
      <c r="I18" s="46">
        <v>0</v>
      </c>
      <c r="J18" s="46">
        <v>0</v>
      </c>
      <c r="K18" s="46">
        <v>0.41041684381684101</v>
      </c>
      <c r="L18">
        <v>5.8752075998307429E-5</v>
      </c>
    </row>
    <row r="19" spans="1:12">
      <c r="A19" t="s">
        <v>487</v>
      </c>
      <c r="B19" t="s">
        <v>146</v>
      </c>
      <c r="C19">
        <v>2021</v>
      </c>
      <c r="D19" s="46">
        <v>0.5875207599830744</v>
      </c>
      <c r="E19">
        <v>0</v>
      </c>
      <c r="F19" s="46">
        <v>0</v>
      </c>
      <c r="G19" s="57">
        <v>0.41247924001692571</v>
      </c>
      <c r="H19" s="46">
        <v>0.58458315618315904</v>
      </c>
      <c r="I19" s="46">
        <v>0</v>
      </c>
      <c r="J19" s="46">
        <v>0</v>
      </c>
      <c r="K19" s="46">
        <v>0.41041684381684107</v>
      </c>
      <c r="L19">
        <v>5.8752075998307442E-5</v>
      </c>
    </row>
    <row r="20" spans="1:12">
      <c r="A20" t="s">
        <v>486</v>
      </c>
      <c r="B20" t="s">
        <v>146</v>
      </c>
      <c r="C20">
        <v>2021</v>
      </c>
      <c r="D20" s="46">
        <v>0.58752075998307429</v>
      </c>
      <c r="E20">
        <v>0</v>
      </c>
      <c r="F20" s="46">
        <v>0</v>
      </c>
      <c r="G20" s="57">
        <v>0.41247924001692571</v>
      </c>
      <c r="H20" s="46">
        <v>0.58458315618315893</v>
      </c>
      <c r="I20" s="46">
        <v>0</v>
      </c>
      <c r="J20" s="46">
        <v>0</v>
      </c>
      <c r="K20" s="46">
        <v>0.41041684381684107</v>
      </c>
      <c r="L20">
        <v>5.8752075998307429E-5</v>
      </c>
    </row>
    <row r="21" spans="1:12">
      <c r="A21" t="s">
        <v>481</v>
      </c>
      <c r="B21" t="s">
        <v>146</v>
      </c>
      <c r="C21">
        <v>2021</v>
      </c>
      <c r="D21" s="46">
        <v>0.5875207599830744</v>
      </c>
      <c r="E21">
        <v>0</v>
      </c>
      <c r="F21" s="46">
        <v>0</v>
      </c>
      <c r="G21" s="57">
        <v>0.41247924001692571</v>
      </c>
      <c r="H21" s="46">
        <v>0.58458315618315904</v>
      </c>
      <c r="I21" s="46">
        <v>0</v>
      </c>
      <c r="J21" s="46">
        <v>0</v>
      </c>
      <c r="K21" s="46">
        <v>0.41041684381684107</v>
      </c>
      <c r="L21">
        <v>5.8752075998307442E-5</v>
      </c>
    </row>
    <row r="22" spans="1:12">
      <c r="A22" t="s">
        <v>483</v>
      </c>
      <c r="B22" t="s">
        <v>146</v>
      </c>
      <c r="C22">
        <v>2025</v>
      </c>
      <c r="D22">
        <v>0.28158045492439521</v>
      </c>
      <c r="E22">
        <v>0</v>
      </c>
      <c r="F22">
        <v>0.5107310547928432</v>
      </c>
      <c r="G22">
        <v>0.19768849028276164</v>
      </c>
      <c r="H22" s="46">
        <v>0.26186982307968754</v>
      </c>
      <c r="I22" s="46">
        <v>0</v>
      </c>
      <c r="J22" s="46">
        <v>0.48519450205320103</v>
      </c>
      <c r="K22" s="46">
        <v>0.18780406576862355</v>
      </c>
      <c r="L22">
        <v>8.4474136477318551E-3</v>
      </c>
    </row>
    <row r="23" spans="1:12">
      <c r="A23" t="s">
        <v>485</v>
      </c>
      <c r="B23" t="s">
        <v>146</v>
      </c>
      <c r="C23">
        <v>2025</v>
      </c>
      <c r="D23">
        <v>0.58164555238324356</v>
      </c>
      <c r="E23">
        <v>0</v>
      </c>
      <c r="F23">
        <v>0</v>
      </c>
      <c r="G23">
        <v>0.40835444761675638</v>
      </c>
      <c r="H23" s="46">
        <v>0.54093036371641656</v>
      </c>
      <c r="I23" s="46">
        <v>0</v>
      </c>
      <c r="J23" s="46">
        <v>0</v>
      </c>
      <c r="K23" s="46">
        <v>0.38793672523591854</v>
      </c>
      <c r="L23">
        <v>1.7449366571497305E-2</v>
      </c>
    </row>
    <row r="24" spans="1:12">
      <c r="A24" t="s">
        <v>480</v>
      </c>
      <c r="B24" t="s">
        <v>146</v>
      </c>
      <c r="C24">
        <v>2025</v>
      </c>
      <c r="D24">
        <v>0.58164555238324356</v>
      </c>
      <c r="E24">
        <v>0</v>
      </c>
      <c r="F24">
        <v>0</v>
      </c>
      <c r="G24">
        <v>0.40835444761675649</v>
      </c>
      <c r="H24" s="46">
        <v>0.54093036371641656</v>
      </c>
      <c r="I24" s="46">
        <v>0</v>
      </c>
      <c r="J24" s="46">
        <v>0</v>
      </c>
      <c r="K24" s="46">
        <v>0.38793672523591866</v>
      </c>
      <c r="L24">
        <v>1.7449366571497305E-2</v>
      </c>
    </row>
    <row r="25" spans="1:12">
      <c r="A25" t="s">
        <v>484</v>
      </c>
      <c r="B25" t="s">
        <v>146</v>
      </c>
      <c r="C25">
        <v>2025</v>
      </c>
      <c r="D25">
        <v>0.58164555238324367</v>
      </c>
      <c r="E25">
        <v>0</v>
      </c>
      <c r="F25">
        <v>0</v>
      </c>
      <c r="G25">
        <v>0.40835444761675643</v>
      </c>
      <c r="H25" s="46">
        <v>0.54093036371641667</v>
      </c>
      <c r="I25" s="46">
        <v>0</v>
      </c>
      <c r="J25" s="46">
        <v>0</v>
      </c>
      <c r="K25" s="46">
        <v>0.3879367252359186</v>
      </c>
      <c r="L25">
        <v>1.7449366571497309E-2</v>
      </c>
    </row>
    <row r="26" spans="1:12">
      <c r="A26" t="s">
        <v>479</v>
      </c>
      <c r="B26" t="s">
        <v>146</v>
      </c>
      <c r="C26">
        <v>2025</v>
      </c>
      <c r="D26">
        <v>0.58164555238324356</v>
      </c>
      <c r="E26">
        <v>0</v>
      </c>
      <c r="F26">
        <v>0</v>
      </c>
      <c r="G26">
        <v>0.40835444761675638</v>
      </c>
      <c r="H26" s="46">
        <v>0.54093036371641656</v>
      </c>
      <c r="I26" s="46">
        <v>0</v>
      </c>
      <c r="J26" s="46">
        <v>0</v>
      </c>
      <c r="K26" s="46">
        <v>0.38793672523591854</v>
      </c>
      <c r="L26">
        <v>1.7449366571497305E-2</v>
      </c>
    </row>
    <row r="27" spans="1:12">
      <c r="A27" t="s">
        <v>487</v>
      </c>
      <c r="B27" t="s">
        <v>146</v>
      </c>
      <c r="C27">
        <v>2025</v>
      </c>
      <c r="D27">
        <v>0.58164555238324367</v>
      </c>
      <c r="E27">
        <v>0</v>
      </c>
      <c r="F27">
        <v>0</v>
      </c>
      <c r="G27">
        <v>0.40835444761675643</v>
      </c>
      <c r="H27" s="46">
        <v>0.54093036371641667</v>
      </c>
      <c r="I27" s="46">
        <v>0</v>
      </c>
      <c r="J27" s="46">
        <v>0</v>
      </c>
      <c r="K27" s="46">
        <v>0.3879367252359186</v>
      </c>
      <c r="L27">
        <v>1.7449366571497309E-2</v>
      </c>
    </row>
    <row r="28" spans="1:12">
      <c r="A28" t="s">
        <v>486</v>
      </c>
      <c r="B28" t="s">
        <v>146</v>
      </c>
      <c r="C28">
        <v>2025</v>
      </c>
      <c r="D28">
        <v>0.58164555238324356</v>
      </c>
      <c r="E28">
        <v>0</v>
      </c>
      <c r="F28">
        <v>0</v>
      </c>
      <c r="G28">
        <v>0.40835444761675643</v>
      </c>
      <c r="H28" s="46">
        <v>0.54093036371641656</v>
      </c>
      <c r="I28" s="46">
        <v>0</v>
      </c>
      <c r="J28" s="46">
        <v>0</v>
      </c>
      <c r="K28" s="46">
        <v>0.3879367252359186</v>
      </c>
      <c r="L28">
        <v>1.7449366571497305E-2</v>
      </c>
    </row>
    <row r="29" spans="1:12">
      <c r="A29" t="s">
        <v>481</v>
      </c>
      <c r="B29" t="s">
        <v>146</v>
      </c>
      <c r="C29">
        <v>2025</v>
      </c>
      <c r="D29">
        <v>0.58164555238324367</v>
      </c>
      <c r="E29">
        <v>0</v>
      </c>
      <c r="F29">
        <v>0</v>
      </c>
      <c r="G29">
        <v>0.40835444761675643</v>
      </c>
      <c r="H29" s="46">
        <v>0.54093036371641667</v>
      </c>
      <c r="I29" s="46">
        <v>0</v>
      </c>
      <c r="J29" s="46">
        <v>0</v>
      </c>
      <c r="K29" s="46">
        <v>0.3879367252359186</v>
      </c>
      <c r="L29">
        <v>1.7449366571497309E-2</v>
      </c>
    </row>
    <row r="30" spans="1:12">
      <c r="A30" t="s">
        <v>483</v>
      </c>
      <c r="B30" t="s">
        <v>146</v>
      </c>
      <c r="C30">
        <v>2030</v>
      </c>
      <c r="D30">
        <v>0.27876465037515125</v>
      </c>
      <c r="E30">
        <v>0</v>
      </c>
      <c r="F30">
        <v>0.50562374424491474</v>
      </c>
      <c r="G30">
        <v>0.19571160537993401</v>
      </c>
      <c r="H30" s="46">
        <v>0.21464878078886646</v>
      </c>
      <c r="I30" s="46">
        <v>0</v>
      </c>
      <c r="J30" s="46">
        <v>0.50562374424491474</v>
      </c>
      <c r="K30" s="46">
        <v>0.19571160537993401</v>
      </c>
      <c r="L30">
        <v>3.6239404548769664E-2</v>
      </c>
    </row>
    <row r="31" spans="1:12">
      <c r="A31" t="s">
        <v>485</v>
      </c>
      <c r="B31" t="s">
        <v>146</v>
      </c>
      <c r="C31">
        <v>2030</v>
      </c>
      <c r="D31">
        <v>0.57582909685941108</v>
      </c>
      <c r="E31">
        <v>0</v>
      </c>
      <c r="F31">
        <v>0</v>
      </c>
      <c r="G31">
        <v>0.40427090314058883</v>
      </c>
      <c r="H31" s="46">
        <v>0.44338840458174655</v>
      </c>
      <c r="I31" s="46">
        <v>0</v>
      </c>
      <c r="J31" s="46">
        <v>0</v>
      </c>
      <c r="K31" s="46">
        <v>0.40427090314058883</v>
      </c>
      <c r="L31">
        <v>7.4857782591723446E-2</v>
      </c>
    </row>
    <row r="32" spans="1:12">
      <c r="A32" t="s">
        <v>480</v>
      </c>
      <c r="B32" t="s">
        <v>146</v>
      </c>
      <c r="C32">
        <v>2030</v>
      </c>
      <c r="D32">
        <v>0.57582909685941108</v>
      </c>
      <c r="E32">
        <v>0</v>
      </c>
      <c r="F32">
        <v>0</v>
      </c>
      <c r="G32">
        <v>0.40427090314058894</v>
      </c>
      <c r="H32" s="46">
        <v>0.44338840458174655</v>
      </c>
      <c r="I32" s="46">
        <v>0</v>
      </c>
      <c r="J32" s="46">
        <v>0</v>
      </c>
      <c r="K32" s="46">
        <v>0.40427090314058894</v>
      </c>
      <c r="L32">
        <v>7.4857782591723446E-2</v>
      </c>
    </row>
    <row r="33" spans="1:12">
      <c r="A33" t="s">
        <v>484</v>
      </c>
      <c r="B33" t="s">
        <v>146</v>
      </c>
      <c r="C33">
        <v>2030</v>
      </c>
      <c r="D33">
        <v>0.57582909685941119</v>
      </c>
      <c r="E33">
        <v>0</v>
      </c>
      <c r="F33">
        <v>0</v>
      </c>
      <c r="G33">
        <v>0.40427090314058889</v>
      </c>
      <c r="H33" s="46">
        <v>0.44338840458174661</v>
      </c>
      <c r="I33" s="46">
        <v>0</v>
      </c>
      <c r="J33" s="46">
        <v>0</v>
      </c>
      <c r="K33" s="46">
        <v>0.40427090314058889</v>
      </c>
      <c r="L33">
        <v>7.485778259172346E-2</v>
      </c>
    </row>
    <row r="34" spans="1:12">
      <c r="A34" t="s">
        <v>479</v>
      </c>
      <c r="B34" t="s">
        <v>146</v>
      </c>
      <c r="C34">
        <v>2030</v>
      </c>
      <c r="D34">
        <v>0.57582909685941108</v>
      </c>
      <c r="E34">
        <v>0</v>
      </c>
      <c r="F34">
        <v>0</v>
      </c>
      <c r="G34">
        <v>0.40427090314058883</v>
      </c>
      <c r="H34" s="46">
        <v>0.44338840458174655</v>
      </c>
      <c r="I34" s="46">
        <v>0</v>
      </c>
      <c r="J34" s="46">
        <v>0</v>
      </c>
      <c r="K34" s="46">
        <v>0.40427090314058883</v>
      </c>
      <c r="L34">
        <v>7.4857782591723446E-2</v>
      </c>
    </row>
    <row r="35" spans="1:12">
      <c r="A35" t="s">
        <v>487</v>
      </c>
      <c r="B35" t="s">
        <v>146</v>
      </c>
      <c r="C35">
        <v>2030</v>
      </c>
      <c r="D35">
        <v>0.57582909685941119</v>
      </c>
      <c r="E35">
        <v>0</v>
      </c>
      <c r="F35">
        <v>0</v>
      </c>
      <c r="G35">
        <v>0.40427090314058889</v>
      </c>
      <c r="H35" s="46">
        <v>0.44338840458174661</v>
      </c>
      <c r="I35" s="46">
        <v>0</v>
      </c>
      <c r="J35" s="46">
        <v>0</v>
      </c>
      <c r="K35" s="46">
        <v>0.40427090314058889</v>
      </c>
      <c r="L35">
        <v>7.485778259172346E-2</v>
      </c>
    </row>
    <row r="36" spans="1:12">
      <c r="A36" t="s">
        <v>486</v>
      </c>
      <c r="B36" t="s">
        <v>146</v>
      </c>
      <c r="C36">
        <v>2030</v>
      </c>
      <c r="D36">
        <v>0.57582909685941108</v>
      </c>
      <c r="E36">
        <v>0</v>
      </c>
      <c r="F36">
        <v>0</v>
      </c>
      <c r="G36">
        <v>0.40427090314058889</v>
      </c>
      <c r="H36" s="46">
        <v>0.44338840458174655</v>
      </c>
      <c r="I36" s="46">
        <v>0</v>
      </c>
      <c r="J36" s="46">
        <v>0</v>
      </c>
      <c r="K36" s="46">
        <v>0.40427090314058889</v>
      </c>
      <c r="L36">
        <v>7.4857782591723446E-2</v>
      </c>
    </row>
    <row r="37" spans="1:12">
      <c r="A37" t="s">
        <v>481</v>
      </c>
      <c r="B37" t="s">
        <v>146</v>
      </c>
      <c r="C37">
        <v>2030</v>
      </c>
      <c r="D37">
        <v>0.57582909685941119</v>
      </c>
      <c r="E37">
        <v>0</v>
      </c>
      <c r="F37">
        <v>0</v>
      </c>
      <c r="G37">
        <v>0.40427090314058889</v>
      </c>
      <c r="H37" s="46">
        <v>0.44338840458174661</v>
      </c>
      <c r="I37" s="46">
        <v>0</v>
      </c>
      <c r="J37" s="46">
        <v>0</v>
      </c>
      <c r="K37" s="46">
        <v>0.40427090314058889</v>
      </c>
      <c r="L37">
        <v>7.485778259172346E-2</v>
      </c>
    </row>
    <row r="38" spans="1:12">
      <c r="A38" t="s">
        <v>483</v>
      </c>
      <c r="B38" t="s">
        <v>146</v>
      </c>
      <c r="C38">
        <v>2035</v>
      </c>
      <c r="D38">
        <v>0.27597700387139973</v>
      </c>
      <c r="E38">
        <v>0</v>
      </c>
      <c r="F38">
        <v>0.50056750680246553</v>
      </c>
      <c r="G38">
        <v>0.19375448932613468</v>
      </c>
      <c r="H38" s="46">
        <v>0.16006666224541183</v>
      </c>
      <c r="I38" s="46">
        <v>0</v>
      </c>
      <c r="J38" s="46">
        <v>0.50056750680246553</v>
      </c>
      <c r="K38" s="46">
        <v>0.19375448932613468</v>
      </c>
      <c r="L38">
        <v>7.1754021006563931E-2</v>
      </c>
    </row>
    <row r="39" spans="1:12">
      <c r="A39" t="s">
        <v>485</v>
      </c>
      <c r="B39" t="s">
        <v>146</v>
      </c>
      <c r="C39">
        <v>2035</v>
      </c>
      <c r="D39">
        <v>0.57007080589081693</v>
      </c>
      <c r="E39">
        <v>0</v>
      </c>
      <c r="F39">
        <v>0</v>
      </c>
      <c r="G39">
        <v>0.40022819410918292</v>
      </c>
      <c r="H39" s="46">
        <v>0.33064106741667382</v>
      </c>
      <c r="I39" s="46">
        <v>0</v>
      </c>
      <c r="J39" s="46">
        <v>0</v>
      </c>
      <c r="K39" s="46">
        <v>0.40022819410918292</v>
      </c>
      <c r="L39">
        <v>0.14821840953161242</v>
      </c>
    </row>
    <row r="40" spans="1:12">
      <c r="A40" t="s">
        <v>480</v>
      </c>
      <c r="B40" t="s">
        <v>146</v>
      </c>
      <c r="C40">
        <v>2035</v>
      </c>
      <c r="D40">
        <v>0.57007080589081693</v>
      </c>
      <c r="E40">
        <v>0</v>
      </c>
      <c r="F40">
        <v>0</v>
      </c>
      <c r="G40">
        <v>0.40022819410918303</v>
      </c>
      <c r="H40" s="46">
        <v>0.33064106741667382</v>
      </c>
      <c r="I40" s="46">
        <v>0</v>
      </c>
      <c r="J40" s="46">
        <v>0</v>
      </c>
      <c r="K40" s="46">
        <v>0.40022819410918303</v>
      </c>
      <c r="L40">
        <v>0.14821840953161242</v>
      </c>
    </row>
    <row r="41" spans="1:12">
      <c r="A41" t="s">
        <v>484</v>
      </c>
      <c r="B41" t="s">
        <v>146</v>
      </c>
      <c r="C41">
        <v>2035</v>
      </c>
      <c r="D41">
        <v>0.57007080589081705</v>
      </c>
      <c r="E41">
        <v>0</v>
      </c>
      <c r="F41">
        <v>0</v>
      </c>
      <c r="G41">
        <v>0.40022819410918298</v>
      </c>
      <c r="H41" s="46">
        <v>0.33064106741667387</v>
      </c>
      <c r="I41" s="46">
        <v>0</v>
      </c>
      <c r="J41" s="46">
        <v>0</v>
      </c>
      <c r="K41" s="46">
        <v>0.40022819410918298</v>
      </c>
      <c r="L41">
        <v>0.14821840953161244</v>
      </c>
    </row>
    <row r="42" spans="1:12">
      <c r="A42" t="s">
        <v>479</v>
      </c>
      <c r="B42" t="s">
        <v>146</v>
      </c>
      <c r="C42">
        <v>2035</v>
      </c>
      <c r="D42">
        <v>0.57007080589081693</v>
      </c>
      <c r="E42">
        <v>0</v>
      </c>
      <c r="F42">
        <v>0</v>
      </c>
      <c r="G42">
        <v>0.40022819410918292</v>
      </c>
      <c r="H42" s="46">
        <v>0.33064106741667382</v>
      </c>
      <c r="I42" s="46">
        <v>0</v>
      </c>
      <c r="J42" s="46">
        <v>0</v>
      </c>
      <c r="K42" s="46">
        <v>0.40022819410918292</v>
      </c>
      <c r="L42">
        <v>0.14821840953161242</v>
      </c>
    </row>
    <row r="43" spans="1:12">
      <c r="A43" t="s">
        <v>487</v>
      </c>
      <c r="B43" t="s">
        <v>146</v>
      </c>
      <c r="C43">
        <v>2035</v>
      </c>
      <c r="D43">
        <v>0.57007080589081705</v>
      </c>
      <c r="E43">
        <v>0</v>
      </c>
      <c r="F43">
        <v>0</v>
      </c>
      <c r="G43">
        <v>0.40022819410918298</v>
      </c>
      <c r="H43" s="46">
        <v>0.33064106741667387</v>
      </c>
      <c r="I43" s="46">
        <v>0</v>
      </c>
      <c r="J43" s="46">
        <v>0</v>
      </c>
      <c r="K43" s="46">
        <v>0.40022819410918298</v>
      </c>
      <c r="L43">
        <v>0.14821840953161244</v>
      </c>
    </row>
    <row r="44" spans="1:12">
      <c r="A44" t="s">
        <v>486</v>
      </c>
      <c r="B44" t="s">
        <v>146</v>
      </c>
      <c r="C44">
        <v>2035</v>
      </c>
      <c r="D44">
        <v>0.57007080589081693</v>
      </c>
      <c r="E44">
        <v>0</v>
      </c>
      <c r="F44">
        <v>0</v>
      </c>
      <c r="G44">
        <v>0.40022819410918298</v>
      </c>
      <c r="H44" s="46">
        <v>0.33064106741667382</v>
      </c>
      <c r="I44" s="46">
        <v>0</v>
      </c>
      <c r="J44" s="46">
        <v>0</v>
      </c>
      <c r="K44" s="46">
        <v>0.40022819410918298</v>
      </c>
      <c r="L44">
        <v>0.14821840953161242</v>
      </c>
    </row>
    <row r="45" spans="1:12">
      <c r="A45" t="s">
        <v>481</v>
      </c>
      <c r="B45" t="s">
        <v>146</v>
      </c>
      <c r="C45">
        <v>2035</v>
      </c>
      <c r="D45">
        <v>0.57007080589081705</v>
      </c>
      <c r="E45">
        <v>0</v>
      </c>
      <c r="F45">
        <v>0</v>
      </c>
      <c r="G45">
        <v>0.40022819410918298</v>
      </c>
      <c r="H45" s="46">
        <v>0.33064106741667387</v>
      </c>
      <c r="I45" s="46">
        <v>0</v>
      </c>
      <c r="J45" s="46">
        <v>0</v>
      </c>
      <c r="K45" s="46">
        <v>0.40022819410918298</v>
      </c>
      <c r="L45">
        <v>0.14821840953161244</v>
      </c>
    </row>
    <row r="46" spans="1:12">
      <c r="A46" t="s">
        <v>483</v>
      </c>
      <c r="B46" t="s">
        <v>146</v>
      </c>
      <c r="C46">
        <v>2040</v>
      </c>
      <c r="D46">
        <v>0.2732172338326857</v>
      </c>
      <c r="E46">
        <v>0</v>
      </c>
      <c r="F46">
        <v>0.49556183173444085</v>
      </c>
      <c r="G46">
        <v>0.19181694443287334</v>
      </c>
      <c r="H46" s="46">
        <v>0</v>
      </c>
      <c r="I46" s="46">
        <v>0</v>
      </c>
      <c r="J46" s="46">
        <v>0</v>
      </c>
      <c r="K46" s="46">
        <v>0</v>
      </c>
      <c r="L46" s="46">
        <v>0</v>
      </c>
    </row>
    <row r="47" spans="1:12">
      <c r="A47" t="s">
        <v>485</v>
      </c>
      <c r="B47" t="s">
        <v>146</v>
      </c>
      <c r="C47">
        <v>2040</v>
      </c>
      <c r="D47">
        <v>0.56437009783190872</v>
      </c>
      <c r="E47">
        <v>0</v>
      </c>
      <c r="F47">
        <v>0</v>
      </c>
      <c r="G47">
        <v>0.39622591216809111</v>
      </c>
      <c r="H47" s="46">
        <v>0</v>
      </c>
      <c r="I47" s="46">
        <v>0</v>
      </c>
      <c r="J47" s="46">
        <v>0</v>
      </c>
      <c r="K47" s="46">
        <v>0</v>
      </c>
      <c r="L47" s="46">
        <v>0</v>
      </c>
    </row>
    <row r="48" spans="1:12">
      <c r="A48" t="s">
        <v>480</v>
      </c>
      <c r="B48" t="s">
        <v>146</v>
      </c>
      <c r="C48">
        <v>2040</v>
      </c>
      <c r="D48">
        <v>0.56437009783190872</v>
      </c>
      <c r="E48">
        <v>0</v>
      </c>
      <c r="F48">
        <v>0</v>
      </c>
      <c r="G48">
        <v>0.39622591216809122</v>
      </c>
      <c r="H48" s="46">
        <v>0</v>
      </c>
      <c r="I48" s="46">
        <v>0</v>
      </c>
      <c r="J48" s="46">
        <v>0</v>
      </c>
      <c r="K48" s="46">
        <v>0</v>
      </c>
      <c r="L48" s="46">
        <v>0</v>
      </c>
    </row>
    <row r="49" spans="1:12">
      <c r="A49" t="s">
        <v>484</v>
      </c>
      <c r="B49" t="s">
        <v>146</v>
      </c>
      <c r="C49">
        <v>2040</v>
      </c>
      <c r="D49">
        <v>0.56437009783190883</v>
      </c>
      <c r="E49">
        <v>0</v>
      </c>
      <c r="F49">
        <v>0</v>
      </c>
      <c r="G49">
        <v>0.39622591216809117</v>
      </c>
      <c r="H49" s="46">
        <v>0</v>
      </c>
      <c r="I49" s="46">
        <v>0</v>
      </c>
      <c r="J49" s="46">
        <v>0</v>
      </c>
      <c r="K49" s="46">
        <v>0</v>
      </c>
      <c r="L49" s="46">
        <v>0</v>
      </c>
    </row>
    <row r="50" spans="1:12">
      <c r="A50" t="s">
        <v>479</v>
      </c>
      <c r="B50" t="s">
        <v>146</v>
      </c>
      <c r="C50">
        <v>2040</v>
      </c>
      <c r="D50">
        <v>0.56437009783190872</v>
      </c>
      <c r="E50">
        <v>0</v>
      </c>
      <c r="F50">
        <v>0</v>
      </c>
      <c r="G50">
        <v>0.39622591216809111</v>
      </c>
      <c r="H50" s="46">
        <v>0</v>
      </c>
      <c r="I50" s="46">
        <v>0</v>
      </c>
      <c r="J50" s="46">
        <v>0</v>
      </c>
      <c r="K50" s="46">
        <v>0</v>
      </c>
      <c r="L50" s="46">
        <v>0</v>
      </c>
    </row>
    <row r="51" spans="1:12">
      <c r="A51" t="s">
        <v>487</v>
      </c>
      <c r="B51" t="s">
        <v>146</v>
      </c>
      <c r="C51">
        <v>2040</v>
      </c>
      <c r="D51">
        <v>0.56437009783190883</v>
      </c>
      <c r="E51">
        <v>0</v>
      </c>
      <c r="F51">
        <v>0</v>
      </c>
      <c r="G51">
        <v>0.39622591216809117</v>
      </c>
      <c r="H51" s="46">
        <v>0</v>
      </c>
      <c r="I51" s="46">
        <v>0</v>
      </c>
      <c r="J51" s="46">
        <v>0</v>
      </c>
      <c r="K51" s="46">
        <v>0</v>
      </c>
      <c r="L51" s="46">
        <v>0</v>
      </c>
    </row>
    <row r="52" spans="1:12">
      <c r="A52" t="s">
        <v>486</v>
      </c>
      <c r="B52" t="s">
        <v>146</v>
      </c>
      <c r="C52">
        <v>2040</v>
      </c>
      <c r="D52">
        <v>0.56437009783190872</v>
      </c>
      <c r="E52">
        <v>0</v>
      </c>
      <c r="F52">
        <v>0</v>
      </c>
      <c r="G52">
        <v>0.39622591216809117</v>
      </c>
      <c r="H52" s="46">
        <v>0</v>
      </c>
      <c r="I52" s="46">
        <v>0</v>
      </c>
      <c r="J52" s="46">
        <v>0</v>
      </c>
      <c r="K52" s="46">
        <v>0</v>
      </c>
      <c r="L52" s="46">
        <v>0</v>
      </c>
    </row>
    <row r="53" spans="1:12">
      <c r="A53" t="s">
        <v>481</v>
      </c>
      <c r="B53" t="s">
        <v>146</v>
      </c>
      <c r="C53">
        <v>2040</v>
      </c>
      <c r="D53">
        <v>0.56437009783190883</v>
      </c>
      <c r="E53">
        <v>0</v>
      </c>
      <c r="F53">
        <v>0</v>
      </c>
      <c r="G53">
        <v>0.39622591216809117</v>
      </c>
      <c r="H53" s="46">
        <v>0</v>
      </c>
      <c r="I53" s="46">
        <v>0</v>
      </c>
      <c r="J53" s="46">
        <v>0</v>
      </c>
      <c r="K53" s="46">
        <v>0</v>
      </c>
      <c r="L53" s="46">
        <v>0</v>
      </c>
    </row>
    <row r="54" spans="1:12">
      <c r="A54" t="s">
        <v>483</v>
      </c>
      <c r="B54" t="s">
        <v>146</v>
      </c>
      <c r="C54">
        <v>2045</v>
      </c>
      <c r="D54">
        <v>0.27048506149435886</v>
      </c>
      <c r="E54">
        <v>0</v>
      </c>
      <c r="F54">
        <v>0.49060621341709643</v>
      </c>
      <c r="G54">
        <v>0.1898987749885446</v>
      </c>
      <c r="H54" s="46">
        <v>0</v>
      </c>
      <c r="I54" s="46">
        <v>0</v>
      </c>
      <c r="J54" s="46">
        <v>0</v>
      </c>
      <c r="K54" s="46">
        <v>0</v>
      </c>
      <c r="L54" s="46">
        <v>0</v>
      </c>
    </row>
    <row r="55" spans="1:12">
      <c r="A55" t="s">
        <v>485</v>
      </c>
      <c r="B55" t="s">
        <v>146</v>
      </c>
      <c r="C55">
        <v>2045</v>
      </c>
      <c r="D55">
        <v>0.5587263968535896</v>
      </c>
      <c r="E55">
        <v>0</v>
      </c>
      <c r="F55">
        <v>0</v>
      </c>
      <c r="G55">
        <v>0.3922636530464102</v>
      </c>
      <c r="H55" s="46">
        <v>0</v>
      </c>
      <c r="I55" s="46">
        <v>0</v>
      </c>
      <c r="J55" s="46">
        <v>0</v>
      </c>
      <c r="K55" s="46">
        <v>0</v>
      </c>
      <c r="L55" s="46">
        <v>0</v>
      </c>
    </row>
    <row r="56" spans="1:12">
      <c r="A56" t="s">
        <v>480</v>
      </c>
      <c r="B56" t="s">
        <v>146</v>
      </c>
      <c r="C56">
        <v>2045</v>
      </c>
      <c r="D56">
        <v>0.5587263968535896</v>
      </c>
      <c r="E56">
        <v>0</v>
      </c>
      <c r="F56">
        <v>0</v>
      </c>
      <c r="G56">
        <v>0.39226365304641031</v>
      </c>
      <c r="H56" s="46">
        <v>0</v>
      </c>
      <c r="I56" s="46">
        <v>0</v>
      </c>
      <c r="J56" s="46">
        <v>0</v>
      </c>
      <c r="K56" s="46">
        <v>0</v>
      </c>
      <c r="L56" s="46">
        <v>0</v>
      </c>
    </row>
    <row r="57" spans="1:12">
      <c r="A57" t="s">
        <v>484</v>
      </c>
      <c r="B57" t="s">
        <v>146</v>
      </c>
      <c r="C57">
        <v>2045</v>
      </c>
      <c r="D57">
        <v>0.55872639685358971</v>
      </c>
      <c r="E57">
        <v>0</v>
      </c>
      <c r="F57">
        <v>0</v>
      </c>
      <c r="G57">
        <v>0.39226365304641025</v>
      </c>
      <c r="H57" s="46">
        <v>0</v>
      </c>
      <c r="I57" s="46">
        <v>0</v>
      </c>
      <c r="J57" s="46">
        <v>0</v>
      </c>
      <c r="K57" s="46">
        <v>0</v>
      </c>
      <c r="L57" s="46">
        <v>0</v>
      </c>
    </row>
    <row r="58" spans="1:12">
      <c r="A58" t="s">
        <v>479</v>
      </c>
      <c r="B58" t="s">
        <v>146</v>
      </c>
      <c r="C58">
        <v>2045</v>
      </c>
      <c r="D58">
        <v>0.5587263968535896</v>
      </c>
      <c r="E58">
        <v>0</v>
      </c>
      <c r="F58">
        <v>0</v>
      </c>
      <c r="G58">
        <v>0.3922636530464102</v>
      </c>
      <c r="H58" s="46">
        <v>0</v>
      </c>
      <c r="I58" s="46">
        <v>0</v>
      </c>
      <c r="J58" s="46">
        <v>0</v>
      </c>
      <c r="K58" s="46">
        <v>0</v>
      </c>
      <c r="L58" s="46">
        <v>0</v>
      </c>
    </row>
    <row r="59" spans="1:12">
      <c r="A59" t="s">
        <v>487</v>
      </c>
      <c r="B59" t="s">
        <v>146</v>
      </c>
      <c r="C59">
        <v>2045</v>
      </c>
      <c r="D59">
        <v>0.55872639685358971</v>
      </c>
      <c r="E59">
        <v>0</v>
      </c>
      <c r="F59">
        <v>0</v>
      </c>
      <c r="G59">
        <v>0.39226365304641025</v>
      </c>
      <c r="H59" s="46">
        <v>0</v>
      </c>
      <c r="I59" s="46">
        <v>0</v>
      </c>
      <c r="J59" s="46">
        <v>0</v>
      </c>
      <c r="K59" s="46">
        <v>0</v>
      </c>
      <c r="L59" s="46">
        <v>0</v>
      </c>
    </row>
    <row r="60" spans="1:12">
      <c r="A60" t="s">
        <v>486</v>
      </c>
      <c r="B60" t="s">
        <v>146</v>
      </c>
      <c r="C60">
        <v>2045</v>
      </c>
      <c r="D60">
        <v>0.5587263968535896</v>
      </c>
      <c r="E60">
        <v>0</v>
      </c>
      <c r="F60">
        <v>0</v>
      </c>
      <c r="G60">
        <v>0.39226365304641025</v>
      </c>
      <c r="H60" s="46">
        <v>0</v>
      </c>
      <c r="I60" s="46">
        <v>0</v>
      </c>
      <c r="J60" s="46">
        <v>0</v>
      </c>
      <c r="K60" s="46">
        <v>0</v>
      </c>
      <c r="L60" s="46">
        <v>0</v>
      </c>
    </row>
    <row r="61" spans="1:12">
      <c r="A61" t="s">
        <v>481</v>
      </c>
      <c r="B61" t="s">
        <v>146</v>
      </c>
      <c r="C61">
        <v>2045</v>
      </c>
      <c r="D61">
        <v>0.55872639685358971</v>
      </c>
      <c r="E61">
        <v>0</v>
      </c>
      <c r="F61">
        <v>0</v>
      </c>
      <c r="G61">
        <v>0.39226365304641025</v>
      </c>
      <c r="H61" s="46">
        <v>0</v>
      </c>
      <c r="I61" s="46">
        <v>0</v>
      </c>
      <c r="J61" s="46">
        <v>0</v>
      </c>
      <c r="K61" s="46">
        <v>0</v>
      </c>
      <c r="L61" s="46">
        <v>0</v>
      </c>
    </row>
    <row r="62" spans="1:12">
      <c r="A62" t="s">
        <v>483</v>
      </c>
      <c r="B62" t="s">
        <v>146</v>
      </c>
      <c r="C62">
        <v>2050</v>
      </c>
      <c r="D62">
        <v>0.26778021087941528</v>
      </c>
      <c r="E62">
        <v>0</v>
      </c>
      <c r="F62">
        <v>0.48570015128292549</v>
      </c>
      <c r="G62">
        <v>0.18799978723865915</v>
      </c>
      <c r="H62" s="46">
        <v>0</v>
      </c>
      <c r="I62" s="46">
        <v>0</v>
      </c>
      <c r="J62" s="46">
        <v>0</v>
      </c>
      <c r="K62" s="46">
        <v>0</v>
      </c>
      <c r="L62" s="46">
        <v>0</v>
      </c>
    </row>
    <row r="63" spans="1:12">
      <c r="A63" t="s">
        <v>485</v>
      </c>
      <c r="B63" t="s">
        <v>146</v>
      </c>
      <c r="C63">
        <v>2050</v>
      </c>
      <c r="D63">
        <v>0.55313913288505367</v>
      </c>
      <c r="E63">
        <v>0</v>
      </c>
      <c r="F63">
        <v>0</v>
      </c>
      <c r="G63">
        <v>0.3883410165159461</v>
      </c>
      <c r="H63" s="46">
        <v>0</v>
      </c>
      <c r="I63" s="46">
        <v>0</v>
      </c>
      <c r="J63" s="46">
        <v>0</v>
      </c>
      <c r="K63" s="46">
        <v>0</v>
      </c>
      <c r="L63" s="46">
        <v>0</v>
      </c>
    </row>
    <row r="64" spans="1:12">
      <c r="A64" t="s">
        <v>480</v>
      </c>
      <c r="B64" t="s">
        <v>146</v>
      </c>
      <c r="C64">
        <v>2050</v>
      </c>
      <c r="D64">
        <v>0.55313913288505367</v>
      </c>
      <c r="E64">
        <v>0</v>
      </c>
      <c r="F64">
        <v>0</v>
      </c>
      <c r="G64">
        <v>0.38834101651594621</v>
      </c>
      <c r="H64" s="46">
        <v>0</v>
      </c>
      <c r="I64" s="46">
        <v>0</v>
      </c>
      <c r="J64" s="46">
        <v>0</v>
      </c>
      <c r="K64" s="46">
        <v>0</v>
      </c>
      <c r="L64" s="46">
        <v>0</v>
      </c>
    </row>
    <row r="65" spans="1:12">
      <c r="A65" t="s">
        <v>484</v>
      </c>
      <c r="B65" t="s">
        <v>146</v>
      </c>
      <c r="C65">
        <v>2050</v>
      </c>
      <c r="D65">
        <v>0.55313913288505379</v>
      </c>
      <c r="E65">
        <v>0</v>
      </c>
      <c r="F65">
        <v>0</v>
      </c>
      <c r="G65">
        <v>0.38834101651594616</v>
      </c>
      <c r="H65" s="46">
        <v>0</v>
      </c>
      <c r="I65" s="46">
        <v>0</v>
      </c>
      <c r="J65" s="46">
        <v>0</v>
      </c>
      <c r="K65" s="46">
        <v>0</v>
      </c>
      <c r="L65" s="46">
        <v>0</v>
      </c>
    </row>
    <row r="66" spans="1:12">
      <c r="A66" t="s">
        <v>479</v>
      </c>
      <c r="B66" t="s">
        <v>146</v>
      </c>
      <c r="C66">
        <v>2050</v>
      </c>
      <c r="D66">
        <v>0.55313913288505367</v>
      </c>
      <c r="E66">
        <v>0</v>
      </c>
      <c r="F66">
        <v>0</v>
      </c>
      <c r="G66">
        <v>0.3883410165159461</v>
      </c>
      <c r="H66" s="46">
        <v>0</v>
      </c>
      <c r="I66" s="46">
        <v>0</v>
      </c>
      <c r="J66" s="46">
        <v>0</v>
      </c>
      <c r="K66" s="46">
        <v>0</v>
      </c>
      <c r="L66" s="46">
        <v>0</v>
      </c>
    </row>
    <row r="67" spans="1:12">
      <c r="A67" t="s">
        <v>487</v>
      </c>
      <c r="B67" t="s">
        <v>146</v>
      </c>
      <c r="C67">
        <v>2050</v>
      </c>
      <c r="D67">
        <v>0.55313913288505379</v>
      </c>
      <c r="E67">
        <v>0</v>
      </c>
      <c r="F67">
        <v>0</v>
      </c>
      <c r="G67">
        <v>0.38834101651594616</v>
      </c>
      <c r="H67" s="46">
        <v>0</v>
      </c>
      <c r="I67" s="46">
        <v>0</v>
      </c>
      <c r="J67" s="46">
        <v>0</v>
      </c>
      <c r="K67" s="46">
        <v>0</v>
      </c>
      <c r="L67" s="46">
        <v>0</v>
      </c>
    </row>
    <row r="68" spans="1:12">
      <c r="A68" t="s">
        <v>486</v>
      </c>
      <c r="B68" t="s">
        <v>146</v>
      </c>
      <c r="C68">
        <v>2050</v>
      </c>
      <c r="D68">
        <v>0.55313913288505367</v>
      </c>
      <c r="E68">
        <v>0</v>
      </c>
      <c r="F68">
        <v>0</v>
      </c>
      <c r="G68">
        <v>0.38834101651594616</v>
      </c>
      <c r="H68" s="46">
        <v>0</v>
      </c>
      <c r="I68" s="46">
        <v>0</v>
      </c>
      <c r="J68" s="46">
        <v>0</v>
      </c>
      <c r="K68" s="46">
        <v>0</v>
      </c>
      <c r="L68" s="46">
        <v>0</v>
      </c>
    </row>
    <row r="69" spans="1:12">
      <c r="A69" t="s">
        <v>481</v>
      </c>
      <c r="B69" t="s">
        <v>146</v>
      </c>
      <c r="C69">
        <v>2050</v>
      </c>
      <c r="D69">
        <v>0.55313913288505379</v>
      </c>
      <c r="E69">
        <v>0</v>
      </c>
      <c r="F69">
        <v>0</v>
      </c>
      <c r="G69">
        <v>0.38834101651594616</v>
      </c>
      <c r="H69" s="46">
        <v>0</v>
      </c>
      <c r="I69" s="46">
        <v>0</v>
      </c>
      <c r="J69" s="46">
        <v>0</v>
      </c>
      <c r="K69" s="46">
        <v>0</v>
      </c>
      <c r="L69" s="46">
        <v>0</v>
      </c>
    </row>
    <row r="205" spans="1:1">
      <c r="A205" s="37"/>
    </row>
    <row r="206" spans="1:1">
      <c r="A206" s="37"/>
    </row>
    <row r="207" spans="1:1">
      <c r="A207" s="37"/>
    </row>
    <row r="208" spans="1:1">
      <c r="A208" s="37"/>
    </row>
    <row r="209" spans="1:1">
      <c r="A209" s="37"/>
    </row>
    <row r="210" spans="1:1">
      <c r="A210" s="37"/>
    </row>
    <row r="211" spans="1:1">
      <c r="A211" s="37"/>
    </row>
    <row r="212" spans="1:1">
      <c r="A212" s="37"/>
    </row>
    <row r="213" spans="1:1">
      <c r="A213" s="37"/>
    </row>
    <row r="214" spans="1:1">
      <c r="A214" s="37"/>
    </row>
    <row r="215" spans="1:1">
      <c r="A215" s="37"/>
    </row>
    <row r="216" spans="1:1">
      <c r="A216" s="37"/>
    </row>
    <row r="217" spans="1:1">
      <c r="A217" s="37"/>
    </row>
    <row r="218" spans="1:1">
      <c r="A218" s="37"/>
    </row>
    <row r="219" spans="1:1">
      <c r="A219" s="37"/>
    </row>
    <row r="220" spans="1:1">
      <c r="A220" s="37"/>
    </row>
    <row r="221" spans="1:1">
      <c r="A221" s="37"/>
    </row>
    <row r="222" spans="1:1">
      <c r="A222" s="37"/>
    </row>
    <row r="223" spans="1:1">
      <c r="A223" s="37"/>
    </row>
    <row r="224" spans="1:1">
      <c r="A224" s="37"/>
    </row>
    <row r="225" spans="1:1">
      <c r="A225" s="37"/>
    </row>
    <row r="226" spans="1:1">
      <c r="A226" s="37"/>
    </row>
    <row r="227" spans="1:1">
      <c r="A227" s="37"/>
    </row>
    <row r="228" spans="1:1">
      <c r="A228" s="37"/>
    </row>
    <row r="229" spans="1:1">
      <c r="A229" s="37"/>
    </row>
    <row r="230" spans="1:1">
      <c r="A230" s="37"/>
    </row>
    <row r="231" spans="1:1">
      <c r="A231" s="37"/>
    </row>
    <row r="232" spans="1:1">
      <c r="A232" s="37"/>
    </row>
    <row r="233" spans="1:1">
      <c r="A233" s="37"/>
    </row>
    <row r="234" spans="1:1">
      <c r="A234" s="37"/>
    </row>
    <row r="235" spans="1:1">
      <c r="A235" s="37"/>
    </row>
    <row r="236" spans="1:1">
      <c r="A236" s="37"/>
    </row>
    <row r="237" spans="1:1">
      <c r="A237" s="37"/>
    </row>
    <row r="238" spans="1:1">
      <c r="A238" s="37"/>
    </row>
    <row r="239" spans="1:1">
      <c r="A239" s="37"/>
    </row>
    <row r="240" spans="1:1">
      <c r="A240" s="37"/>
    </row>
    <row r="241" spans="1:1">
      <c r="A241" s="37"/>
    </row>
    <row r="242" spans="1:1">
      <c r="A242" s="37"/>
    </row>
    <row r="243" spans="1:1">
      <c r="A243" s="37"/>
    </row>
    <row r="244" spans="1:1">
      <c r="A244" s="37"/>
    </row>
    <row r="245" spans="1:1">
      <c r="A245" s="37"/>
    </row>
    <row r="246" spans="1:1">
      <c r="A246" s="37"/>
    </row>
    <row r="247" spans="1:1">
      <c r="A247" s="37"/>
    </row>
    <row r="248" spans="1:1">
      <c r="A248" s="37"/>
    </row>
    <row r="249" spans="1:1">
      <c r="A249" s="37"/>
    </row>
    <row r="250" spans="1:1">
      <c r="A250" s="37"/>
    </row>
    <row r="251" spans="1:1">
      <c r="A251" s="37"/>
    </row>
    <row r="252" spans="1:1">
      <c r="A252" s="37"/>
    </row>
    <row r="253" spans="1:1">
      <c r="A253" s="37"/>
    </row>
    <row r="254" spans="1:1">
      <c r="A254" s="37"/>
    </row>
    <row r="255" spans="1:1">
      <c r="A255" s="37"/>
    </row>
    <row r="256" spans="1:1">
      <c r="A256" s="37"/>
    </row>
    <row r="257" spans="1:1">
      <c r="A257" s="37"/>
    </row>
    <row r="258" spans="1:1">
      <c r="A258" s="37"/>
    </row>
    <row r="259" spans="1:1">
      <c r="A259" s="37"/>
    </row>
    <row r="260" spans="1:1">
      <c r="A260" s="37"/>
    </row>
    <row r="261" spans="1:1">
      <c r="A261" s="37"/>
    </row>
    <row r="262" spans="1:1">
      <c r="A262" s="37"/>
    </row>
    <row r="263" spans="1:1">
      <c r="A263" s="37"/>
    </row>
    <row r="264" spans="1:1">
      <c r="A264" s="37"/>
    </row>
    <row r="265" spans="1:1">
      <c r="A265" s="37"/>
    </row>
    <row r="266" spans="1:1">
      <c r="A266" s="37"/>
    </row>
    <row r="267" spans="1:1">
      <c r="A267" s="37"/>
    </row>
    <row r="268" spans="1:1">
      <c r="A268" s="37"/>
    </row>
    <row r="269" spans="1:1">
      <c r="A269" s="37"/>
    </row>
    <row r="270" spans="1:1">
      <c r="A270" s="37"/>
    </row>
    <row r="271" spans="1:1">
      <c r="A271" s="37"/>
    </row>
    <row r="272" spans="1:1">
      <c r="A272" s="37"/>
    </row>
    <row r="273" spans="1:1">
      <c r="A273" s="37"/>
    </row>
    <row r="274" spans="1:1">
      <c r="A274" s="37"/>
    </row>
    <row r="275" spans="1:1">
      <c r="A275" s="37"/>
    </row>
    <row r="276" spans="1:1">
      <c r="A276" s="37"/>
    </row>
    <row r="277" spans="1:1">
      <c r="A277" s="37"/>
    </row>
    <row r="278" spans="1:1">
      <c r="A278" s="37"/>
    </row>
    <row r="279" spans="1:1">
      <c r="A279" s="37"/>
    </row>
    <row r="280" spans="1:1">
      <c r="A280" s="37"/>
    </row>
    <row r="281" spans="1:1">
      <c r="A281" s="37"/>
    </row>
    <row r="282" spans="1:1">
      <c r="A282" s="37"/>
    </row>
    <row r="283" spans="1:1">
      <c r="A283" s="37"/>
    </row>
    <row r="284" spans="1:1">
      <c r="A284" s="37"/>
    </row>
    <row r="285" spans="1:1">
      <c r="A285" s="37"/>
    </row>
    <row r="286" spans="1:1">
      <c r="A286" s="37"/>
    </row>
    <row r="287" spans="1:1">
      <c r="A287" s="37"/>
    </row>
    <row r="288" spans="1:1">
      <c r="A288" s="37"/>
    </row>
    <row r="289" spans="1:1">
      <c r="A289" s="37"/>
    </row>
    <row r="290" spans="1:1">
      <c r="A290" s="37"/>
    </row>
    <row r="291" spans="1:1">
      <c r="A291" s="37"/>
    </row>
    <row r="292" spans="1:1">
      <c r="A292" s="37"/>
    </row>
    <row r="293" spans="1:1">
      <c r="A293" s="37"/>
    </row>
    <row r="294" spans="1:1">
      <c r="A294" s="37"/>
    </row>
    <row r="295" spans="1:1">
      <c r="A295" s="37"/>
    </row>
    <row r="296" spans="1:1">
      <c r="A296" s="37"/>
    </row>
    <row r="297" spans="1:1">
      <c r="A297" s="37"/>
    </row>
    <row r="298" spans="1:1">
      <c r="A298" s="37"/>
    </row>
    <row r="299" spans="1:1">
      <c r="A299" s="37"/>
    </row>
    <row r="300" spans="1:1">
      <c r="A300" s="37"/>
    </row>
    <row r="301" spans="1:1">
      <c r="A301" s="37"/>
    </row>
    <row r="302" spans="1:1">
      <c r="A302" s="37"/>
    </row>
    <row r="303" spans="1:1">
      <c r="A303" s="37"/>
    </row>
    <row r="304" spans="1:1">
      <c r="A304" s="37"/>
    </row>
    <row r="305" spans="1:1">
      <c r="A305" s="37"/>
    </row>
    <row r="306" spans="1:1">
      <c r="A306" s="37"/>
    </row>
    <row r="307" spans="1:1">
      <c r="A307" s="37"/>
    </row>
    <row r="308" spans="1:1">
      <c r="A308" s="37"/>
    </row>
    <row r="309" spans="1:1">
      <c r="A309" s="37"/>
    </row>
    <row r="310" spans="1:1">
      <c r="A310" s="37"/>
    </row>
    <row r="311" spans="1:1">
      <c r="A311" s="37"/>
    </row>
    <row r="312" spans="1:1">
      <c r="A312" s="37"/>
    </row>
    <row r="313" spans="1:1">
      <c r="A313" s="37"/>
    </row>
    <row r="314" spans="1:1">
      <c r="A314" s="37"/>
    </row>
    <row r="315" spans="1:1">
      <c r="A315" s="37"/>
    </row>
    <row r="316" spans="1:1">
      <c r="A316" s="37"/>
    </row>
    <row r="317" spans="1:1">
      <c r="A317" s="37"/>
    </row>
    <row r="318" spans="1:1">
      <c r="A318" s="37"/>
    </row>
    <row r="319" spans="1:1">
      <c r="A319" s="37"/>
    </row>
    <row r="320" spans="1:1">
      <c r="A320" s="37"/>
    </row>
    <row r="321" spans="1:1">
      <c r="A321" s="37"/>
    </row>
    <row r="322" spans="1:1">
      <c r="A322" s="37"/>
    </row>
    <row r="323" spans="1:1">
      <c r="A323" s="37"/>
    </row>
    <row r="324" spans="1:1">
      <c r="A324" s="37"/>
    </row>
    <row r="325" spans="1:1">
      <c r="A325" s="37"/>
    </row>
    <row r="326" spans="1:1">
      <c r="A326" s="37"/>
    </row>
    <row r="327" spans="1:1">
      <c r="A327" s="37"/>
    </row>
    <row r="328" spans="1:1">
      <c r="A328" s="37"/>
    </row>
    <row r="329" spans="1:1">
      <c r="A329" s="37"/>
    </row>
    <row r="330" spans="1:1">
      <c r="A330" s="37"/>
    </row>
    <row r="331" spans="1:1">
      <c r="A331" s="37"/>
    </row>
    <row r="332" spans="1:1">
      <c r="A332" s="37"/>
    </row>
    <row r="333" spans="1:1">
      <c r="A333" s="37"/>
    </row>
    <row r="334" spans="1:1">
      <c r="A334" s="37"/>
    </row>
    <row r="335" spans="1:1">
      <c r="A335" s="37"/>
    </row>
    <row r="336" spans="1:1">
      <c r="A336" s="37"/>
    </row>
    <row r="337" spans="1:1">
      <c r="A337" s="37"/>
    </row>
    <row r="338" spans="1:1">
      <c r="A338" s="37"/>
    </row>
    <row r="339" spans="1:1">
      <c r="A339" s="37"/>
    </row>
    <row r="340" spans="1:1">
      <c r="A340" s="37"/>
    </row>
    <row r="341" spans="1:1">
      <c r="A341" s="37"/>
    </row>
    <row r="342" spans="1:1">
      <c r="A342" s="37"/>
    </row>
    <row r="343" spans="1:1">
      <c r="A343" s="37"/>
    </row>
    <row r="344" spans="1:1">
      <c r="A344" s="37"/>
    </row>
    <row r="345" spans="1:1">
      <c r="A345" s="37"/>
    </row>
    <row r="346" spans="1:1">
      <c r="A346" s="37"/>
    </row>
    <row r="347" spans="1:1">
      <c r="A347" s="37"/>
    </row>
    <row r="348" spans="1:1">
      <c r="A348" s="37"/>
    </row>
    <row r="349" spans="1:1">
      <c r="A349" s="37"/>
    </row>
    <row r="350" spans="1:1">
      <c r="A350" s="37"/>
    </row>
    <row r="351" spans="1:1">
      <c r="A351" s="37"/>
    </row>
    <row r="352" spans="1:1">
      <c r="A352" s="37"/>
    </row>
    <row r="353" spans="1:1">
      <c r="A353" s="37"/>
    </row>
    <row r="354" spans="1:1">
      <c r="A354" s="37"/>
    </row>
    <row r="355" spans="1:1">
      <c r="A355" s="37"/>
    </row>
    <row r="356" spans="1:1">
      <c r="A356" s="37"/>
    </row>
    <row r="357" spans="1:1">
      <c r="A357" s="37"/>
    </row>
    <row r="358" spans="1:1">
      <c r="A358" s="37"/>
    </row>
    <row r="359" spans="1:1">
      <c r="A359" s="37"/>
    </row>
    <row r="360" spans="1:1">
      <c r="A360" s="37"/>
    </row>
    <row r="361" spans="1:1">
      <c r="A361" s="37"/>
    </row>
    <row r="362" spans="1:1">
      <c r="A362" s="37"/>
    </row>
    <row r="363" spans="1:1">
      <c r="A363" s="37"/>
    </row>
    <row r="364" spans="1:1">
      <c r="A364" s="37"/>
    </row>
    <row r="365" spans="1:1">
      <c r="A365" s="37"/>
    </row>
    <row r="366" spans="1:1">
      <c r="A366" s="37"/>
    </row>
    <row r="367" spans="1:1">
      <c r="A367" s="37"/>
    </row>
    <row r="368" spans="1:1">
      <c r="A368" s="37"/>
    </row>
    <row r="369" spans="1:1">
      <c r="A369" s="37"/>
    </row>
    <row r="370" spans="1:1">
      <c r="A370" s="37"/>
    </row>
    <row r="371" spans="1:1">
      <c r="A371" s="37"/>
    </row>
    <row r="372" spans="1:1">
      <c r="A372" s="37"/>
    </row>
    <row r="373" spans="1:1">
      <c r="A373" s="37"/>
    </row>
    <row r="374" spans="1:1">
      <c r="A374" s="37"/>
    </row>
    <row r="375" spans="1:1">
      <c r="A375" s="37"/>
    </row>
    <row r="376" spans="1:1">
      <c r="A376" s="37"/>
    </row>
    <row r="377" spans="1:1">
      <c r="A377" s="37"/>
    </row>
    <row r="378" spans="1:1">
      <c r="A378" s="37"/>
    </row>
    <row r="379" spans="1:1">
      <c r="A379" s="37"/>
    </row>
    <row r="380" spans="1:1">
      <c r="A380" s="37"/>
    </row>
    <row r="381" spans="1:1">
      <c r="A381" s="37"/>
    </row>
    <row r="382" spans="1:1">
      <c r="A382" s="37"/>
    </row>
    <row r="383" spans="1:1">
      <c r="A383" s="37"/>
    </row>
    <row r="384" spans="1:1">
      <c r="A384" s="37"/>
    </row>
    <row r="385" spans="1:1">
      <c r="A385" s="37"/>
    </row>
    <row r="386" spans="1:1">
      <c r="A386" s="37"/>
    </row>
    <row r="387" spans="1:1">
      <c r="A387" s="37"/>
    </row>
    <row r="388" spans="1:1">
      <c r="A388" s="37"/>
    </row>
    <row r="389" spans="1:1">
      <c r="A389" s="37"/>
    </row>
    <row r="390" spans="1:1">
      <c r="A390" s="37"/>
    </row>
    <row r="391" spans="1:1">
      <c r="A391" s="37"/>
    </row>
    <row r="392" spans="1:1">
      <c r="A392" s="37"/>
    </row>
    <row r="393" spans="1:1">
      <c r="A393" s="37"/>
    </row>
    <row r="394" spans="1:1">
      <c r="A394" s="37"/>
    </row>
    <row r="395" spans="1:1">
      <c r="A395" s="37"/>
    </row>
    <row r="396" spans="1:1">
      <c r="A396" s="37"/>
    </row>
    <row r="397" spans="1:1">
      <c r="A397" s="37"/>
    </row>
    <row r="398" spans="1:1">
      <c r="A398" s="37"/>
    </row>
    <row r="399" spans="1:1">
      <c r="A399" s="37"/>
    </row>
    <row r="400" spans="1:1">
      <c r="A400" s="37"/>
    </row>
    <row r="401" spans="1:1">
      <c r="A401" s="37"/>
    </row>
    <row r="402" spans="1:1">
      <c r="A402" s="37"/>
    </row>
    <row r="403" spans="1:1">
      <c r="A403" s="37"/>
    </row>
    <row r="404" spans="1:1">
      <c r="A404" s="37"/>
    </row>
    <row r="405" spans="1:1">
      <c r="A405" s="37"/>
    </row>
    <row r="406" spans="1:1">
      <c r="A406" s="37"/>
    </row>
    <row r="407" spans="1:1">
      <c r="A407" s="37"/>
    </row>
    <row r="408" spans="1:1">
      <c r="A408" s="37"/>
    </row>
    <row r="409" spans="1:1">
      <c r="A409" s="37"/>
    </row>
    <row r="410" spans="1:1">
      <c r="A410" s="37"/>
    </row>
    <row r="411" spans="1:1">
      <c r="A411" s="37"/>
    </row>
    <row r="412" spans="1:1">
      <c r="A412" s="37"/>
    </row>
    <row r="445" spans="1:1">
      <c r="A445" s="37"/>
    </row>
    <row r="446" spans="1:1">
      <c r="A446" s="37"/>
    </row>
    <row r="447" spans="1:1">
      <c r="A447" s="37"/>
    </row>
    <row r="448" spans="1:1">
      <c r="A448" s="37"/>
    </row>
    <row r="449" spans="1:1">
      <c r="A449" s="37"/>
    </row>
    <row r="450" spans="1:1">
      <c r="A450" s="37"/>
    </row>
    <row r="451" spans="1:1">
      <c r="A451" s="37"/>
    </row>
    <row r="452" spans="1:1">
      <c r="A452" s="37"/>
    </row>
    <row r="453" spans="1:1">
      <c r="A453" s="37"/>
    </row>
    <row r="454" spans="1:1">
      <c r="A454" s="37"/>
    </row>
    <row r="455" spans="1:1">
      <c r="A455" s="37"/>
    </row>
    <row r="456" spans="1:1">
      <c r="A456" s="37"/>
    </row>
    <row r="457" spans="1:1">
      <c r="A457" s="37"/>
    </row>
    <row r="458" spans="1:1">
      <c r="A458" s="37"/>
    </row>
    <row r="459" spans="1:1">
      <c r="A459" s="37"/>
    </row>
    <row r="460" spans="1:1">
      <c r="A460" s="37"/>
    </row>
    <row r="477" spans="1:1">
      <c r="A477" s="37"/>
    </row>
    <row r="478" spans="1:1">
      <c r="A478" s="37"/>
    </row>
    <row r="479" spans="1:1">
      <c r="A479" s="37"/>
    </row>
    <row r="480" spans="1:1">
      <c r="A480" s="37"/>
    </row>
    <row r="481" spans="1:1">
      <c r="A481" s="37"/>
    </row>
    <row r="482" spans="1:1">
      <c r="A482" s="37"/>
    </row>
    <row r="483" spans="1:1">
      <c r="A483" s="37"/>
    </row>
    <row r="484" spans="1:1">
      <c r="A484" s="37"/>
    </row>
    <row r="485" spans="1:1">
      <c r="A485" s="37"/>
    </row>
    <row r="486" spans="1:1">
      <c r="A486" s="37"/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Tabelle43"/>
  <dimension ref="A1:L77"/>
  <sheetViews>
    <sheetView zoomScaleNormal="100" workbookViewId="0">
      <selection activeCell="R50" sqref="A1:XFD1048576"/>
    </sheetView>
  </sheetViews>
  <sheetFormatPr defaultColWidth="9.140625" defaultRowHeight="15"/>
  <cols>
    <col min="1" max="1" width="9.140625" style="4"/>
    <col min="2" max="2" width="15.42578125" style="4" bestFit="1" customWidth="1"/>
    <col min="3" max="3" width="13.42578125" style="4" bestFit="1" customWidth="1"/>
    <col min="4" max="5" width="9.140625" style="4"/>
    <col min="6" max="7" width="13.42578125" style="4" bestFit="1" customWidth="1"/>
    <col min="8" max="8" width="14.140625" style="4" bestFit="1" customWidth="1"/>
    <col min="9" max="16384" width="9.140625" style="4"/>
  </cols>
  <sheetData>
    <row r="1" spans="1:12">
      <c r="A1" s="4" t="s">
        <v>418</v>
      </c>
    </row>
    <row r="2" spans="1:12">
      <c r="A2" s="4" t="s">
        <v>353</v>
      </c>
    </row>
    <row r="3" spans="1:12">
      <c r="A3" s="4" t="s">
        <v>383</v>
      </c>
    </row>
    <row r="5" spans="1:12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t="s">
        <v>192</v>
      </c>
      <c r="L5"/>
    </row>
    <row r="6" spans="1:12">
      <c r="A6">
        <v>2018</v>
      </c>
      <c r="B6">
        <v>1</v>
      </c>
      <c r="C6" t="s">
        <v>135</v>
      </c>
      <c r="D6"/>
      <c r="E6"/>
      <c r="F6"/>
      <c r="G6" s="4">
        <v>0.92500000000000004</v>
      </c>
      <c r="H6"/>
      <c r="I6"/>
      <c r="J6"/>
      <c r="K6"/>
      <c r="L6"/>
    </row>
    <row r="7" spans="1:12">
      <c r="A7">
        <v>2021</v>
      </c>
      <c r="B7">
        <v>1</v>
      </c>
      <c r="C7" t="s">
        <v>135</v>
      </c>
      <c r="D7"/>
      <c r="E7"/>
      <c r="F7"/>
      <c r="G7" s="4">
        <v>0.92500000000000004</v>
      </c>
      <c r="H7"/>
      <c r="I7"/>
      <c r="J7"/>
      <c r="K7"/>
      <c r="L7"/>
    </row>
    <row r="8" spans="1:12">
      <c r="A8">
        <v>2025</v>
      </c>
      <c r="B8">
        <v>1</v>
      </c>
      <c r="C8" t="s">
        <v>135</v>
      </c>
      <c r="D8"/>
      <c r="E8"/>
      <c r="F8"/>
      <c r="G8" s="4">
        <v>0.92500000000000004</v>
      </c>
      <c r="H8"/>
      <c r="I8"/>
      <c r="J8"/>
      <c r="K8"/>
      <c r="L8"/>
    </row>
    <row r="9" spans="1:12">
      <c r="A9">
        <v>2030</v>
      </c>
      <c r="B9">
        <v>1</v>
      </c>
      <c r="C9" t="s">
        <v>135</v>
      </c>
      <c r="D9"/>
      <c r="E9"/>
      <c r="F9"/>
      <c r="G9" s="4">
        <v>0.92500000000000004</v>
      </c>
      <c r="H9"/>
      <c r="I9"/>
      <c r="J9"/>
      <c r="K9"/>
      <c r="L9"/>
    </row>
    <row r="10" spans="1:12">
      <c r="A10">
        <v>2035</v>
      </c>
      <c r="B10">
        <v>1</v>
      </c>
      <c r="C10" t="s">
        <v>135</v>
      </c>
      <c r="D10"/>
      <c r="E10"/>
      <c r="F10"/>
      <c r="G10" s="4">
        <v>0.92500000000000004</v>
      </c>
      <c r="H10"/>
      <c r="I10"/>
      <c r="J10"/>
      <c r="K10"/>
      <c r="L10"/>
    </row>
    <row r="11" spans="1:12">
      <c r="A11">
        <v>2040</v>
      </c>
      <c r="B11">
        <v>1</v>
      </c>
      <c r="C11" t="s">
        <v>135</v>
      </c>
      <c r="D11"/>
      <c r="E11"/>
      <c r="F11"/>
      <c r="G11" s="4">
        <v>0.92500000000000004</v>
      </c>
      <c r="H11"/>
      <c r="I11"/>
      <c r="J11"/>
      <c r="K11"/>
      <c r="L11"/>
    </row>
    <row r="12" spans="1:12">
      <c r="A12">
        <v>2045</v>
      </c>
      <c r="B12">
        <v>1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2">
      <c r="A13">
        <v>2050</v>
      </c>
      <c r="B13">
        <v>1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2">
      <c r="A14">
        <v>2018</v>
      </c>
      <c r="B14">
        <v>1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2">
      <c r="A15">
        <v>2021</v>
      </c>
      <c r="B15">
        <v>1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2">
      <c r="A16">
        <v>2025</v>
      </c>
      <c r="B16">
        <v>1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1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1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1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1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1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1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1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1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1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1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1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1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1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1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1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1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1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1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1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1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1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1</v>
      </c>
      <c r="C38" t="s">
        <v>245</v>
      </c>
      <c r="D38"/>
      <c r="E38"/>
      <c r="F38"/>
      <c r="G38"/>
      <c r="H38"/>
      <c r="I38">
        <v>1</v>
      </c>
      <c r="J38"/>
    </row>
    <row r="39" spans="1:10">
      <c r="A39">
        <v>2021</v>
      </c>
      <c r="B39">
        <v>1</v>
      </c>
      <c r="C39" t="s">
        <v>245</v>
      </c>
      <c r="D39"/>
      <c r="E39"/>
      <c r="F39"/>
      <c r="G39"/>
      <c r="H39"/>
      <c r="I39">
        <v>1</v>
      </c>
      <c r="J39"/>
    </row>
    <row r="40" spans="1:10">
      <c r="A40">
        <v>2025</v>
      </c>
      <c r="B40">
        <v>1</v>
      </c>
      <c r="C40" t="s">
        <v>245</v>
      </c>
      <c r="D40"/>
      <c r="E40"/>
      <c r="F40"/>
      <c r="G40"/>
      <c r="H40"/>
      <c r="I40">
        <v>1</v>
      </c>
      <c r="J40"/>
    </row>
    <row r="41" spans="1:10">
      <c r="A41">
        <v>2030</v>
      </c>
      <c r="B41">
        <v>1</v>
      </c>
      <c r="C41" t="s">
        <v>245</v>
      </c>
      <c r="D41"/>
      <c r="E41"/>
      <c r="F41"/>
      <c r="G41"/>
      <c r="H41"/>
      <c r="I41">
        <v>1</v>
      </c>
      <c r="J41"/>
    </row>
    <row r="42" spans="1:10">
      <c r="A42">
        <v>2035</v>
      </c>
      <c r="B42">
        <v>1</v>
      </c>
      <c r="C42" t="s">
        <v>245</v>
      </c>
      <c r="D42"/>
      <c r="E42"/>
      <c r="F42"/>
      <c r="G42"/>
      <c r="H42"/>
      <c r="I42">
        <v>1</v>
      </c>
      <c r="J42"/>
    </row>
    <row r="43" spans="1:10">
      <c r="A43">
        <v>2040</v>
      </c>
      <c r="B43">
        <v>1</v>
      </c>
      <c r="C43" t="s">
        <v>245</v>
      </c>
      <c r="D43"/>
      <c r="E43"/>
      <c r="F43"/>
      <c r="G43"/>
      <c r="H43"/>
      <c r="I43">
        <v>1</v>
      </c>
      <c r="J43"/>
    </row>
    <row r="44" spans="1:10">
      <c r="A44">
        <v>2045</v>
      </c>
      <c r="B44">
        <v>1</v>
      </c>
      <c r="C44" t="s">
        <v>245</v>
      </c>
      <c r="D44"/>
      <c r="E44"/>
      <c r="F44"/>
      <c r="G44"/>
      <c r="H44"/>
      <c r="I44">
        <v>1</v>
      </c>
      <c r="J44"/>
    </row>
    <row r="45" spans="1:10">
      <c r="A45">
        <v>2050</v>
      </c>
      <c r="B45">
        <v>1</v>
      </c>
      <c r="C45" t="s">
        <v>245</v>
      </c>
      <c r="D45"/>
      <c r="E45"/>
      <c r="F45"/>
      <c r="G45"/>
      <c r="H45"/>
      <c r="I45">
        <v>1</v>
      </c>
      <c r="J45"/>
    </row>
    <row r="46" spans="1:10">
      <c r="A46">
        <v>2018</v>
      </c>
      <c r="B46">
        <v>1</v>
      </c>
      <c r="C46" t="s">
        <v>247</v>
      </c>
      <c r="D46"/>
      <c r="E46"/>
      <c r="F46"/>
      <c r="G46"/>
      <c r="H46"/>
      <c r="I46"/>
      <c r="J46">
        <v>1</v>
      </c>
    </row>
    <row r="47" spans="1:10">
      <c r="A47">
        <v>2021</v>
      </c>
      <c r="B47">
        <v>1</v>
      </c>
      <c r="C47" t="s">
        <v>247</v>
      </c>
      <c r="D47"/>
      <c r="E47"/>
      <c r="F47"/>
      <c r="G47"/>
      <c r="H47"/>
      <c r="I47"/>
      <c r="J47">
        <v>1</v>
      </c>
    </row>
    <row r="48" spans="1:10">
      <c r="A48">
        <v>2025</v>
      </c>
      <c r="B48">
        <v>1</v>
      </c>
      <c r="C48" t="s">
        <v>247</v>
      </c>
      <c r="D48"/>
      <c r="E48"/>
      <c r="F48"/>
      <c r="G48"/>
      <c r="H48"/>
      <c r="I48"/>
      <c r="J48">
        <v>1</v>
      </c>
    </row>
    <row r="49" spans="1:10">
      <c r="A49">
        <v>2030</v>
      </c>
      <c r="B49">
        <v>1</v>
      </c>
      <c r="C49" t="s">
        <v>247</v>
      </c>
      <c r="D49"/>
      <c r="E49"/>
      <c r="F49"/>
      <c r="G49"/>
      <c r="H49"/>
      <c r="I49"/>
      <c r="J49">
        <v>1</v>
      </c>
    </row>
    <row r="50" spans="1:10">
      <c r="A50">
        <v>2035</v>
      </c>
      <c r="B50">
        <v>1</v>
      </c>
      <c r="C50" t="s">
        <v>247</v>
      </c>
      <c r="D50"/>
      <c r="E50"/>
      <c r="F50"/>
      <c r="G50"/>
      <c r="H50"/>
      <c r="I50"/>
      <c r="J50">
        <v>1</v>
      </c>
    </row>
    <row r="51" spans="1:10">
      <c r="A51">
        <v>2040</v>
      </c>
      <c r="B51">
        <v>1</v>
      </c>
      <c r="C51" t="s">
        <v>247</v>
      </c>
      <c r="D51"/>
      <c r="E51"/>
      <c r="F51"/>
      <c r="G51"/>
      <c r="H51"/>
      <c r="I51"/>
      <c r="J51">
        <v>1</v>
      </c>
    </row>
    <row r="52" spans="1:10">
      <c r="A52">
        <v>2045</v>
      </c>
      <c r="B52">
        <v>1</v>
      </c>
      <c r="C52" t="s">
        <v>247</v>
      </c>
      <c r="D52"/>
      <c r="E52"/>
      <c r="F52"/>
      <c r="G52"/>
      <c r="H52"/>
      <c r="I52"/>
      <c r="J52">
        <v>1</v>
      </c>
    </row>
    <row r="53" spans="1:10">
      <c r="A53">
        <v>2050</v>
      </c>
      <c r="B53">
        <v>1</v>
      </c>
      <c r="C53" t="s">
        <v>247</v>
      </c>
      <c r="D53"/>
      <c r="E53"/>
      <c r="F53"/>
      <c r="G53"/>
      <c r="H53"/>
      <c r="I53"/>
      <c r="J53">
        <v>1</v>
      </c>
    </row>
    <row r="54" spans="1:10">
      <c r="A54">
        <v>2018</v>
      </c>
      <c r="B54">
        <v>1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1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1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1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1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1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1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1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1</v>
      </c>
      <c r="C62" t="s">
        <v>137</v>
      </c>
      <c r="D62" s="4">
        <v>0.89</v>
      </c>
    </row>
    <row r="63" spans="1:10">
      <c r="A63">
        <v>2021</v>
      </c>
      <c r="B63">
        <v>1</v>
      </c>
      <c r="C63" t="s">
        <v>137</v>
      </c>
      <c r="D63" s="4">
        <v>0.89</v>
      </c>
    </row>
    <row r="64" spans="1:10">
      <c r="A64">
        <v>2025</v>
      </c>
      <c r="B64">
        <v>1</v>
      </c>
      <c r="C64" t="s">
        <v>137</v>
      </c>
      <c r="D64" s="4">
        <v>0.89</v>
      </c>
    </row>
    <row r="65" spans="1:11">
      <c r="A65">
        <v>2030</v>
      </c>
      <c r="B65">
        <v>1</v>
      </c>
      <c r="C65" t="s">
        <v>137</v>
      </c>
      <c r="D65" s="4">
        <v>0.89</v>
      </c>
    </row>
    <row r="66" spans="1:11">
      <c r="A66">
        <v>2035</v>
      </c>
      <c r="B66">
        <v>1</v>
      </c>
      <c r="C66" t="s">
        <v>137</v>
      </c>
      <c r="D66" s="4">
        <v>0.89</v>
      </c>
    </row>
    <row r="67" spans="1:11">
      <c r="A67">
        <v>2040</v>
      </c>
      <c r="B67">
        <v>1</v>
      </c>
      <c r="C67" t="s">
        <v>137</v>
      </c>
      <c r="D67" s="4">
        <v>0.89</v>
      </c>
    </row>
    <row r="68" spans="1:11">
      <c r="A68">
        <v>2045</v>
      </c>
      <c r="B68">
        <v>1</v>
      </c>
      <c r="C68" t="s">
        <v>137</v>
      </c>
      <c r="D68" s="4">
        <v>0.89</v>
      </c>
    </row>
    <row r="69" spans="1:11">
      <c r="A69">
        <v>2050</v>
      </c>
      <c r="B69">
        <v>1</v>
      </c>
      <c r="C69" t="s">
        <v>137</v>
      </c>
      <c r="D69" s="4">
        <v>0.89</v>
      </c>
    </row>
    <row r="70" spans="1:11">
      <c r="A70">
        <v>2018</v>
      </c>
      <c r="B70">
        <v>1</v>
      </c>
      <c r="C70" t="s">
        <v>191</v>
      </c>
      <c r="K70" s="4">
        <v>0.73499999999999999</v>
      </c>
    </row>
    <row r="71" spans="1:11">
      <c r="A71">
        <v>2021</v>
      </c>
      <c r="B71">
        <v>1</v>
      </c>
      <c r="C71" t="s">
        <v>191</v>
      </c>
      <c r="K71" s="4">
        <v>0.73499999999999999</v>
      </c>
    </row>
    <row r="72" spans="1:11">
      <c r="A72">
        <v>2025</v>
      </c>
      <c r="B72">
        <v>1</v>
      </c>
      <c r="C72" t="s">
        <v>191</v>
      </c>
      <c r="K72" s="4">
        <v>0.83699999999999997</v>
      </c>
    </row>
    <row r="73" spans="1:11">
      <c r="A73">
        <v>2030</v>
      </c>
      <c r="B73">
        <v>1</v>
      </c>
      <c r="C73" t="s">
        <v>191</v>
      </c>
      <c r="K73" s="4">
        <v>0.83699999999999997</v>
      </c>
    </row>
    <row r="74" spans="1:11">
      <c r="A74">
        <v>2035</v>
      </c>
      <c r="B74">
        <v>1</v>
      </c>
      <c r="C74" t="s">
        <v>191</v>
      </c>
      <c r="K74" s="4">
        <v>0.83699999999999997</v>
      </c>
    </row>
    <row r="75" spans="1:11">
      <c r="A75">
        <v>2040</v>
      </c>
      <c r="B75">
        <v>1</v>
      </c>
      <c r="C75" t="s">
        <v>191</v>
      </c>
      <c r="K75" s="4">
        <v>0.83699999999999997</v>
      </c>
    </row>
    <row r="76" spans="1:11">
      <c r="A76">
        <v>2045</v>
      </c>
      <c r="B76">
        <v>1</v>
      </c>
      <c r="C76" t="s">
        <v>191</v>
      </c>
      <c r="K76" s="4">
        <v>0.83699999999999997</v>
      </c>
    </row>
    <row r="77" spans="1:11">
      <c r="A77">
        <v>2050</v>
      </c>
      <c r="B77">
        <v>1</v>
      </c>
      <c r="C77" t="s">
        <v>191</v>
      </c>
      <c r="K77" s="4">
        <v>0.83699999999999997</v>
      </c>
    </row>
  </sheetData>
  <sortState xmlns:xlrd2="http://schemas.microsoft.com/office/spreadsheetml/2017/richdata2" ref="A6:I61">
    <sortCondition ref="C6:C61"/>
    <sortCondition ref="A6:A61"/>
  </sortState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Tabelle44"/>
  <dimension ref="A1:K77"/>
  <sheetViews>
    <sheetView zoomScaleNormal="100" workbookViewId="0">
      <selection activeCell="K11" sqref="K11"/>
    </sheetView>
  </sheetViews>
  <sheetFormatPr defaultColWidth="9.140625" defaultRowHeight="15"/>
  <cols>
    <col min="1" max="16384" width="9.140625" style="4"/>
  </cols>
  <sheetData>
    <row r="1" spans="1:11">
      <c r="A1" s="4" t="s">
        <v>419</v>
      </c>
    </row>
    <row r="2" spans="1:11">
      <c r="A2" s="4" t="s">
        <v>352</v>
      </c>
    </row>
    <row r="3" spans="1:11">
      <c r="A3" s="4" t="s">
        <v>383</v>
      </c>
    </row>
    <row r="5" spans="1:11">
      <c r="A5" s="4" t="s">
        <v>27</v>
      </c>
      <c r="B5" s="4" t="s">
        <v>61</v>
      </c>
      <c r="C5" s="4" t="s">
        <v>26</v>
      </c>
      <c r="D5" t="s">
        <v>142</v>
      </c>
      <c r="E5" t="s">
        <v>149</v>
      </c>
      <c r="F5" t="s">
        <v>150</v>
      </c>
      <c r="G5" t="s">
        <v>143</v>
      </c>
      <c r="H5" t="s">
        <v>144</v>
      </c>
      <c r="I5" t="s">
        <v>246</v>
      </c>
      <c r="J5" t="s">
        <v>248</v>
      </c>
      <c r="K5" s="4" t="s">
        <v>192</v>
      </c>
    </row>
    <row r="6" spans="1:11">
      <c r="A6">
        <v>2018</v>
      </c>
      <c r="B6">
        <v>2</v>
      </c>
      <c r="C6" t="s">
        <v>135</v>
      </c>
      <c r="D6"/>
      <c r="E6"/>
      <c r="F6"/>
      <c r="G6" s="4">
        <v>0.92500000000000004</v>
      </c>
      <c r="H6"/>
      <c r="I6"/>
      <c r="J6"/>
    </row>
    <row r="7" spans="1:11">
      <c r="A7">
        <v>2021</v>
      </c>
      <c r="B7">
        <v>2</v>
      </c>
      <c r="C7" t="s">
        <v>135</v>
      </c>
      <c r="D7"/>
      <c r="E7"/>
      <c r="F7"/>
      <c r="G7" s="4">
        <v>0.92500000000000004</v>
      </c>
      <c r="H7"/>
      <c r="I7"/>
      <c r="J7"/>
    </row>
    <row r="8" spans="1:11">
      <c r="A8">
        <v>2025</v>
      </c>
      <c r="B8">
        <v>2</v>
      </c>
      <c r="C8" t="s">
        <v>135</v>
      </c>
      <c r="D8"/>
      <c r="E8"/>
      <c r="F8"/>
      <c r="G8" s="4">
        <v>0.92500000000000004</v>
      </c>
      <c r="H8"/>
      <c r="I8"/>
      <c r="J8"/>
    </row>
    <row r="9" spans="1:11">
      <c r="A9">
        <v>2030</v>
      </c>
      <c r="B9">
        <v>2</v>
      </c>
      <c r="C9" t="s">
        <v>135</v>
      </c>
      <c r="D9"/>
      <c r="E9"/>
      <c r="F9"/>
      <c r="G9" s="4">
        <v>0.92500000000000004</v>
      </c>
      <c r="H9"/>
      <c r="I9"/>
      <c r="J9"/>
    </row>
    <row r="10" spans="1:11">
      <c r="A10">
        <v>2035</v>
      </c>
      <c r="B10">
        <v>2</v>
      </c>
      <c r="C10" t="s">
        <v>135</v>
      </c>
      <c r="D10"/>
      <c r="E10"/>
      <c r="F10"/>
      <c r="G10" s="4">
        <v>0.92500000000000004</v>
      </c>
      <c r="H10"/>
      <c r="I10"/>
      <c r="J10"/>
    </row>
    <row r="11" spans="1:11">
      <c r="A11">
        <v>2040</v>
      </c>
      <c r="B11">
        <v>2</v>
      </c>
      <c r="C11" t="s">
        <v>135</v>
      </c>
      <c r="D11"/>
      <c r="E11"/>
      <c r="F11"/>
      <c r="G11" s="4">
        <v>0.92500000000000004</v>
      </c>
      <c r="H11"/>
      <c r="I11"/>
      <c r="J11"/>
    </row>
    <row r="12" spans="1:11">
      <c r="A12">
        <v>2045</v>
      </c>
      <c r="B12">
        <v>2</v>
      </c>
      <c r="C12" t="s">
        <v>135</v>
      </c>
      <c r="D12"/>
      <c r="E12"/>
      <c r="F12"/>
      <c r="G12" s="4">
        <v>0.92500000000000004</v>
      </c>
      <c r="H12"/>
      <c r="I12"/>
      <c r="J12"/>
    </row>
    <row r="13" spans="1:11">
      <c r="A13">
        <v>2050</v>
      </c>
      <c r="B13">
        <v>2</v>
      </c>
      <c r="C13" t="s">
        <v>135</v>
      </c>
      <c r="D13"/>
      <c r="E13"/>
      <c r="F13"/>
      <c r="G13" s="4">
        <v>0.92500000000000004</v>
      </c>
      <c r="H13"/>
      <c r="I13"/>
      <c r="J13"/>
    </row>
    <row r="14" spans="1:11">
      <c r="A14">
        <v>2018</v>
      </c>
      <c r="B14">
        <v>2</v>
      </c>
      <c r="C14" t="s">
        <v>136</v>
      </c>
      <c r="D14"/>
      <c r="E14"/>
      <c r="F14"/>
      <c r="G14"/>
      <c r="H14" s="4">
        <v>0.86599999999999999</v>
      </c>
      <c r="I14"/>
      <c r="J14"/>
    </row>
    <row r="15" spans="1:11">
      <c r="A15">
        <v>2021</v>
      </c>
      <c r="B15">
        <v>2</v>
      </c>
      <c r="C15" t="s">
        <v>136</v>
      </c>
      <c r="D15"/>
      <c r="E15"/>
      <c r="F15"/>
      <c r="G15"/>
      <c r="H15" s="4">
        <v>0.86599999999999999</v>
      </c>
      <c r="I15"/>
      <c r="J15"/>
    </row>
    <row r="16" spans="1:11">
      <c r="A16">
        <v>2025</v>
      </c>
      <c r="B16">
        <v>2</v>
      </c>
      <c r="C16" t="s">
        <v>136</v>
      </c>
      <c r="D16"/>
      <c r="E16"/>
      <c r="F16"/>
      <c r="G16"/>
      <c r="H16" s="4">
        <v>0.89400000000000002</v>
      </c>
      <c r="I16"/>
      <c r="J16"/>
    </row>
    <row r="17" spans="1:10">
      <c r="A17">
        <v>2030</v>
      </c>
      <c r="B17">
        <v>2</v>
      </c>
      <c r="C17" t="s">
        <v>136</v>
      </c>
      <c r="D17"/>
      <c r="E17"/>
      <c r="F17"/>
      <c r="G17"/>
      <c r="H17" s="4">
        <v>0.89400000000000002</v>
      </c>
      <c r="I17"/>
      <c r="J17"/>
    </row>
    <row r="18" spans="1:10">
      <c r="A18">
        <v>2035</v>
      </c>
      <c r="B18">
        <v>2</v>
      </c>
      <c r="C18" t="s">
        <v>136</v>
      </c>
      <c r="D18"/>
      <c r="E18"/>
      <c r="F18"/>
      <c r="G18"/>
      <c r="H18" s="4">
        <v>0.89400000000000002</v>
      </c>
      <c r="I18"/>
      <c r="J18"/>
    </row>
    <row r="19" spans="1:10">
      <c r="A19">
        <v>2040</v>
      </c>
      <c r="B19">
        <v>2</v>
      </c>
      <c r="C19" t="s">
        <v>136</v>
      </c>
      <c r="D19"/>
      <c r="E19"/>
      <c r="F19"/>
      <c r="G19"/>
      <c r="H19" s="4">
        <v>0.89400000000000002</v>
      </c>
      <c r="I19"/>
      <c r="J19"/>
    </row>
    <row r="20" spans="1:10">
      <c r="A20">
        <v>2045</v>
      </c>
      <c r="B20">
        <v>2</v>
      </c>
      <c r="C20" t="s">
        <v>136</v>
      </c>
      <c r="D20"/>
      <c r="E20"/>
      <c r="F20"/>
      <c r="G20"/>
      <c r="H20" s="4">
        <v>0.92200000000000004</v>
      </c>
      <c r="I20"/>
      <c r="J20"/>
    </row>
    <row r="21" spans="1:10">
      <c r="A21">
        <v>2050</v>
      </c>
      <c r="B21">
        <v>2</v>
      </c>
      <c r="C21" t="s">
        <v>136</v>
      </c>
      <c r="D21"/>
      <c r="E21"/>
      <c r="F21"/>
      <c r="G21"/>
      <c r="H21" s="4">
        <v>0.92200000000000004</v>
      </c>
      <c r="I21"/>
      <c r="J21"/>
    </row>
    <row r="22" spans="1:10">
      <c r="A22">
        <v>2018</v>
      </c>
      <c r="B22">
        <v>2</v>
      </c>
      <c r="C22" t="s">
        <v>147</v>
      </c>
      <c r="D22"/>
      <c r="E22" s="4">
        <v>0.99</v>
      </c>
      <c r="F22"/>
      <c r="G22"/>
      <c r="H22"/>
      <c r="I22"/>
      <c r="J22"/>
    </row>
    <row r="23" spans="1:10">
      <c r="A23">
        <v>2021</v>
      </c>
      <c r="B23">
        <v>2</v>
      </c>
      <c r="C23" t="s">
        <v>147</v>
      </c>
      <c r="D23"/>
      <c r="E23" s="4">
        <v>0.99</v>
      </c>
      <c r="F23"/>
      <c r="G23"/>
      <c r="H23"/>
      <c r="I23"/>
      <c r="J23"/>
    </row>
    <row r="24" spans="1:10">
      <c r="A24">
        <v>2025</v>
      </c>
      <c r="B24">
        <v>2</v>
      </c>
      <c r="C24" t="s">
        <v>147</v>
      </c>
      <c r="D24"/>
      <c r="E24" s="4">
        <v>0.99</v>
      </c>
      <c r="F24"/>
      <c r="G24"/>
      <c r="H24"/>
      <c r="I24"/>
      <c r="J24"/>
    </row>
    <row r="25" spans="1:10">
      <c r="A25">
        <v>2030</v>
      </c>
      <c r="B25">
        <v>2</v>
      </c>
      <c r="C25" t="s">
        <v>147</v>
      </c>
      <c r="D25"/>
      <c r="E25" s="4">
        <v>0.99</v>
      </c>
      <c r="F25"/>
      <c r="G25"/>
      <c r="H25"/>
      <c r="I25"/>
      <c r="J25"/>
    </row>
    <row r="26" spans="1:10">
      <c r="A26">
        <v>2035</v>
      </c>
      <c r="B26">
        <v>2</v>
      </c>
      <c r="C26" t="s">
        <v>147</v>
      </c>
      <c r="D26"/>
      <c r="E26" s="4">
        <v>0.99</v>
      </c>
      <c r="F26"/>
      <c r="G26"/>
      <c r="H26"/>
      <c r="I26"/>
      <c r="J26"/>
    </row>
    <row r="27" spans="1:10">
      <c r="A27">
        <v>2040</v>
      </c>
      <c r="B27">
        <v>2</v>
      </c>
      <c r="C27" t="s">
        <v>147</v>
      </c>
      <c r="D27"/>
      <c r="E27" s="4">
        <v>0.99</v>
      </c>
      <c r="F27"/>
      <c r="G27"/>
      <c r="H27"/>
      <c r="I27"/>
      <c r="J27"/>
    </row>
    <row r="28" spans="1:10">
      <c r="A28">
        <v>2045</v>
      </c>
      <c r="B28">
        <v>2</v>
      </c>
      <c r="C28" t="s">
        <v>147</v>
      </c>
      <c r="D28"/>
      <c r="E28" s="4">
        <v>0.99</v>
      </c>
      <c r="F28"/>
      <c r="G28"/>
      <c r="H28"/>
      <c r="I28"/>
      <c r="J28"/>
    </row>
    <row r="29" spans="1:10">
      <c r="A29">
        <v>2050</v>
      </c>
      <c r="B29">
        <v>2</v>
      </c>
      <c r="C29" t="s">
        <v>147</v>
      </c>
      <c r="D29"/>
      <c r="E29" s="4">
        <v>0.99</v>
      </c>
      <c r="F29"/>
      <c r="G29"/>
      <c r="H29"/>
      <c r="I29"/>
      <c r="J29"/>
    </row>
    <row r="30" spans="1:10">
      <c r="A30">
        <v>2018</v>
      </c>
      <c r="B30">
        <v>2</v>
      </c>
      <c r="C30" t="s">
        <v>148</v>
      </c>
      <c r="D30"/>
      <c r="E30"/>
      <c r="F30" s="4">
        <v>0.99</v>
      </c>
      <c r="G30"/>
      <c r="H30"/>
      <c r="I30"/>
      <c r="J30"/>
    </row>
    <row r="31" spans="1:10">
      <c r="A31">
        <v>2021</v>
      </c>
      <c r="B31">
        <v>2</v>
      </c>
      <c r="C31" t="s">
        <v>148</v>
      </c>
      <c r="D31"/>
      <c r="E31"/>
      <c r="F31" s="4">
        <v>0.99</v>
      </c>
      <c r="G31"/>
      <c r="H31"/>
      <c r="I31"/>
      <c r="J31"/>
    </row>
    <row r="32" spans="1:10">
      <c r="A32">
        <v>2025</v>
      </c>
      <c r="B32">
        <v>2</v>
      </c>
      <c r="C32" t="s">
        <v>148</v>
      </c>
      <c r="D32"/>
      <c r="E32"/>
      <c r="F32" s="4">
        <v>0.99</v>
      </c>
      <c r="G32"/>
      <c r="H32"/>
      <c r="I32"/>
      <c r="J32"/>
    </row>
    <row r="33" spans="1:10">
      <c r="A33">
        <v>2030</v>
      </c>
      <c r="B33">
        <v>2</v>
      </c>
      <c r="C33" t="s">
        <v>148</v>
      </c>
      <c r="D33"/>
      <c r="E33"/>
      <c r="F33" s="4">
        <v>0.99</v>
      </c>
      <c r="G33"/>
      <c r="H33"/>
      <c r="I33"/>
      <c r="J33"/>
    </row>
    <row r="34" spans="1:10">
      <c r="A34">
        <v>2035</v>
      </c>
      <c r="B34">
        <v>2</v>
      </c>
      <c r="C34" t="s">
        <v>148</v>
      </c>
      <c r="D34"/>
      <c r="E34"/>
      <c r="F34" s="4">
        <v>0.99</v>
      </c>
      <c r="G34"/>
      <c r="H34"/>
      <c r="I34"/>
      <c r="J34"/>
    </row>
    <row r="35" spans="1:10">
      <c r="A35">
        <v>2040</v>
      </c>
      <c r="B35">
        <v>2</v>
      </c>
      <c r="C35" t="s">
        <v>148</v>
      </c>
      <c r="D35"/>
      <c r="E35"/>
      <c r="F35" s="4">
        <v>0.99</v>
      </c>
      <c r="G35"/>
      <c r="H35"/>
      <c r="I35"/>
      <c r="J35"/>
    </row>
    <row r="36" spans="1:10">
      <c r="A36">
        <v>2045</v>
      </c>
      <c r="B36">
        <v>2</v>
      </c>
      <c r="C36" t="s">
        <v>148</v>
      </c>
      <c r="D36"/>
      <c r="E36"/>
      <c r="F36" s="4">
        <v>0.99</v>
      </c>
      <c r="G36"/>
      <c r="H36"/>
      <c r="I36"/>
      <c r="J36"/>
    </row>
    <row r="37" spans="1:10">
      <c r="A37">
        <v>2050</v>
      </c>
      <c r="B37">
        <v>2</v>
      </c>
      <c r="C37" t="s">
        <v>148</v>
      </c>
      <c r="D37"/>
      <c r="E37"/>
      <c r="F37" s="4">
        <v>0.99</v>
      </c>
      <c r="G37"/>
      <c r="H37"/>
      <c r="I37"/>
      <c r="J37"/>
    </row>
    <row r="38" spans="1:10">
      <c r="A38">
        <v>2018</v>
      </c>
      <c r="B38">
        <v>2</v>
      </c>
      <c r="C38" t="s">
        <v>245</v>
      </c>
      <c r="D38"/>
      <c r="E38"/>
      <c r="F38"/>
      <c r="G38"/>
      <c r="H38"/>
      <c r="I38">
        <v>1</v>
      </c>
      <c r="J38"/>
    </row>
    <row r="39" spans="1:10">
      <c r="A39">
        <v>2021</v>
      </c>
      <c r="B39">
        <v>2</v>
      </c>
      <c r="C39" t="s">
        <v>245</v>
      </c>
      <c r="D39"/>
      <c r="E39"/>
      <c r="F39"/>
      <c r="G39"/>
      <c r="H39"/>
      <c r="I39">
        <v>1</v>
      </c>
      <c r="J39"/>
    </row>
    <row r="40" spans="1:10">
      <c r="A40">
        <v>2025</v>
      </c>
      <c r="B40">
        <v>2</v>
      </c>
      <c r="C40" t="s">
        <v>245</v>
      </c>
      <c r="D40"/>
      <c r="E40"/>
      <c r="F40"/>
      <c r="G40"/>
      <c r="H40"/>
      <c r="I40">
        <v>1</v>
      </c>
      <c r="J40"/>
    </row>
    <row r="41" spans="1:10">
      <c r="A41">
        <v>2030</v>
      </c>
      <c r="B41">
        <v>2</v>
      </c>
      <c r="C41" t="s">
        <v>245</v>
      </c>
      <c r="D41"/>
      <c r="E41"/>
      <c r="F41"/>
      <c r="G41"/>
      <c r="H41"/>
      <c r="I41">
        <v>1</v>
      </c>
      <c r="J41"/>
    </row>
    <row r="42" spans="1:10">
      <c r="A42">
        <v>2035</v>
      </c>
      <c r="B42">
        <v>2</v>
      </c>
      <c r="C42" t="s">
        <v>245</v>
      </c>
      <c r="D42"/>
      <c r="E42"/>
      <c r="F42"/>
      <c r="G42"/>
      <c r="H42"/>
      <c r="I42">
        <v>1</v>
      </c>
      <c r="J42"/>
    </row>
    <row r="43" spans="1:10">
      <c r="A43">
        <v>2040</v>
      </c>
      <c r="B43">
        <v>2</v>
      </c>
      <c r="C43" t="s">
        <v>245</v>
      </c>
      <c r="D43"/>
      <c r="E43"/>
      <c r="F43"/>
      <c r="G43"/>
      <c r="H43"/>
      <c r="I43">
        <v>1</v>
      </c>
      <c r="J43"/>
    </row>
    <row r="44" spans="1:10">
      <c r="A44">
        <v>2045</v>
      </c>
      <c r="B44">
        <v>2</v>
      </c>
      <c r="C44" t="s">
        <v>245</v>
      </c>
      <c r="D44"/>
      <c r="E44"/>
      <c r="F44"/>
      <c r="G44"/>
      <c r="H44"/>
      <c r="I44">
        <v>1</v>
      </c>
      <c r="J44"/>
    </row>
    <row r="45" spans="1:10">
      <c r="A45">
        <v>2050</v>
      </c>
      <c r="B45">
        <v>2</v>
      </c>
      <c r="C45" t="s">
        <v>245</v>
      </c>
      <c r="D45"/>
      <c r="E45"/>
      <c r="F45"/>
      <c r="G45"/>
      <c r="H45"/>
      <c r="I45">
        <v>1</v>
      </c>
      <c r="J45"/>
    </row>
    <row r="46" spans="1:10">
      <c r="A46">
        <v>2018</v>
      </c>
      <c r="B46">
        <v>2</v>
      </c>
      <c r="C46" t="s">
        <v>247</v>
      </c>
      <c r="D46"/>
      <c r="E46"/>
      <c r="F46"/>
      <c r="G46"/>
      <c r="H46"/>
      <c r="I46"/>
      <c r="J46">
        <v>1</v>
      </c>
    </row>
    <row r="47" spans="1:10">
      <c r="A47">
        <v>2021</v>
      </c>
      <c r="B47">
        <v>2</v>
      </c>
      <c r="C47" t="s">
        <v>247</v>
      </c>
      <c r="D47"/>
      <c r="E47"/>
      <c r="F47"/>
      <c r="G47"/>
      <c r="H47"/>
      <c r="I47"/>
      <c r="J47">
        <v>1</v>
      </c>
    </row>
    <row r="48" spans="1:10">
      <c r="A48">
        <v>2025</v>
      </c>
      <c r="B48">
        <v>2</v>
      </c>
      <c r="C48" t="s">
        <v>247</v>
      </c>
      <c r="D48"/>
      <c r="E48"/>
      <c r="F48"/>
      <c r="G48"/>
      <c r="H48"/>
      <c r="I48"/>
      <c r="J48">
        <v>1</v>
      </c>
    </row>
    <row r="49" spans="1:10">
      <c r="A49">
        <v>2030</v>
      </c>
      <c r="B49">
        <v>2</v>
      </c>
      <c r="C49" t="s">
        <v>247</v>
      </c>
      <c r="D49"/>
      <c r="E49"/>
      <c r="F49"/>
      <c r="G49"/>
      <c r="H49"/>
      <c r="I49"/>
      <c r="J49">
        <v>1</v>
      </c>
    </row>
    <row r="50" spans="1:10">
      <c r="A50">
        <v>2035</v>
      </c>
      <c r="B50">
        <v>2</v>
      </c>
      <c r="C50" t="s">
        <v>247</v>
      </c>
      <c r="D50"/>
      <c r="E50"/>
      <c r="F50"/>
      <c r="G50"/>
      <c r="H50"/>
      <c r="I50"/>
      <c r="J50">
        <v>1</v>
      </c>
    </row>
    <row r="51" spans="1:10">
      <c r="A51">
        <v>2040</v>
      </c>
      <c r="B51">
        <v>2</v>
      </c>
      <c r="C51" t="s">
        <v>247</v>
      </c>
      <c r="D51"/>
      <c r="E51"/>
      <c r="F51"/>
      <c r="G51"/>
      <c r="H51"/>
      <c r="I51"/>
      <c r="J51">
        <v>1</v>
      </c>
    </row>
    <row r="52" spans="1:10">
      <c r="A52">
        <v>2045</v>
      </c>
      <c r="B52">
        <v>2</v>
      </c>
      <c r="C52" t="s">
        <v>247</v>
      </c>
      <c r="D52"/>
      <c r="E52"/>
      <c r="F52"/>
      <c r="G52"/>
      <c r="H52"/>
      <c r="I52"/>
      <c r="J52">
        <v>1</v>
      </c>
    </row>
    <row r="53" spans="1:10">
      <c r="A53">
        <v>2050</v>
      </c>
      <c r="B53">
        <v>2</v>
      </c>
      <c r="C53" t="s">
        <v>247</v>
      </c>
      <c r="D53"/>
      <c r="E53"/>
      <c r="F53"/>
      <c r="G53"/>
      <c r="H53"/>
      <c r="I53"/>
      <c r="J53">
        <v>1</v>
      </c>
    </row>
    <row r="54" spans="1:10">
      <c r="A54">
        <v>2018</v>
      </c>
      <c r="B54">
        <v>2</v>
      </c>
      <c r="C54" t="s">
        <v>134</v>
      </c>
      <c r="D54" s="4">
        <v>0.89</v>
      </c>
      <c r="E54"/>
      <c r="F54"/>
      <c r="G54"/>
      <c r="H54"/>
      <c r="I54"/>
      <c r="J54"/>
    </row>
    <row r="55" spans="1:10">
      <c r="A55">
        <v>2021</v>
      </c>
      <c r="B55">
        <v>2</v>
      </c>
      <c r="C55" t="s">
        <v>134</v>
      </c>
      <c r="D55" s="4">
        <v>0.89</v>
      </c>
      <c r="E55"/>
      <c r="F55"/>
      <c r="G55"/>
      <c r="H55"/>
      <c r="I55"/>
      <c r="J55"/>
    </row>
    <row r="56" spans="1:10">
      <c r="A56">
        <v>2025</v>
      </c>
      <c r="B56">
        <v>2</v>
      </c>
      <c r="C56" t="s">
        <v>134</v>
      </c>
      <c r="D56" s="4">
        <v>0.89</v>
      </c>
      <c r="E56"/>
      <c r="F56"/>
      <c r="G56"/>
      <c r="H56"/>
      <c r="I56"/>
      <c r="J56"/>
    </row>
    <row r="57" spans="1:10">
      <c r="A57">
        <v>2030</v>
      </c>
      <c r="B57">
        <v>2</v>
      </c>
      <c r="C57" t="s">
        <v>134</v>
      </c>
      <c r="D57" s="4">
        <v>0.89</v>
      </c>
      <c r="E57"/>
      <c r="F57"/>
      <c r="G57"/>
      <c r="H57"/>
      <c r="I57"/>
      <c r="J57"/>
    </row>
    <row r="58" spans="1:10">
      <c r="A58">
        <v>2035</v>
      </c>
      <c r="B58">
        <v>2</v>
      </c>
      <c r="C58" t="s">
        <v>134</v>
      </c>
      <c r="D58" s="4">
        <v>0.89</v>
      </c>
      <c r="E58"/>
      <c r="F58"/>
      <c r="G58"/>
      <c r="H58"/>
      <c r="I58"/>
      <c r="J58"/>
    </row>
    <row r="59" spans="1:10">
      <c r="A59">
        <v>2040</v>
      </c>
      <c r="B59">
        <v>2</v>
      </c>
      <c r="C59" t="s">
        <v>134</v>
      </c>
      <c r="D59" s="4">
        <v>0.89</v>
      </c>
      <c r="E59"/>
      <c r="F59"/>
      <c r="G59"/>
      <c r="H59"/>
      <c r="I59"/>
      <c r="J59"/>
    </row>
    <row r="60" spans="1:10">
      <c r="A60">
        <v>2045</v>
      </c>
      <c r="B60">
        <v>2</v>
      </c>
      <c r="C60" t="s">
        <v>134</v>
      </c>
      <c r="D60" s="4">
        <v>0.89</v>
      </c>
      <c r="E60"/>
      <c r="F60"/>
      <c r="G60"/>
      <c r="H60"/>
      <c r="I60"/>
      <c r="J60"/>
    </row>
    <row r="61" spans="1:10">
      <c r="A61">
        <v>2050</v>
      </c>
      <c r="B61">
        <v>2</v>
      </c>
      <c r="C61" t="s">
        <v>134</v>
      </c>
      <c r="D61" s="4">
        <v>0.89</v>
      </c>
      <c r="E61"/>
      <c r="F61"/>
      <c r="G61"/>
      <c r="H61"/>
      <c r="I61"/>
      <c r="J61"/>
    </row>
    <row r="62" spans="1:10">
      <c r="A62">
        <v>2018</v>
      </c>
      <c r="B62">
        <v>2</v>
      </c>
      <c r="C62" t="s">
        <v>137</v>
      </c>
      <c r="D62" s="4">
        <v>0.89</v>
      </c>
    </row>
    <row r="63" spans="1:10">
      <c r="A63">
        <v>2021</v>
      </c>
      <c r="B63">
        <v>2</v>
      </c>
      <c r="C63" t="s">
        <v>137</v>
      </c>
      <c r="D63" s="4">
        <v>0.89</v>
      </c>
    </row>
    <row r="64" spans="1:10">
      <c r="A64">
        <v>2025</v>
      </c>
      <c r="B64">
        <v>2</v>
      </c>
      <c r="C64" t="s">
        <v>137</v>
      </c>
      <c r="D64" s="4">
        <v>0.89</v>
      </c>
    </row>
    <row r="65" spans="1:11">
      <c r="A65">
        <v>2030</v>
      </c>
      <c r="B65">
        <v>2</v>
      </c>
      <c r="C65" t="s">
        <v>137</v>
      </c>
      <c r="D65" s="4">
        <v>0.89</v>
      </c>
    </row>
    <row r="66" spans="1:11">
      <c r="A66">
        <v>2035</v>
      </c>
      <c r="B66">
        <v>2</v>
      </c>
      <c r="C66" t="s">
        <v>137</v>
      </c>
      <c r="D66" s="4">
        <v>0.89</v>
      </c>
    </row>
    <row r="67" spans="1:11">
      <c r="A67">
        <v>2040</v>
      </c>
      <c r="B67">
        <v>2</v>
      </c>
      <c r="C67" t="s">
        <v>137</v>
      </c>
      <c r="D67" s="4">
        <v>0.89</v>
      </c>
    </row>
    <row r="68" spans="1:11">
      <c r="A68">
        <v>2045</v>
      </c>
      <c r="B68">
        <v>2</v>
      </c>
      <c r="C68" t="s">
        <v>137</v>
      </c>
      <c r="D68" s="4">
        <v>0.89</v>
      </c>
    </row>
    <row r="69" spans="1:11">
      <c r="A69">
        <v>2050</v>
      </c>
      <c r="B69">
        <v>2</v>
      </c>
      <c r="C69" t="s">
        <v>137</v>
      </c>
      <c r="D69" s="4">
        <v>0.89</v>
      </c>
    </row>
    <row r="70" spans="1:11">
      <c r="A70">
        <v>2018</v>
      </c>
      <c r="B70">
        <v>2</v>
      </c>
      <c r="C70" t="s">
        <v>191</v>
      </c>
      <c r="K70" s="4">
        <v>0.73499999999999999</v>
      </c>
    </row>
    <row r="71" spans="1:11">
      <c r="A71">
        <v>2021</v>
      </c>
      <c r="B71">
        <v>2</v>
      </c>
      <c r="C71" t="s">
        <v>191</v>
      </c>
      <c r="K71" s="4">
        <v>0.73499999999999999</v>
      </c>
    </row>
    <row r="72" spans="1:11">
      <c r="A72">
        <v>2025</v>
      </c>
      <c r="B72">
        <v>2</v>
      </c>
      <c r="C72" t="s">
        <v>191</v>
      </c>
      <c r="K72" s="4">
        <v>0.83699999999999997</v>
      </c>
    </row>
    <row r="73" spans="1:11">
      <c r="A73">
        <v>2030</v>
      </c>
      <c r="B73">
        <v>2</v>
      </c>
      <c r="C73" t="s">
        <v>191</v>
      </c>
      <c r="K73" s="4">
        <v>0.83699999999999997</v>
      </c>
    </row>
    <row r="74" spans="1:11">
      <c r="A74">
        <v>2035</v>
      </c>
      <c r="B74">
        <v>2</v>
      </c>
      <c r="C74" t="s">
        <v>191</v>
      </c>
      <c r="K74" s="4">
        <v>0.83699999999999997</v>
      </c>
    </row>
    <row r="75" spans="1:11">
      <c r="A75">
        <v>2040</v>
      </c>
      <c r="B75">
        <v>2</v>
      </c>
      <c r="C75" t="s">
        <v>191</v>
      </c>
      <c r="K75" s="4">
        <v>0.83699999999999997</v>
      </c>
    </row>
    <row r="76" spans="1:11">
      <c r="A76">
        <v>2045</v>
      </c>
      <c r="B76">
        <v>2</v>
      </c>
      <c r="C76" t="s">
        <v>191</v>
      </c>
      <c r="K76" s="4">
        <v>0.83699999999999997</v>
      </c>
    </row>
    <row r="77" spans="1:11">
      <c r="A77">
        <v>2050</v>
      </c>
      <c r="B77">
        <v>2</v>
      </c>
      <c r="C77" t="s">
        <v>191</v>
      </c>
      <c r="K77" s="4">
        <v>0.83699999999999997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Tabelle45"/>
  <dimension ref="A1:A3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">
      <c r="A1" s="4" t="s">
        <v>421</v>
      </c>
    </row>
    <row r="2" spans="1:1">
      <c r="A2" s="4" t="s">
        <v>420</v>
      </c>
    </row>
    <row r="3" spans="1:1">
      <c r="A3" s="4" t="s">
        <v>390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Tabelle46"/>
  <dimension ref="A1:K6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1">
      <c r="A1" s="4" t="s">
        <v>422</v>
      </c>
    </row>
    <row r="2" spans="1:11">
      <c r="A2" s="4" t="s">
        <v>354</v>
      </c>
    </row>
    <row r="3" spans="1:11">
      <c r="A3" s="4" t="s">
        <v>365</v>
      </c>
    </row>
    <row r="5" spans="1:11">
      <c r="A5" s="4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11">
      <c r="A6" s="22" t="s">
        <v>484</v>
      </c>
      <c r="B6" s="4">
        <v>50</v>
      </c>
      <c r="C6" s="4">
        <v>1</v>
      </c>
      <c r="D6" s="4">
        <v>1</v>
      </c>
      <c r="E6" s="4">
        <v>3</v>
      </c>
      <c r="F6" s="4">
        <v>42.7</v>
      </c>
      <c r="G6" s="4">
        <v>1</v>
      </c>
      <c r="H6" s="4">
        <v>100</v>
      </c>
      <c r="I6" s="4">
        <v>1</v>
      </c>
      <c r="K6" s="23"/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Tabelle47"/>
  <dimension ref="A1:I6"/>
  <sheetViews>
    <sheetView zoomScaleNormal="100" workbookViewId="0">
      <selection activeCell="R26" sqref="R26"/>
    </sheetView>
  </sheetViews>
  <sheetFormatPr defaultColWidth="9.140625" defaultRowHeight="15"/>
  <cols>
    <col min="1" max="16384" width="9.140625" style="28"/>
  </cols>
  <sheetData>
    <row r="1" spans="1:9">
      <c r="A1" s="28" t="s">
        <v>423</v>
      </c>
    </row>
    <row r="2" spans="1:9">
      <c r="A2" s="28" t="s">
        <v>355</v>
      </c>
    </row>
    <row r="3" spans="1:9">
      <c r="A3" s="28" t="s">
        <v>365</v>
      </c>
    </row>
    <row r="5" spans="1:9">
      <c r="A5" s="28" t="s">
        <v>20</v>
      </c>
      <c r="B5" t="s">
        <v>142</v>
      </c>
      <c r="C5" t="s">
        <v>149</v>
      </c>
      <c r="D5" t="s">
        <v>150</v>
      </c>
      <c r="E5" t="s">
        <v>143</v>
      </c>
      <c r="F5" t="s">
        <v>144</v>
      </c>
      <c r="G5" t="s">
        <v>246</v>
      </c>
      <c r="H5" t="s">
        <v>192</v>
      </c>
      <c r="I5" t="s">
        <v>248</v>
      </c>
    </row>
    <row r="6" spans="1:9">
      <c r="A6" s="22" t="s">
        <v>484</v>
      </c>
      <c r="B6" s="28">
        <v>50</v>
      </c>
      <c r="C6" s="28">
        <v>1</v>
      </c>
      <c r="D6" s="28">
        <v>1</v>
      </c>
      <c r="E6" s="28">
        <v>3</v>
      </c>
      <c r="F6" s="28">
        <v>42.7</v>
      </c>
      <c r="G6" s="28">
        <v>1</v>
      </c>
      <c r="H6" s="28">
        <v>100</v>
      </c>
      <c r="I6" s="28">
        <v>1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Tabelle48"/>
  <dimension ref="A1:J5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0">
      <c r="A1" s="4" t="s">
        <v>425</v>
      </c>
    </row>
    <row r="2" spans="1:10">
      <c r="A2" s="4" t="s">
        <v>424</v>
      </c>
    </row>
    <row r="3" spans="1:10">
      <c r="A3" s="4" t="s">
        <v>383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Tabelle49"/>
  <dimension ref="A1:J13"/>
  <sheetViews>
    <sheetView zoomScaleNormal="100" workbookViewId="0">
      <selection activeCell="A2" sqref="A2"/>
    </sheetView>
  </sheetViews>
  <sheetFormatPr defaultColWidth="9.140625" defaultRowHeight="15"/>
  <cols>
    <col min="1" max="16384" width="9.140625" style="4"/>
  </cols>
  <sheetData>
    <row r="1" spans="1:10">
      <c r="A1" s="4" t="s">
        <v>427</v>
      </c>
    </row>
    <row r="2" spans="1:10">
      <c r="A2" s="4" t="s">
        <v>426</v>
      </c>
    </row>
    <row r="3" spans="1:10">
      <c r="A3" s="4" t="s">
        <v>406</v>
      </c>
    </row>
    <row r="5" spans="1:10">
      <c r="A5" s="4" t="s">
        <v>20</v>
      </c>
      <c r="B5" s="4" t="s">
        <v>26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  <row r="6" spans="1:10">
      <c r="A6" t="s">
        <v>484</v>
      </c>
      <c r="B6" t="s">
        <v>142</v>
      </c>
      <c r="C6" s="4">
        <v>100</v>
      </c>
      <c r="D6" s="4">
        <v>100</v>
      </c>
      <c r="E6" s="4">
        <v>100</v>
      </c>
      <c r="F6" s="4">
        <v>100</v>
      </c>
      <c r="G6" s="4">
        <v>100</v>
      </c>
      <c r="H6" s="4">
        <v>100</v>
      </c>
      <c r="I6" s="4">
        <v>100</v>
      </c>
      <c r="J6" s="4">
        <v>100</v>
      </c>
    </row>
    <row r="7" spans="1:10">
      <c r="A7" t="s">
        <v>484</v>
      </c>
      <c r="B7" t="s">
        <v>149</v>
      </c>
      <c r="C7" s="4">
        <v>100</v>
      </c>
      <c r="D7" s="4">
        <v>100</v>
      </c>
      <c r="E7" s="4">
        <v>100</v>
      </c>
      <c r="F7" s="4">
        <v>100</v>
      </c>
      <c r="G7" s="4">
        <v>100</v>
      </c>
      <c r="H7" s="4">
        <v>100</v>
      </c>
      <c r="I7" s="4">
        <v>100</v>
      </c>
      <c r="J7" s="4">
        <v>100</v>
      </c>
    </row>
    <row r="8" spans="1:10">
      <c r="A8" t="s">
        <v>484</v>
      </c>
      <c r="B8" t="s">
        <v>150</v>
      </c>
      <c r="C8" s="4">
        <v>100</v>
      </c>
      <c r="D8" s="4">
        <v>100</v>
      </c>
      <c r="E8" s="4">
        <v>100</v>
      </c>
      <c r="F8" s="4">
        <v>100</v>
      </c>
      <c r="G8" s="4">
        <v>100</v>
      </c>
      <c r="H8" s="4">
        <v>100</v>
      </c>
      <c r="I8" s="4">
        <v>100</v>
      </c>
      <c r="J8" s="4">
        <v>100</v>
      </c>
    </row>
    <row r="9" spans="1:10">
      <c r="A9" t="s">
        <v>484</v>
      </c>
      <c r="B9" t="s">
        <v>143</v>
      </c>
      <c r="C9" s="4">
        <v>100</v>
      </c>
      <c r="D9" s="4">
        <v>100</v>
      </c>
      <c r="E9" s="4">
        <v>100</v>
      </c>
      <c r="F9" s="4">
        <v>100</v>
      </c>
      <c r="G9" s="4">
        <v>100</v>
      </c>
      <c r="H9" s="4">
        <v>100</v>
      </c>
      <c r="I9" s="4">
        <v>100</v>
      </c>
      <c r="J9" s="4">
        <v>100</v>
      </c>
    </row>
    <row r="10" spans="1:10">
      <c r="A10" t="s">
        <v>484</v>
      </c>
      <c r="B10" t="s">
        <v>144</v>
      </c>
      <c r="C10" s="4">
        <v>100</v>
      </c>
      <c r="D10" s="4">
        <v>100</v>
      </c>
      <c r="E10" s="4">
        <v>100</v>
      </c>
      <c r="F10" s="4">
        <v>100</v>
      </c>
      <c r="G10" s="4">
        <v>100</v>
      </c>
      <c r="H10" s="4">
        <v>100</v>
      </c>
      <c r="I10" s="4">
        <v>100</v>
      </c>
      <c r="J10" s="4">
        <v>100</v>
      </c>
    </row>
    <row r="11" spans="1:10">
      <c r="A11" t="s">
        <v>484</v>
      </c>
      <c r="B11" t="s">
        <v>246</v>
      </c>
      <c r="C11" s="4">
        <v>100</v>
      </c>
      <c r="D11" s="4">
        <v>100</v>
      </c>
      <c r="E11" s="4">
        <v>100</v>
      </c>
      <c r="F11" s="4">
        <v>100</v>
      </c>
      <c r="G11" s="4">
        <v>100</v>
      </c>
      <c r="H11" s="4">
        <v>100</v>
      </c>
      <c r="I11" s="4">
        <v>100</v>
      </c>
      <c r="J11" s="4">
        <v>100</v>
      </c>
    </row>
    <row r="12" spans="1:10">
      <c r="A12" t="s">
        <v>484</v>
      </c>
      <c r="B12" t="s">
        <v>192</v>
      </c>
      <c r="C12" s="4">
        <v>100</v>
      </c>
      <c r="D12" s="4">
        <v>100</v>
      </c>
      <c r="E12" s="4">
        <v>100</v>
      </c>
      <c r="F12" s="4">
        <v>100</v>
      </c>
      <c r="G12" s="4">
        <v>100</v>
      </c>
      <c r="H12" s="4">
        <v>100</v>
      </c>
      <c r="I12" s="4">
        <v>100</v>
      </c>
      <c r="J12" s="4">
        <v>100</v>
      </c>
    </row>
    <row r="13" spans="1:10">
      <c r="A13" t="s">
        <v>484</v>
      </c>
      <c r="B13" t="s">
        <v>248</v>
      </c>
      <c r="C13" s="4">
        <v>100</v>
      </c>
      <c r="D13" s="4">
        <v>100</v>
      </c>
      <c r="E13" s="4">
        <v>100</v>
      </c>
      <c r="F13" s="4">
        <v>100</v>
      </c>
      <c r="G13" s="4">
        <v>100</v>
      </c>
      <c r="H13" s="4">
        <v>100</v>
      </c>
      <c r="I13" s="4">
        <v>100</v>
      </c>
      <c r="J13" s="4">
        <v>100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Tabelle50"/>
  <dimension ref="A1:J5"/>
  <sheetViews>
    <sheetView zoomScaleNormal="100" workbookViewId="0">
      <selection activeCell="A2" sqref="A2"/>
    </sheetView>
  </sheetViews>
  <sheetFormatPr defaultColWidth="9.140625" defaultRowHeight="15"/>
  <cols>
    <col min="1" max="2" width="9.140625" style="4"/>
    <col min="3" max="10" width="16.85546875" style="4" customWidth="1"/>
    <col min="11" max="16384" width="9.140625" style="4"/>
  </cols>
  <sheetData>
    <row r="1" spans="1:10">
      <c r="A1" s="4" t="s">
        <v>429</v>
      </c>
    </row>
    <row r="2" spans="1:10">
      <c r="A2" s="4" t="s">
        <v>428</v>
      </c>
    </row>
    <row r="3" spans="1:10">
      <c r="A3" s="4" t="s">
        <v>363</v>
      </c>
    </row>
    <row r="5" spans="1:10">
      <c r="A5" s="4" t="s">
        <v>20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Tabelle51"/>
  <dimension ref="A1:J5"/>
  <sheetViews>
    <sheetView zoomScaleNormal="100" workbookViewId="0">
      <selection activeCell="M13" sqref="M13"/>
    </sheetView>
  </sheetViews>
  <sheetFormatPr defaultColWidth="9.140625" defaultRowHeight="15"/>
  <cols>
    <col min="1" max="16384" width="9.140625" style="4"/>
  </cols>
  <sheetData>
    <row r="1" spans="1:10">
      <c r="A1" s="4" t="s">
        <v>432</v>
      </c>
    </row>
    <row r="2" spans="1:10">
      <c r="A2" s="4" t="s">
        <v>431</v>
      </c>
    </row>
    <row r="3" spans="1:10">
      <c r="A3" s="4" t="s">
        <v>390</v>
      </c>
    </row>
    <row r="5" spans="1:10">
      <c r="A5" s="4" t="s">
        <v>430</v>
      </c>
      <c r="B5" s="4" t="s">
        <v>33</v>
      </c>
      <c r="C5" s="4">
        <v>2018</v>
      </c>
      <c r="D5" s="4">
        <v>2021</v>
      </c>
      <c r="E5" s="4">
        <v>2025</v>
      </c>
      <c r="F5" s="4">
        <v>2030</v>
      </c>
      <c r="G5" s="4">
        <v>2035</v>
      </c>
      <c r="H5" s="4">
        <v>2040</v>
      </c>
      <c r="I5" s="4">
        <v>2045</v>
      </c>
      <c r="J5" s="4">
        <v>2050</v>
      </c>
    </row>
  </sheetData>
  <pageMargins left="0.7" right="0.7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Sets</vt:lpstr>
      <vt:lpstr>Par_DaySplit</vt:lpstr>
      <vt:lpstr>Par_YearSplit</vt:lpstr>
      <vt:lpstr>Par_TagTechnologyToSector</vt:lpstr>
      <vt:lpstr>Par_CapacityToActivityUnit</vt:lpstr>
      <vt:lpstr>Par_Conversionls</vt:lpstr>
      <vt:lpstr>Par_Conversionld</vt:lpstr>
      <vt:lpstr>Par_Conversionlh</vt:lpstr>
      <vt:lpstr>Par_TradeRoute</vt:lpstr>
      <vt:lpstr>Par_TradeCosts</vt:lpstr>
      <vt:lpstr>Par_TradeCapacity</vt:lpstr>
      <vt:lpstr>Par_TradeCapacityGrowthCosts</vt:lpstr>
      <vt:lpstr>Par_GrowthRateTradeCapacity</vt:lpstr>
      <vt:lpstr>Par_AnnualExogenousEmission</vt:lpstr>
      <vt:lpstr>Par_AnnualEmissionLimit</vt:lpstr>
      <vt:lpstr>Par_AnnualSectoralEmissionLimit</vt:lpstr>
      <vt:lpstr>Par_RegionalAnnualEmissionLimit</vt:lpstr>
      <vt:lpstr>Par_EmissionActivityRatio</vt:lpstr>
      <vt:lpstr>Par_EmissionPenaltyTagTech</vt:lpstr>
      <vt:lpstr>Par_EmissionContentPerFuel</vt:lpstr>
      <vt:lpstr>Par_EmissionsPenalty</vt:lpstr>
      <vt:lpstr>Par_SpecifiedAnnualDemand</vt:lpstr>
      <vt:lpstr>Par_ReserveMargin</vt:lpstr>
      <vt:lpstr>Par_ReserveMarginTagFuel</vt:lpstr>
      <vt:lpstr>Par_ReserveMarginTagTechnology</vt:lpstr>
      <vt:lpstr>Par_InputActivityRatio</vt:lpstr>
      <vt:lpstr>Par_OutputActivityRatio</vt:lpstr>
      <vt:lpstr>Par_CapitalCost</vt:lpstr>
      <vt:lpstr>Par_VariableCost</vt:lpstr>
      <vt:lpstr>Par_FixedCost</vt:lpstr>
      <vt:lpstr>Par_ResidualCapacity</vt:lpstr>
      <vt:lpstr>Par_AvailabilityFactor</vt:lpstr>
      <vt:lpstr>Par_CapacityFactor</vt:lpstr>
      <vt:lpstr>Par_OperationalLife</vt:lpstr>
      <vt:lpstr>Par_TotalAnnualMinActivity</vt:lpstr>
      <vt:lpstr>Par_TotalAnnualMaxActivity</vt:lpstr>
      <vt:lpstr>Par_TotalAnnualMaxCapacity</vt:lpstr>
      <vt:lpstr>Par_ModelPeriodActivityMaxLimit</vt:lpstr>
      <vt:lpstr>Par_TotalAnnualMinCapacity</vt:lpstr>
      <vt:lpstr>Par_RegionalCCSLimit</vt:lpstr>
      <vt:lpstr>Par_RegionalBaseYearProduction</vt:lpstr>
      <vt:lpstr>Par_BaseYearProduction</vt:lpstr>
      <vt:lpstr>Par_TagTechnologyToModalType</vt:lpstr>
      <vt:lpstr>Par_ModalSplitByFuel</vt:lpstr>
      <vt:lpstr>Par_TechnologyToStorage</vt:lpstr>
      <vt:lpstr>Par_TechnologyFromStorage</vt:lpstr>
      <vt:lpstr>Par_StorageLevelStart</vt:lpstr>
      <vt:lpstr>Par_StorageMaxChargeRate</vt:lpstr>
      <vt:lpstr>Par_StorageMaxDischargeRate</vt:lpstr>
      <vt:lpstr>Par_MinStorageCharge</vt:lpstr>
      <vt:lpstr>Par_OperationalLifeStorage</vt:lpstr>
      <vt:lpstr>Par_CapitalCostStorage</vt:lpstr>
      <vt:lpstr>Par_ResidualStorageCapacity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2014-12-04T10:12:02Z</dcterms:created>
  <dcterms:modified xsi:type="dcterms:W3CDTF">2023-09-22T14:20:28Z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496510803699493</vt:r8>
  </property>
</Properties>
</file>