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0" documentId="13_ncr:1_{40824C23-C9AA-44B4-8D83-FDF3E481F065}" xr6:coauthVersionLast="47" xr6:coauthVersionMax="47" xr10:uidLastSave="{00000000-0000-0000-0000-000000000000}"/>
  <bookViews>
    <workbookView xWindow="-28920" yWindow="-120" windowWidth="29040" windowHeight="15840" tabRatio="804" firstSheet="21" activeTab="21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Par_ModalSplitByFuel!$A$5:$L$5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Par_ResidualCapacity!$A$5:$J$1401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66" l="1"/>
  <c r="J17" i="66"/>
  <c r="K66" i="66"/>
  <c r="K42" i="66"/>
  <c r="K26" i="66"/>
  <c r="K50" i="66"/>
  <c r="K10" i="66"/>
  <c r="K34" i="66"/>
  <c r="K58" i="66"/>
  <c r="K18" i="66"/>
  <c r="K65" i="66"/>
  <c r="K41" i="66"/>
  <c r="K25" i="66"/>
  <c r="K49" i="66"/>
  <c r="K9" i="66"/>
  <c r="K33" i="66"/>
  <c r="K57" i="66"/>
  <c r="K17" i="66"/>
  <c r="F35" i="21"/>
  <c r="G36" i="21"/>
  <c r="G37" i="21"/>
  <c r="G40" i="21"/>
  <c r="G41" i="21"/>
  <c r="E34" i="21"/>
  <c r="G35" i="21"/>
  <c r="E41" i="21"/>
  <c r="E40" i="21"/>
  <c r="G39" i="21"/>
  <c r="F39" i="21"/>
  <c r="E39" i="21"/>
  <c r="E36" i="21"/>
  <c r="F36" i="21"/>
  <c r="E38" i="21"/>
  <c r="F38" i="21"/>
  <c r="G38" i="21"/>
  <c r="H33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F41" i="21" l="1"/>
  <c r="E37" i="21"/>
  <c r="F37" i="21"/>
  <c r="F40" i="21"/>
  <c r="E35" i="21"/>
  <c r="G34" i="21"/>
  <c r="F34" i="21"/>
  <c r="C7" i="2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<sst xmlns="http://schemas.openxmlformats.org/spreadsheetml/2006/main" count="5770" uniqueCount="500">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</sst>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11" fillId="34" borderId="0" xfId="0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 filterMode="1"/>
  <dimension ref="A1:N145"/>
  <sheetViews>
    <sheetView workbookViewId="0">
      <selection activeCell="C153" sqref="C153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8.8554687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 hidden="1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479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 hidden="1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480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 hidden="1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481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 hidden="1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487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 hidden="1">
      <c r="B6" t="s">
        <v>437</v>
      </c>
      <c r="C6" t="s">
        <v>140</v>
      </c>
      <c r="D6">
        <v>2035</v>
      </c>
      <c r="E6" t="s">
        <v>69</v>
      </c>
      <c r="G6" t="s">
        <v>486</v>
      </c>
      <c r="K6" t="s">
        <v>248</v>
      </c>
      <c r="L6" t="s">
        <v>44</v>
      </c>
      <c r="M6" t="s">
        <v>112</v>
      </c>
      <c r="N6" t="s">
        <v>320</v>
      </c>
    </row>
    <row r="7" spans="1:14" hidden="1">
      <c r="B7" t="s">
        <v>104</v>
      </c>
      <c r="C7" t="s">
        <v>197</v>
      </c>
      <c r="D7">
        <v>2040</v>
      </c>
      <c r="E7" t="s">
        <v>70</v>
      </c>
      <c r="G7" t="s">
        <v>483</v>
      </c>
      <c r="K7" t="s">
        <v>246</v>
      </c>
      <c r="L7" t="s">
        <v>45</v>
      </c>
      <c r="M7" t="s">
        <v>113</v>
      </c>
      <c r="N7" t="s">
        <v>321</v>
      </c>
    </row>
    <row r="8" spans="1:14" hidden="1">
      <c r="B8" t="s">
        <v>438</v>
      </c>
      <c r="C8" t="s">
        <v>139</v>
      </c>
      <c r="D8">
        <v>2045</v>
      </c>
      <c r="E8" t="s">
        <v>71</v>
      </c>
      <c r="G8" t="s">
        <v>484</v>
      </c>
      <c r="K8" t="s">
        <v>192</v>
      </c>
      <c r="L8" t="s">
        <v>48</v>
      </c>
      <c r="M8" t="s">
        <v>156</v>
      </c>
      <c r="N8" t="s">
        <v>322</v>
      </c>
    </row>
    <row r="9" spans="1:14" hidden="1">
      <c r="B9" t="s">
        <v>105</v>
      </c>
      <c r="C9" t="s">
        <v>138</v>
      </c>
      <c r="D9">
        <v>2050</v>
      </c>
      <c r="E9" t="s">
        <v>68</v>
      </c>
      <c r="G9" t="s">
        <v>485</v>
      </c>
      <c r="K9" t="s">
        <v>150</v>
      </c>
      <c r="L9" t="s">
        <v>49</v>
      </c>
      <c r="M9" t="s">
        <v>190</v>
      </c>
      <c r="N9" t="s">
        <v>435</v>
      </c>
    </row>
    <row r="10" spans="1:14" hidden="1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 hidden="1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 hidden="1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 hidden="1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 hidden="1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 hidden="1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 hidden="1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 hidden="1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 hidden="1">
      <c r="B18" t="s">
        <v>135</v>
      </c>
      <c r="C18" t="s">
        <v>208</v>
      </c>
      <c r="L18" t="s">
        <v>497</v>
      </c>
      <c r="M18" t="s">
        <v>174</v>
      </c>
    </row>
    <row r="19" spans="2:13" hidden="1">
      <c r="B19" t="s">
        <v>136</v>
      </c>
      <c r="C19" t="s">
        <v>209</v>
      </c>
      <c r="L19" t="s">
        <v>498</v>
      </c>
      <c r="M19" t="s">
        <v>175</v>
      </c>
    </row>
    <row r="20" spans="2:13" hidden="1">
      <c r="B20" t="s">
        <v>191</v>
      </c>
      <c r="C20" t="s">
        <v>270</v>
      </c>
      <c r="L20" t="s">
        <v>491</v>
      </c>
      <c r="M20" t="s">
        <v>107</v>
      </c>
    </row>
    <row r="21" spans="2:13" hidden="1">
      <c r="B21" t="s">
        <v>147</v>
      </c>
      <c r="C21" t="s">
        <v>299</v>
      </c>
      <c r="L21" t="s">
        <v>492</v>
      </c>
      <c r="M21" t="s">
        <v>154</v>
      </c>
    </row>
    <row r="22" spans="2:13" hidden="1">
      <c r="B22" t="s">
        <v>148</v>
      </c>
      <c r="C22" t="s">
        <v>312</v>
      </c>
      <c r="L22" t="s">
        <v>493</v>
      </c>
      <c r="M22" t="s">
        <v>104</v>
      </c>
    </row>
    <row r="23" spans="2:13" hidden="1">
      <c r="B23" t="s">
        <v>245</v>
      </c>
      <c r="C23" t="s">
        <v>313</v>
      </c>
      <c r="M23" t="s">
        <v>105</v>
      </c>
    </row>
    <row r="24" spans="2:13" hidden="1">
      <c r="B24" t="s">
        <v>247</v>
      </c>
      <c r="C24" t="s">
        <v>315</v>
      </c>
      <c r="M24" t="s">
        <v>106</v>
      </c>
    </row>
    <row r="25" spans="2:13" hidden="1">
      <c r="B25" t="s">
        <v>134</v>
      </c>
      <c r="C25" t="s">
        <v>314</v>
      </c>
    </row>
    <row r="26" spans="2:13" hidden="1">
      <c r="B26" t="s">
        <v>137</v>
      </c>
      <c r="C26" t="s">
        <v>266</v>
      </c>
    </row>
    <row r="27" spans="2:13" hidden="1">
      <c r="B27" s="2" t="s">
        <v>130</v>
      </c>
      <c r="C27" t="s">
        <v>299</v>
      </c>
    </row>
    <row r="28" spans="2:13" hidden="1">
      <c r="B28" s="2" t="s">
        <v>131</v>
      </c>
      <c r="C28" t="s">
        <v>328</v>
      </c>
    </row>
    <row r="29" spans="2:13" hidden="1">
      <c r="B29" s="2" t="s">
        <v>125</v>
      </c>
      <c r="C29" t="s">
        <v>334</v>
      </c>
    </row>
    <row r="30" spans="2:13" hidden="1">
      <c r="B30" s="2" t="s">
        <v>57</v>
      </c>
      <c r="C30" t="s">
        <v>335</v>
      </c>
    </row>
    <row r="31" spans="2:13" hidden="1">
      <c r="B31" s="2" t="s">
        <v>126</v>
      </c>
      <c r="C31" t="s">
        <v>434</v>
      </c>
    </row>
    <row r="32" spans="2:13" hidden="1">
      <c r="B32" s="2" t="s">
        <v>316</v>
      </c>
    </row>
    <row r="33" spans="2:2" hidden="1">
      <c r="B33" s="2" t="s">
        <v>176</v>
      </c>
    </row>
    <row r="34" spans="2:2" hidden="1">
      <c r="B34" s="2" t="s">
        <v>127</v>
      </c>
    </row>
    <row r="35" spans="2:2">
      <c r="B35" s="2" t="s">
        <v>494</v>
      </c>
    </row>
    <row r="36" spans="2:2">
      <c r="B36" s="2" t="s">
        <v>495</v>
      </c>
    </row>
    <row r="37" spans="2:2">
      <c r="B37" s="2" t="s">
        <v>496</v>
      </c>
    </row>
    <row r="38" spans="2:2" hidden="1">
      <c r="B38" t="s">
        <v>447</v>
      </c>
    </row>
    <row r="39" spans="2:2" hidden="1">
      <c r="B39" t="s">
        <v>448</v>
      </c>
    </row>
    <row r="40" spans="2:2" hidden="1">
      <c r="B40" t="s">
        <v>238</v>
      </c>
    </row>
    <row r="41" spans="2:2" hidden="1">
      <c r="B41" t="s">
        <v>249</v>
      </c>
    </row>
    <row r="42" spans="2:2" hidden="1">
      <c r="B42" t="s">
        <v>243</v>
      </c>
    </row>
    <row r="43" spans="2:2" hidden="1">
      <c r="B43" t="s">
        <v>239</v>
      </c>
    </row>
    <row r="44" spans="2:2" hidden="1">
      <c r="B44" t="s">
        <v>250</v>
      </c>
    </row>
    <row r="45" spans="2:2" hidden="1">
      <c r="B45" t="s">
        <v>241</v>
      </c>
    </row>
    <row r="46" spans="2:2" hidden="1">
      <c r="B46" t="s">
        <v>242</v>
      </c>
    </row>
    <row r="47" spans="2:2" hidden="1">
      <c r="B47" t="s">
        <v>240</v>
      </c>
    </row>
    <row r="48" spans="2:2" hidden="1">
      <c r="B48" t="s">
        <v>212</v>
      </c>
    </row>
    <row r="49" spans="2:2" hidden="1">
      <c r="B49" t="s">
        <v>232</v>
      </c>
    </row>
    <row r="50" spans="2:2" hidden="1">
      <c r="B50" t="s">
        <v>234</v>
      </c>
    </row>
    <row r="51" spans="2:2" hidden="1">
      <c r="B51" t="s">
        <v>221</v>
      </c>
    </row>
    <row r="52" spans="2:2" hidden="1">
      <c r="B52" t="s">
        <v>217</v>
      </c>
    </row>
    <row r="53" spans="2:2" hidden="1">
      <c r="B53" t="s">
        <v>268</v>
      </c>
    </row>
    <row r="54" spans="2:2" hidden="1">
      <c r="B54" t="s">
        <v>214</v>
      </c>
    </row>
    <row r="55" spans="2:2" hidden="1">
      <c r="B55" t="s">
        <v>215</v>
      </c>
    </row>
    <row r="56" spans="2:2" hidden="1">
      <c r="B56" t="s">
        <v>222</v>
      </c>
    </row>
    <row r="57" spans="2:2" hidden="1">
      <c r="B57" t="s">
        <v>233</v>
      </c>
    </row>
    <row r="58" spans="2:2" hidden="1">
      <c r="B58" t="s">
        <v>201</v>
      </c>
    </row>
    <row r="59" spans="2:2" hidden="1">
      <c r="B59" t="s">
        <v>228</v>
      </c>
    </row>
    <row r="60" spans="2:2" hidden="1">
      <c r="B60" t="s">
        <v>219</v>
      </c>
    </row>
    <row r="61" spans="2:2" hidden="1">
      <c r="B61" t="s">
        <v>210</v>
      </c>
    </row>
    <row r="62" spans="2:2" hidden="1">
      <c r="B62" t="s">
        <v>267</v>
      </c>
    </row>
    <row r="63" spans="2:2" hidden="1">
      <c r="B63" t="s">
        <v>202</v>
      </c>
    </row>
    <row r="64" spans="2:2" hidden="1">
      <c r="B64" t="s">
        <v>230</v>
      </c>
    </row>
    <row r="65" spans="2:2" hidden="1">
      <c r="B65" t="s">
        <v>231</v>
      </c>
    </row>
    <row r="66" spans="2:2" hidden="1">
      <c r="B66" t="s">
        <v>203</v>
      </c>
    </row>
    <row r="67" spans="2:2" hidden="1">
      <c r="B67" t="s">
        <v>220</v>
      </c>
    </row>
    <row r="68" spans="2:2" hidden="1">
      <c r="B68" t="s">
        <v>229</v>
      </c>
    </row>
    <row r="69" spans="2:2" hidden="1">
      <c r="B69" t="s">
        <v>223</v>
      </c>
    </row>
    <row r="70" spans="2:2" hidden="1">
      <c r="B70" t="s">
        <v>236</v>
      </c>
    </row>
    <row r="71" spans="2:2" hidden="1">
      <c r="B71" t="s">
        <v>225</v>
      </c>
    </row>
    <row r="72" spans="2:2" hidden="1">
      <c r="B72" t="s">
        <v>258</v>
      </c>
    </row>
    <row r="73" spans="2:2" hidden="1">
      <c r="B73" t="s">
        <v>224</v>
      </c>
    </row>
    <row r="74" spans="2:2" hidden="1">
      <c r="B74" t="s">
        <v>259</v>
      </c>
    </row>
    <row r="75" spans="2:2" hidden="1">
      <c r="B75" t="s">
        <v>226</v>
      </c>
    </row>
    <row r="76" spans="2:2" hidden="1">
      <c r="B76" t="s">
        <v>235</v>
      </c>
    </row>
    <row r="77" spans="2:2" hidden="1">
      <c r="B77" t="s">
        <v>158</v>
      </c>
    </row>
    <row r="78" spans="2:2" hidden="1">
      <c r="B78" t="s">
        <v>194</v>
      </c>
    </row>
    <row r="79" spans="2:2" hidden="1">
      <c r="B79" t="s">
        <v>103</v>
      </c>
    </row>
    <row r="80" spans="2:2" hidden="1">
      <c r="B80" t="s">
        <v>251</v>
      </c>
    </row>
    <row r="81" spans="2:2" hidden="1">
      <c r="B81" t="s">
        <v>102</v>
      </c>
    </row>
    <row r="82" spans="2:2" hidden="1">
      <c r="B82" t="s">
        <v>252</v>
      </c>
    </row>
    <row r="83" spans="2:2" hidden="1">
      <c r="B83" t="s">
        <v>449</v>
      </c>
    </row>
    <row r="84" spans="2:2" hidden="1">
      <c r="B84" t="s">
        <v>450</v>
      </c>
    </row>
    <row r="85" spans="2:2" hidden="1">
      <c r="B85" t="s">
        <v>451</v>
      </c>
    </row>
    <row r="86" spans="2:2" hidden="1">
      <c r="B86" t="s">
        <v>253</v>
      </c>
    </row>
    <row r="87" spans="2:2" hidden="1">
      <c r="B87" t="s">
        <v>327</v>
      </c>
    </row>
    <row r="88" spans="2:2" hidden="1">
      <c r="B88" t="s">
        <v>23</v>
      </c>
    </row>
    <row r="89" spans="2:2" hidden="1">
      <c r="B89" t="s">
        <v>56</v>
      </c>
    </row>
    <row r="90" spans="2:2" hidden="1">
      <c r="B90" s="2" t="s">
        <v>132</v>
      </c>
    </row>
    <row r="91" spans="2:2" hidden="1">
      <c r="B91" s="2" t="s">
        <v>58</v>
      </c>
    </row>
    <row r="92" spans="2:2" hidden="1">
      <c r="B92" s="2" t="s">
        <v>133</v>
      </c>
    </row>
    <row r="93" spans="2:2" hidden="1">
      <c r="B93" s="2" t="s">
        <v>128</v>
      </c>
    </row>
    <row r="94" spans="2:2" hidden="1">
      <c r="B94" s="2" t="s">
        <v>129</v>
      </c>
    </row>
    <row r="95" spans="2:2" hidden="1">
      <c r="B95" s="2" t="s">
        <v>60</v>
      </c>
    </row>
    <row r="96" spans="2:2" hidden="1">
      <c r="B96" s="2" t="s">
        <v>123</v>
      </c>
    </row>
    <row r="97" spans="2:2" hidden="1">
      <c r="B97" s="2" t="s">
        <v>59</v>
      </c>
    </row>
    <row r="98" spans="2:2" hidden="1">
      <c r="B98" s="2" t="s">
        <v>317</v>
      </c>
    </row>
    <row r="99" spans="2:2" hidden="1">
      <c r="B99" s="2" t="s">
        <v>124</v>
      </c>
    </row>
    <row r="100" spans="2:2" hidden="1">
      <c r="B100" t="s">
        <v>86</v>
      </c>
    </row>
    <row r="101" spans="2:2" hidden="1">
      <c r="B101" t="s">
        <v>85</v>
      </c>
    </row>
    <row r="102" spans="2:2" hidden="1">
      <c r="B102" t="s">
        <v>84</v>
      </c>
    </row>
    <row r="103" spans="2:2" hidden="1">
      <c r="B103" t="s">
        <v>87</v>
      </c>
    </row>
    <row r="104" spans="2:2" hidden="1">
      <c r="B104" t="s">
        <v>88</v>
      </c>
    </row>
    <row r="105" spans="2:2" hidden="1">
      <c r="B105" t="s">
        <v>306</v>
      </c>
    </row>
    <row r="106" spans="2:2" hidden="1">
      <c r="B106" t="s">
        <v>96</v>
      </c>
    </row>
    <row r="107" spans="2:2" hidden="1">
      <c r="B107" t="s">
        <v>101</v>
      </c>
    </row>
    <row r="108" spans="2:2" hidden="1">
      <c r="B108" t="s">
        <v>301</v>
      </c>
    </row>
    <row r="109" spans="2:2" hidden="1">
      <c r="B109" t="s">
        <v>98</v>
      </c>
    </row>
    <row r="110" spans="2:2" hidden="1">
      <c r="B110" t="s">
        <v>99</v>
      </c>
    </row>
    <row r="111" spans="2:2" hidden="1">
      <c r="B111" t="s">
        <v>100</v>
      </c>
    </row>
    <row r="112" spans="2:2" hidden="1">
      <c r="B112" t="s">
        <v>304</v>
      </c>
    </row>
    <row r="113" spans="2:2" hidden="1">
      <c r="B113" t="s">
        <v>172</v>
      </c>
    </row>
    <row r="114" spans="2:2" hidden="1">
      <c r="B114" t="s">
        <v>173</v>
      </c>
    </row>
    <row r="115" spans="2:2" hidden="1">
      <c r="B115" t="s">
        <v>90</v>
      </c>
    </row>
    <row r="116" spans="2:2" hidden="1">
      <c r="B116" t="s">
        <v>89</v>
      </c>
    </row>
    <row r="117" spans="2:2" hidden="1">
      <c r="B117" t="s">
        <v>91</v>
      </c>
    </row>
    <row r="118" spans="2:2" hidden="1">
      <c r="B118" t="s">
        <v>460</v>
      </c>
    </row>
    <row r="119" spans="2:2" hidden="1">
      <c r="B119" t="s">
        <v>303</v>
      </c>
    </row>
    <row r="120" spans="2:2" hidden="1">
      <c r="B120" t="s">
        <v>305</v>
      </c>
    </row>
    <row r="121" spans="2:2" hidden="1">
      <c r="B121" t="s">
        <v>167</v>
      </c>
    </row>
    <row r="122" spans="2:2" hidden="1">
      <c r="B122" t="s">
        <v>166</v>
      </c>
    </row>
    <row r="123" spans="2:2" hidden="1">
      <c r="B123" t="s">
        <v>165</v>
      </c>
    </row>
    <row r="124" spans="2:2" hidden="1">
      <c r="B124" t="s">
        <v>93</v>
      </c>
    </row>
    <row r="125" spans="2:2" hidden="1">
      <c r="B125" t="s">
        <v>92</v>
      </c>
    </row>
    <row r="126" spans="2:2" hidden="1">
      <c r="B126" t="s">
        <v>94</v>
      </c>
    </row>
    <row r="127" spans="2:2" hidden="1">
      <c r="B127" t="s">
        <v>302</v>
      </c>
    </row>
    <row r="128" spans="2:2" hidden="1">
      <c r="B128" t="s">
        <v>269</v>
      </c>
    </row>
    <row r="129" spans="2:2" hidden="1">
      <c r="B129" s="2" t="s">
        <v>330</v>
      </c>
    </row>
    <row r="130" spans="2:2" hidden="1">
      <c r="B130" s="2" t="s">
        <v>329</v>
      </c>
    </row>
    <row r="131" spans="2:2" hidden="1">
      <c r="B131" t="s">
        <v>121</v>
      </c>
    </row>
    <row r="132" spans="2:2" hidden="1">
      <c r="B132" t="s">
        <v>122</v>
      </c>
    </row>
    <row r="133" spans="2:2" hidden="1">
      <c r="B133" s="2" t="s">
        <v>310</v>
      </c>
    </row>
    <row r="134" spans="2:2" hidden="1">
      <c r="B134" s="2" t="s">
        <v>311</v>
      </c>
    </row>
    <row r="135" spans="2:2" hidden="1">
      <c r="B135" t="s">
        <v>157</v>
      </c>
    </row>
    <row r="136" spans="2:2" hidden="1">
      <c r="B136" t="s">
        <v>300</v>
      </c>
    </row>
    <row r="137" spans="2:2" hidden="1">
      <c r="B137" t="s">
        <v>260</v>
      </c>
    </row>
    <row r="138" spans="2:2" hidden="1">
      <c r="B138" t="s">
        <v>261</v>
      </c>
    </row>
    <row r="139" spans="2:2" hidden="1">
      <c r="B139" t="s">
        <v>332</v>
      </c>
    </row>
    <row r="140" spans="2:2" hidden="1">
      <c r="B140" t="s">
        <v>333</v>
      </c>
    </row>
    <row r="141" spans="2:2" hidden="1">
      <c r="B141" t="s">
        <v>180</v>
      </c>
    </row>
    <row r="142" spans="2:2" hidden="1">
      <c r="B142" s="2" t="s">
        <v>331</v>
      </c>
    </row>
    <row r="143" spans="2:2" hidden="1">
      <c r="B143" t="s">
        <v>181</v>
      </c>
    </row>
    <row r="144" spans="2:2" hidden="1">
      <c r="B144" t="s">
        <v>309</v>
      </c>
    </row>
    <row r="145" spans="2:2" hidden="1">
      <c r="B145" t="s">
        <v>182</v>
      </c>
    </row>
  </sheetData>
  <autoFilter ref="A1:N145" xr:uid="{00000000-0001-0000-0000-000000000000}">
    <filterColumn colId="1">
      <filters>
        <filter val="PSNG_Ship_Bio"/>
        <filter val="PSNG_Ship_Conv"/>
        <filter val="PSNG_Ship_LNG"/>
      </filters>
    </filterColumn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2578125" defaultRowHeight="15"/>
  <cols>
    <col min="8" max="8" width="13.425781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494</v>
      </c>
      <c r="E22">
        <v>1</v>
      </c>
    </row>
    <row r="23" spans="1:5">
      <c r="A23" s="2" t="s">
        <v>495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496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75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494</v>
      </c>
      <c r="T5" s="2" t="s">
        <v>495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496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484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2578125" defaultRowHeight="15"/>
  <cols>
    <col min="2" max="2" width="15" bestFit="1" customWidth="1"/>
    <col min="3" max="3" width="15.28515625" style="51" bestFit="1" customWidth="1"/>
    <col min="4" max="4" width="14.140625" style="51" bestFit="1" customWidth="1"/>
    <col min="5" max="5" width="16.7109375" style="51" bestFit="1" customWidth="1"/>
    <col min="6" max="6" width="17" style="51" customWidth="1"/>
    <col min="7" max="7" width="12.85546875" style="51" customWidth="1"/>
    <col min="8" max="8" width="16.140625" style="51" bestFit="1" customWidth="1"/>
    <col min="9" max="9" width="19.85546875" style="51" bestFit="1" customWidth="1"/>
    <col min="10" max="10" width="17.85546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479</v>
      </c>
      <c r="D5" s="50" t="s">
        <v>480</v>
      </c>
      <c r="E5" s="50" t="s">
        <v>481</v>
      </c>
      <c r="F5" s="50" t="s">
        <v>487</v>
      </c>
      <c r="G5" s="50" t="s">
        <v>486</v>
      </c>
      <c r="H5" s="50" t="s">
        <v>483</v>
      </c>
      <c r="I5" s="50" t="s">
        <v>484</v>
      </c>
      <c r="J5" s="50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479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480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481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487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486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483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484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485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479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480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481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487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486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483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484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485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479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480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481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487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486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483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484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485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479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480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481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487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486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483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484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485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479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480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481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487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486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483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484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485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479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480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481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487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486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483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484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485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479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480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481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487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486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483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484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485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479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480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481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487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486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483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484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485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479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480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481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487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486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483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484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485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479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480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481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487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486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483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484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485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479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480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481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487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486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483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484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485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479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480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481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487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486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483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484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485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479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480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481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487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486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483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484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485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478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479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480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481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487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486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483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484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485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A6" t="s">
        <v>24</v>
      </c>
      <c r="B6" s="49" t="s">
        <v>479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480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481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487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486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483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484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485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479</v>
      </c>
      <c r="E5" s="49" t="s">
        <v>480</v>
      </c>
      <c r="F5" s="49" t="s">
        <v>481</v>
      </c>
      <c r="G5" s="49" t="s">
        <v>487</v>
      </c>
      <c r="H5" s="49" t="s">
        <v>486</v>
      </c>
      <c r="I5" s="49" t="s">
        <v>483</v>
      </c>
      <c r="J5" s="49" t="s">
        <v>484</v>
      </c>
      <c r="K5" s="49" t="s">
        <v>485</v>
      </c>
    </row>
    <row r="6" spans="1:11">
      <c r="A6">
        <v>2018</v>
      </c>
      <c r="B6" t="s">
        <v>24</v>
      </c>
      <c r="C6" s="49" t="s">
        <v>479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480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487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486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484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485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2"/>
      <c r="M4" s="62"/>
      <c r="N4" s="62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480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481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487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486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483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484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485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2578125" defaultRowHeight="15"/>
  <cols>
    <col min="2" max="2" width="23.425781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484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484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484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484</v>
      </c>
      <c r="B14" s="2" t="s">
        <v>495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484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484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484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484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484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484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484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484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484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484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484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484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484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484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484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484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484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484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484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484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484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484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484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484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484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484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484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484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484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484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484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484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484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484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484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484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484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484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484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484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484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484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484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484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484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484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484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484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484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484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484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484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484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484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484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484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484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484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484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484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484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484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484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484</v>
      </c>
      <c r="B79" s="2" t="s">
        <v>496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484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484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484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484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484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484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484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484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484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484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484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484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484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484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484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484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484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484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484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484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484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484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484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484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484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484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484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484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484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484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484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484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484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2578125" defaultRowHeight="15"/>
  <cols>
    <col min="2" max="2" width="23.425781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484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484</v>
      </c>
      <c r="B12" s="2" t="s">
        <v>495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484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484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484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484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484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484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484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484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484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484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484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484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484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484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484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484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484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484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484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484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484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484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484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484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484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484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484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484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484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484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484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484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484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484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484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484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484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484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484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484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484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484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484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484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484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484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484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484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484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484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484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484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484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484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484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484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484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484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484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484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484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484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484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484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484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484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484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484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484</v>
      </c>
      <c r="B82" s="2" t="s">
        <v>496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484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484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484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484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484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484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484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484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484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484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484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484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484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484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484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484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484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484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484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2578125" defaultRowHeight="15"/>
  <cols>
    <col min="1" max="1" width="17.57031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480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481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487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486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483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484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485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tabSelected="1"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61" sqref="D6:D61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479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479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>
      <c r="A8" s="49" t="s">
        <v>479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>
      <c r="A9" s="49" t="s">
        <v>479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479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479</v>
      </c>
      <c r="B11" s="49" t="s">
        <v>24</v>
      </c>
      <c r="C11" s="47">
        <v>0.1165766738660907</v>
      </c>
      <c r="D11" s="52">
        <v>0.11510079193664507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>
      <c r="A12" s="49" t="s">
        <v>480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480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480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>
      <c r="A15" s="49" t="s">
        <v>480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480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480</v>
      </c>
      <c r="B17" s="49" t="s">
        <v>24</v>
      </c>
      <c r="C17" s="47">
        <v>1.5561555075593952E-2</v>
      </c>
      <c r="D17" s="52">
        <v>1.3898488120950325E-2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>
      <c r="A18" s="49" t="s">
        <v>481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481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481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>
      <c r="A21" s="49" t="s">
        <v>481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481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481</v>
      </c>
      <c r="B23" s="49" t="s">
        <v>24</v>
      </c>
      <c r="C23" s="47">
        <v>3.1504679625629951E-2</v>
      </c>
      <c r="D23" s="52">
        <v>3.0939524838012961E-2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>
      <c r="A24" s="49" t="s">
        <v>487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487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>
      <c r="A26" s="49" t="s">
        <v>487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>
      <c r="A27" s="49" t="s">
        <v>487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487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487</v>
      </c>
      <c r="B29" s="49" t="s">
        <v>24</v>
      </c>
      <c r="C29" s="47">
        <v>0.78448164146868249</v>
      </c>
      <c r="D29" s="52">
        <v>0.78189344852411802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>
      <c r="A30" s="49" t="s">
        <v>486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486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486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>
      <c r="A33" s="49" t="s">
        <v>486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>
      <c r="A34" s="49" t="s">
        <v>486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>
      <c r="A35" s="49" t="s">
        <v>486</v>
      </c>
      <c r="B35" s="49" t="s">
        <v>24</v>
      </c>
      <c r="C35" s="47">
        <v>0.77597192224622025</v>
      </c>
      <c r="D35" s="52">
        <v>0.77955363570914327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>
      <c r="A36" s="49" t="s">
        <v>483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483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49" t="s">
        <v>483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>
      <c r="A39" s="49" t="s">
        <v>483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49" t="s">
        <v>483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>
      <c r="A41" s="49" t="s">
        <v>483</v>
      </c>
      <c r="B41" s="49" t="s">
        <v>24</v>
      </c>
      <c r="C41" s="47">
        <v>2.0844240460763137</v>
      </c>
      <c r="D41" s="52">
        <v>2.0304895608351332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>
      <c r="A42" s="49" t="s">
        <v>484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484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49" t="s">
        <v>484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>
      <c r="A45" s="49" t="s">
        <v>484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>
      <c r="A46" s="49" t="s">
        <v>484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>
      <c r="A47" s="49" t="s">
        <v>484</v>
      </c>
      <c r="B47" s="49" t="s">
        <v>24</v>
      </c>
      <c r="C47" s="47">
        <v>0.5955903527717783</v>
      </c>
      <c r="D47" s="52">
        <v>0.59399928005759539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>
      <c r="A48" s="49" t="s">
        <v>485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485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485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>
      <c r="A51" s="49" t="s">
        <v>485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485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485</v>
      </c>
      <c r="B53" s="49" t="s">
        <v>24</v>
      </c>
      <c r="C53" s="47">
        <v>0.86984161267098625</v>
      </c>
      <c r="D53" s="52">
        <v>0.83686105111591069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>
      <c r="A54" t="s">
        <v>483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485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480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484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479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487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486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481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conditionalFormatting sqref="A6:A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2578125" defaultRowHeight="15"/>
  <cols>
    <col min="1" max="1" width="17.425781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479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480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481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487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486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483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484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485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484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2578125" defaultRowHeight="15"/>
  <cols>
    <col min="1" max="1" width="17.7109375" customWidth="1"/>
    <col min="2" max="2" width="28.14062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484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484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484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484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484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484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484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484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484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484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484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484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484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484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484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484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484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484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484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10.42578125" style="6" customWidth="1"/>
    <col min="14" max="16384" width="11.425781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484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484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484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484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484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484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484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484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484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484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484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484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484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484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484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484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484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484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484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484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484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484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484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484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484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484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484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484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484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484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484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484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484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484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484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 hidden="1">
      <c r="A41" t="s">
        <v>484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 hidden="1">
      <c r="A42" t="s">
        <v>484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484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484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484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484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484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484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484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484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484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484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484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484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484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484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484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484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484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484</v>
      </c>
      <c r="B60" s="6" t="s">
        <v>494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484</v>
      </c>
      <c r="B61" s="6" t="s">
        <v>495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484</v>
      </c>
      <c r="B62" s="6" t="s">
        <v>495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484</v>
      </c>
      <c r="B63" s="2" t="s">
        <v>496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484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484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484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484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484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484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484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484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484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484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484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484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484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484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484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484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484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484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484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484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484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484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484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484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484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484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484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484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484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484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484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484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484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484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484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484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484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484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484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484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484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484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484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484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484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484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484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484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484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484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484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484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484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484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484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484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484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484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484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484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484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484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484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484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484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484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484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484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484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484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484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484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484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484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484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484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484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484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484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484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484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484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484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484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484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484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484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484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484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484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484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484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484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484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484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484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484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484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484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484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484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484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484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484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484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484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484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484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484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484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484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484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484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484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484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484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484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484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484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484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484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484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484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484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484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484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484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484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484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484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484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484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484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484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484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484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484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484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484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484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484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484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484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484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484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484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484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484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484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484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484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484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484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484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484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484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484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484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484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484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484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484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484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484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484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484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484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Heat_HLI"/>
        <filter val="D_Heat_HLR"/>
        <filter val="HLR_Heatpump_Aerial"/>
        <filter val="HLR_Heatpump_Ground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 filterMode="1"/>
  <dimension ref="A1:S288"/>
  <sheetViews>
    <sheetView zoomScaleNormal="100" zoomScalePageLayoutView="90" workbookViewId="0">
      <selection activeCell="B280" sqref="B280"/>
    </sheetView>
  </sheetViews>
  <sheetFormatPr defaultColWidth="11.42578125" defaultRowHeight="15"/>
  <cols>
    <col min="1" max="1" width="17" customWidth="1"/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 hidden="1">
      <c r="A6" t="s">
        <v>484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 hidden="1">
      <c r="A7" t="s">
        <v>484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484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484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 hidden="1">
      <c r="A10" t="s">
        <v>484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 hidden="1">
      <c r="A11" t="s">
        <v>484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 hidden="1">
      <c r="A12" t="s">
        <v>484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 hidden="1">
      <c r="A13" t="s">
        <v>484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484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484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484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hidden="1">
      <c r="A17" t="s">
        <v>484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hidden="1">
      <c r="A18" t="s">
        <v>484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hidden="1">
      <c r="A19" t="s">
        <v>484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hidden="1">
      <c r="A20" t="s">
        <v>484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hidden="1">
      <c r="A21" t="s">
        <v>484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hidden="1">
      <c r="A22" t="s">
        <v>484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hidden="1">
      <c r="A23" t="s">
        <v>484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hidden="1">
      <c r="A24" t="s">
        <v>484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hidden="1">
      <c r="A25" t="s">
        <v>484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hidden="1">
      <c r="A26" t="s">
        <v>484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hidden="1">
      <c r="A27" t="s">
        <v>484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hidden="1">
      <c r="A28" t="s">
        <v>484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hidden="1">
      <c r="A29" t="s">
        <v>484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hidden="1">
      <c r="A30" t="s">
        <v>484</v>
      </c>
      <c r="B30" t="s">
        <v>494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hidden="1">
      <c r="A31" t="s">
        <v>484</v>
      </c>
      <c r="B31" t="s">
        <v>495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hidden="1">
      <c r="A32" t="s">
        <v>484</v>
      </c>
      <c r="B32" t="s">
        <v>495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484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484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484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484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484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484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hidden="1">
      <c r="A39" t="s">
        <v>484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hidden="1">
      <c r="A40" t="s">
        <v>484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hidden="1">
      <c r="A41" t="s">
        <v>484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hidden="1">
      <c r="A42" t="s">
        <v>484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hidden="1">
      <c r="A43" t="s">
        <v>484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hidden="1">
      <c r="A44" t="s">
        <v>484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hidden="1">
      <c r="A45" t="s">
        <v>484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hidden="1">
      <c r="A46" t="s">
        <v>484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hidden="1">
      <c r="A47" t="s">
        <v>484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hidden="1">
      <c r="A48" t="s">
        <v>484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hidden="1">
      <c r="A49" t="s">
        <v>484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hidden="1">
      <c r="A50" t="s">
        <v>484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hidden="1">
      <c r="A51" t="s">
        <v>484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hidden="1">
      <c r="A52" t="s">
        <v>484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hidden="1">
      <c r="A53" t="s">
        <v>484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hidden="1">
      <c r="A54" t="s">
        <v>484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hidden="1">
      <c r="A55" t="s">
        <v>484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hidden="1">
      <c r="A56" t="s">
        <v>484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hidden="1">
      <c r="A57" t="s">
        <v>484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hidden="1">
      <c r="A58" t="s">
        <v>484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hidden="1">
      <c r="A59" t="s">
        <v>484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484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484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484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484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484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484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484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484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484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484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484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484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484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484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484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484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484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hidden="1">
      <c r="A77" t="s">
        <v>484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hidden="1">
      <c r="A78" t="s">
        <v>484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484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484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 hidden="1">
      <c r="A81" t="s">
        <v>484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 hidden="1">
      <c r="A82" t="s">
        <v>484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hidden="1">
      <c r="A83" t="s">
        <v>484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hidden="1">
      <c r="A84" t="s">
        <v>484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hidden="1">
      <c r="A85" t="s">
        <v>484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hidden="1">
      <c r="A86" t="s">
        <v>484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hidden="1">
      <c r="A87" t="s">
        <v>484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484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484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hidden="1">
      <c r="A90" t="s">
        <v>484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484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484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hidden="1">
      <c r="A93" t="s">
        <v>484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hidden="1">
      <c r="A94" t="s">
        <v>484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hidden="1">
      <c r="A95" t="s">
        <v>484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484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 hidden="1">
      <c r="A97" t="s">
        <v>484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484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 hidden="1">
      <c r="A99" t="s">
        <v>484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 hidden="1">
      <c r="A101" t="s">
        <v>484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hidden="1">
      <c r="A102" t="s">
        <v>484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hidden="1">
      <c r="A103" t="s">
        <v>484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hidden="1">
      <c r="A104" t="s">
        <v>484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hidden="1">
      <c r="A105" t="s">
        <v>484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hidden="1">
      <c r="A106" t="s">
        <v>484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484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 hidden="1">
      <c r="A108" t="s">
        <v>484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484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 hidden="1">
      <c r="A110" t="s">
        <v>484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hidden="1">
      <c r="A111" t="s">
        <v>484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hidden="1">
      <c r="A112" t="s">
        <v>484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hidden="1">
      <c r="A113" t="s">
        <v>484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hidden="1">
      <c r="A114" t="s">
        <v>484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hidden="1">
      <c r="A115" t="s">
        <v>484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hidden="1">
      <c r="A116" t="s">
        <v>484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hidden="1">
      <c r="A117" t="s">
        <v>484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hidden="1">
      <c r="A118" t="s">
        <v>484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hidden="1">
      <c r="A119" t="s">
        <v>484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484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 hidden="1">
      <c r="A121" t="s">
        <v>484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484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 hidden="1">
      <c r="A123" t="s">
        <v>484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484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 hidden="1">
      <c r="A125" t="s">
        <v>484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hidden="1">
      <c r="A126" t="s">
        <v>484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484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 hidden="1">
      <c r="A128" t="s">
        <v>484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hidden="1">
      <c r="A129" t="s">
        <v>484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hidden="1">
      <c r="A130" t="s">
        <v>484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484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 hidden="1">
      <c r="A132" t="s">
        <v>484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484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 hidden="1">
      <c r="A134" t="s">
        <v>484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hidden="1">
      <c r="A135" t="s">
        <v>484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484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484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 hidden="1">
      <c r="A138" t="s">
        <v>484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 hidden="1">
      <c r="A139" t="s">
        <v>484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hidden="1">
      <c r="A140" t="s">
        <v>484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hidden="1">
      <c r="A141" t="s">
        <v>484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484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 hidden="1">
      <c r="A143" t="s">
        <v>484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hidden="1">
      <c r="A144" t="s">
        <v>484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hidden="1">
      <c r="A145" t="s">
        <v>484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hidden="1">
      <c r="A146" t="s">
        <v>484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hidden="1">
      <c r="A147" t="s">
        <v>484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hidden="1">
      <c r="A148" t="s">
        <v>484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hidden="1">
      <c r="A149" t="s">
        <v>484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hidden="1">
      <c r="A150" t="s">
        <v>484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hidden="1">
      <c r="A151" t="s">
        <v>484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hidden="1">
      <c r="A152" t="s">
        <v>484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hidden="1">
      <c r="A153" t="s">
        <v>484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hidden="1">
      <c r="A154" t="s">
        <v>484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hidden="1">
      <c r="A155" t="s">
        <v>484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hidden="1">
      <c r="A156" t="s">
        <v>484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hidden="1">
      <c r="A157" t="s">
        <v>484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hidden="1">
      <c r="A158" t="s">
        <v>484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hidden="1">
      <c r="A159" t="s">
        <v>484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hidden="1">
      <c r="A160" t="s">
        <v>484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hidden="1">
      <c r="A161" t="s">
        <v>484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hidden="1">
      <c r="A162" t="s">
        <v>484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hidden="1">
      <c r="A163" t="s">
        <v>484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hidden="1">
      <c r="A164" t="s">
        <v>484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hidden="1">
      <c r="A165" t="s">
        <v>484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hidden="1">
      <c r="A166" t="s">
        <v>484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hidden="1">
      <c r="A167" t="s">
        <v>484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hidden="1">
      <c r="A168" t="s">
        <v>484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hidden="1">
      <c r="A169" t="s">
        <v>484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hidden="1">
      <c r="A170" t="s">
        <v>484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hidden="1">
      <c r="A171" t="s">
        <v>484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hidden="1">
      <c r="A172" t="s">
        <v>484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hidden="1">
      <c r="A173" t="s">
        <v>484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hidden="1">
      <c r="A174" t="s">
        <v>484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hidden="1">
      <c r="A175" t="s">
        <v>484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484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484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484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484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484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484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484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 hidden="1">
      <c r="A183" s="11" t="s">
        <v>484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 hidden="1">
      <c r="A184" t="s">
        <v>484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484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484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484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hidden="1">
      <c r="A188" t="s">
        <v>484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hidden="1">
      <c r="A189" t="s">
        <v>484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hidden="1">
      <c r="A190" t="s">
        <v>484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hidden="1">
      <c r="A191" t="s">
        <v>484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hidden="1">
      <c r="A192" t="s">
        <v>484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hidden="1">
      <c r="A193" t="s">
        <v>484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484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484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hidden="1">
      <c r="A196" t="s">
        <v>484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hidden="1">
      <c r="A197" t="s">
        <v>484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hidden="1">
      <c r="A198" t="s">
        <v>484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hidden="1">
      <c r="A199" t="s">
        <v>484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hidden="1">
      <c r="A200" t="s">
        <v>484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hidden="1">
      <c r="A201" s="6" t="s">
        <v>484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hidden="1">
      <c r="A202" s="6" t="s">
        <v>484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hidden="1">
      <c r="A203" s="6" t="s">
        <v>484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hidden="1">
      <c r="A204" s="6" t="s">
        <v>484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hidden="1">
      <c r="A205" s="6" t="s">
        <v>484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hidden="1">
      <c r="A206" s="6" t="s">
        <v>484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hidden="1">
      <c r="A207" s="6" t="s">
        <v>484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hidden="1">
      <c r="A208" s="6" t="s">
        <v>484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hidden="1">
      <c r="A209" s="6" t="s">
        <v>484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hidden="1">
      <c r="A210" s="6" t="s">
        <v>484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hidden="1">
      <c r="A211" s="6" t="s">
        <v>484</v>
      </c>
      <c r="B211" s="2" t="s">
        <v>496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hidden="1">
      <c r="A212" t="s">
        <v>484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hidden="1">
      <c r="A213" t="s">
        <v>484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hidden="1">
      <c r="A214" t="s">
        <v>484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 hidden="1">
      <c r="A215" t="s">
        <v>484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 hidden="1">
      <c r="A216" t="s">
        <v>484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 hidden="1">
      <c r="A217" t="s">
        <v>484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 hidden="1">
      <c r="A218" t="s">
        <v>484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 hidden="1">
      <c r="A219" t="s">
        <v>484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 hidden="1">
      <c r="A220" t="s">
        <v>484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 hidden="1">
      <c r="A221" t="s">
        <v>484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 hidden="1">
      <c r="A222" t="s">
        <v>484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 hidden="1">
      <c r="A223" t="s">
        <v>484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 hidden="1">
      <c r="A224" t="s">
        <v>484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 hidden="1">
      <c r="A225" t="s">
        <v>484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 hidden="1">
      <c r="A226" t="s">
        <v>484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 hidden="1">
      <c r="A227" t="s">
        <v>484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 hidden="1">
      <c r="A228" t="s">
        <v>484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 hidden="1">
      <c r="A229" t="s">
        <v>484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 hidden="1">
      <c r="A230" t="s">
        <v>484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 hidden="1">
      <c r="A231" t="s">
        <v>484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 hidden="1">
      <c r="A232" s="11" t="s">
        <v>484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484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 hidden="1">
      <c r="A234" s="6" t="s">
        <v>484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 hidden="1">
      <c r="A235" t="s">
        <v>484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 hidden="1">
      <c r="A236" t="s">
        <v>484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 hidden="1">
      <c r="A237" t="s">
        <v>484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 hidden="1">
      <c r="A238" t="s">
        <v>484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484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484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484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484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484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484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484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484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484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484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484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484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484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484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484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484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484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484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484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484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484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484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484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 hidden="1">
      <c r="A262" t="s">
        <v>484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 hidden="1">
      <c r="A263" t="s">
        <v>484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 hidden="1">
      <c r="A264" t="s">
        <v>484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 hidden="1">
      <c r="A265" t="s">
        <v>484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 hidden="1">
      <c r="A266" t="s">
        <v>484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 hidden="1">
      <c r="A267" t="s">
        <v>484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 hidden="1">
      <c r="A268" t="s">
        <v>484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 hidden="1">
      <c r="A269" t="s">
        <v>484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 hidden="1">
      <c r="A270" t="s">
        <v>484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 hidden="1">
      <c r="A271" t="s">
        <v>484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 hidden="1">
      <c r="A272" t="s">
        <v>484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 hidden="1">
      <c r="A273" t="s">
        <v>484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 hidden="1">
      <c r="A274" t="s">
        <v>484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 hidden="1">
      <c r="A275" t="s">
        <v>484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484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484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 hidden="1">
      <c r="A278" t="s">
        <v>484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484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484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484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484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484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484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484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484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484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484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>
    <filterColumn colId="2">
      <filters>
        <filter val="Power"/>
        <filter val="Powerfuel"/>
      </filters>
    </filterColumn>
  </autoFilter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484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484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484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484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484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484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484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484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484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484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484</v>
      </c>
      <c r="B16" t="s">
        <v>496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484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484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484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484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484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484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484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484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484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484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484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484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484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484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484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484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484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484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484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484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484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484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484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484</v>
      </c>
      <c r="B40" t="s">
        <v>494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484</v>
      </c>
      <c r="B41" t="s">
        <v>495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484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484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484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484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484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484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484</v>
      </c>
      <c r="B12" t="s">
        <v>494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484</v>
      </c>
      <c r="B13" t="s">
        <v>495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484</v>
      </c>
      <c r="B14" t="s">
        <v>499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484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484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484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484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484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484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484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484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484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484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484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484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484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484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484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484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484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484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484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484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484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484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484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484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484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484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484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484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484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484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484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484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484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484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484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484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484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484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484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484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484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484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484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484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484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484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484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484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484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484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484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484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484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484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484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484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484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484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484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484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484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484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484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484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484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484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484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484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484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484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484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484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484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484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484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484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484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484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484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484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484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484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484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2578125" defaultRowHeight="15"/>
  <cols>
    <col min="1" max="1" width="11.42578125" style="5"/>
    <col min="2" max="2" width="24.140625" style="5" customWidth="1"/>
    <col min="3" max="3" width="11.42578125" style="5"/>
    <col min="4" max="9" width="15.5703125" style="5" customWidth="1"/>
    <col min="10" max="10" width="11.42578125" style="5"/>
    <col min="11" max="11" width="2" style="5" customWidth="1"/>
    <col min="12" max="12" width="23.42578125" style="5" customWidth="1"/>
    <col min="13" max="13" width="46.85546875" style="5" customWidth="1"/>
    <col min="14" max="14" width="26.140625" style="5" bestFit="1" customWidth="1"/>
    <col min="15" max="16384" width="11.425781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484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484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484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484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484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484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484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484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484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484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484</v>
      </c>
      <c r="B16" s="5" t="s">
        <v>496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484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484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484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484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484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484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484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484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484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484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484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484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484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484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484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484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484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484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484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484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484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484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484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G1120"/>
  <sheetViews>
    <sheetView zoomScale="85" zoomScaleNormal="85" zoomScalePageLayoutView="90" workbookViewId="0">
      <selection activeCell="L35" sqref="L35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2" bestFit="1" customWidth="1"/>
    <col min="12" max="12" width="13" bestFit="1" customWidth="1"/>
    <col min="13" max="13" width="17.42578125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5" customHeight="1">
      <c r="A6" s="49" t="s">
        <v>479</v>
      </c>
      <c r="B6" s="49" t="s">
        <v>93</v>
      </c>
      <c r="C6" s="49">
        <f>0.00386</f>
        <v>3.8600000000000001E-3</v>
      </c>
      <c r="D6" s="49">
        <v>3.8999999999999998E-3</v>
      </c>
      <c r="E6" s="33">
        <v>3.8999999999999998E-3</v>
      </c>
      <c r="F6" s="33">
        <v>3.8999999999999998E-3</v>
      </c>
      <c r="G6" s="33">
        <v>3.8999999999999998E-3</v>
      </c>
      <c r="H6" s="33">
        <v>3.8999999999999998E-3</v>
      </c>
      <c r="I6" s="33">
        <v>0</v>
      </c>
      <c r="J6" s="33">
        <v>0</v>
      </c>
    </row>
    <row r="7" spans="1:10" ht="14.45" customHeight="1">
      <c r="A7" s="49" t="s">
        <v>479</v>
      </c>
      <c r="B7" s="49" t="s">
        <v>90</v>
      </c>
      <c r="C7" s="49">
        <f>0.00222</f>
        <v>2.2200000000000002E-3</v>
      </c>
      <c r="D7" s="49">
        <v>2.1299999999999999E-3</v>
      </c>
      <c r="E7" s="33">
        <v>2.1299999999999999E-3</v>
      </c>
      <c r="F7" s="33">
        <v>2.1299999999999999E-3</v>
      </c>
      <c r="G7" s="33">
        <v>2.1299999999999999E-3</v>
      </c>
      <c r="H7" s="33">
        <v>2.1299999999999999E-3</v>
      </c>
      <c r="I7" s="33">
        <v>0</v>
      </c>
      <c r="J7" s="33">
        <v>0</v>
      </c>
    </row>
    <row r="8" spans="1:10" ht="14.45" customHeight="1">
      <c r="A8" s="49" t="s">
        <v>479</v>
      </c>
      <c r="B8" s="49" t="s">
        <v>56</v>
      </c>
      <c r="C8" s="49">
        <v>7.1000000000000004E-3</v>
      </c>
      <c r="D8" s="49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</row>
    <row r="9" spans="1:10" ht="14.45" customHeight="1">
      <c r="A9" s="49" t="s">
        <v>480</v>
      </c>
      <c r="B9" s="49" t="s">
        <v>93</v>
      </c>
      <c r="C9" s="49">
        <v>3.5999999999999999E-3</v>
      </c>
      <c r="D9" s="49">
        <v>8.8999999999999999E-3</v>
      </c>
      <c r="E9" s="33">
        <v>8.8999999999999999E-3</v>
      </c>
      <c r="F9" s="33">
        <v>8.8999999999999999E-3</v>
      </c>
      <c r="G9" s="33">
        <v>8.8999999999999999E-3</v>
      </c>
      <c r="H9" s="33">
        <v>0</v>
      </c>
      <c r="I9" s="33">
        <v>0</v>
      </c>
      <c r="J9" s="33">
        <v>0</v>
      </c>
    </row>
    <row r="10" spans="1:10" ht="14.45" customHeight="1">
      <c r="A10" s="49" t="s">
        <v>480</v>
      </c>
      <c r="B10" s="49" t="s">
        <v>90</v>
      </c>
      <c r="C10" s="49">
        <v>0</v>
      </c>
      <c r="D10" s="49">
        <v>2.5699999999999998E-3</v>
      </c>
      <c r="E10" s="33">
        <v>2.5699999999999998E-3</v>
      </c>
      <c r="F10" s="33">
        <v>2.5699999999999998E-3</v>
      </c>
      <c r="G10" s="33">
        <v>2.5699999999999998E-3</v>
      </c>
      <c r="H10" s="33">
        <v>0</v>
      </c>
      <c r="I10" s="33">
        <v>0</v>
      </c>
      <c r="J10" s="33">
        <v>0</v>
      </c>
    </row>
    <row r="11" spans="1:10" ht="14.45" customHeight="1">
      <c r="A11" s="49" t="s">
        <v>481</v>
      </c>
      <c r="B11" s="49" t="s">
        <v>93</v>
      </c>
      <c r="C11" s="49">
        <v>1.9300000000000001E-3</v>
      </c>
      <c r="D11" s="49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</row>
    <row r="12" spans="1:10" ht="14.45" customHeight="1">
      <c r="A12" s="49" t="s">
        <v>481</v>
      </c>
      <c r="B12" s="49" t="s">
        <v>90</v>
      </c>
      <c r="C12" s="49">
        <v>0</v>
      </c>
      <c r="D12" s="49">
        <v>2.8600000000000001E-3</v>
      </c>
      <c r="E12" s="33">
        <v>2.8600000000000001E-3</v>
      </c>
      <c r="F12" s="33">
        <v>2.8600000000000001E-3</v>
      </c>
      <c r="G12" s="33">
        <v>2.8600000000000001E-3</v>
      </c>
      <c r="H12" s="33">
        <v>0</v>
      </c>
      <c r="I12" s="33">
        <v>0</v>
      </c>
      <c r="J12" s="33">
        <v>0</v>
      </c>
    </row>
    <row r="13" spans="1:10" ht="14.45" customHeight="1">
      <c r="A13" s="49" t="s">
        <v>481</v>
      </c>
      <c r="B13" s="49" t="s">
        <v>56</v>
      </c>
      <c r="C13" s="49">
        <v>1.5E-3</v>
      </c>
      <c r="D13" s="49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4.45" customHeight="1">
      <c r="A14" s="49" t="s">
        <v>487</v>
      </c>
      <c r="B14" s="49" t="s">
        <v>93</v>
      </c>
      <c r="C14" s="49">
        <v>0</v>
      </c>
      <c r="D14" s="49">
        <v>1.6E-2</v>
      </c>
      <c r="E14" s="33">
        <v>1.6E-2</v>
      </c>
      <c r="F14" s="33">
        <v>1.6E-2</v>
      </c>
      <c r="G14" s="33">
        <v>1.6E-2</v>
      </c>
      <c r="H14" s="33">
        <v>0</v>
      </c>
      <c r="I14" s="33">
        <v>0</v>
      </c>
      <c r="J14" s="33">
        <v>0</v>
      </c>
    </row>
    <row r="15" spans="1:10" ht="14.45" customHeight="1">
      <c r="A15" s="49" t="s">
        <v>487</v>
      </c>
      <c r="B15" s="49" t="s">
        <v>90</v>
      </c>
      <c r="C15" s="53">
        <v>6.0099999999999997E-3</v>
      </c>
      <c r="D15" s="49">
        <v>7.8399999999999997E-3</v>
      </c>
      <c r="E15" s="33">
        <v>7.8399999999999997E-3</v>
      </c>
      <c r="F15" s="33">
        <v>7.8399999999999997E-3</v>
      </c>
      <c r="G15" s="33">
        <v>7.8399999999999997E-3</v>
      </c>
      <c r="H15" s="33">
        <v>0</v>
      </c>
      <c r="I15" s="33">
        <v>0</v>
      </c>
      <c r="J15" s="33">
        <v>0</v>
      </c>
    </row>
    <row r="16" spans="1:10" ht="14.45" customHeight="1">
      <c r="A16" s="49" t="s">
        <v>487</v>
      </c>
      <c r="B16" s="49" t="s">
        <v>99</v>
      </c>
      <c r="C16" s="49">
        <v>2.3999999999999998E-3</v>
      </c>
      <c r="D16" s="49">
        <v>2.3999999999999998E-3</v>
      </c>
      <c r="E16" s="33">
        <v>2.3999999999999998E-3</v>
      </c>
      <c r="F16" s="33">
        <v>2.3999999999999998E-3</v>
      </c>
      <c r="G16" s="33">
        <v>2.3999999999999998E-3</v>
      </c>
      <c r="H16" s="33">
        <v>2.3999999999999998E-3</v>
      </c>
      <c r="I16" s="33">
        <v>2.3999999999999998E-3</v>
      </c>
      <c r="J16" s="33">
        <v>2.3999999999999998E-3</v>
      </c>
    </row>
    <row r="17" spans="1:10" ht="14.45" customHeight="1">
      <c r="A17" s="49" t="s">
        <v>487</v>
      </c>
      <c r="B17" s="49" t="s">
        <v>158</v>
      </c>
      <c r="C17" s="49">
        <v>2.1199999999999999E-3</v>
      </c>
      <c r="D17" s="49">
        <v>1.4E-3</v>
      </c>
      <c r="E17" s="33">
        <v>1.4E-3</v>
      </c>
      <c r="F17" s="33">
        <v>1.4E-3</v>
      </c>
      <c r="G17" s="33">
        <v>1.4E-3</v>
      </c>
      <c r="H17" s="33">
        <v>1.4E-3</v>
      </c>
      <c r="I17" s="33">
        <v>1.4E-3</v>
      </c>
      <c r="J17" s="33">
        <v>0</v>
      </c>
    </row>
    <row r="18" spans="1:10" ht="14.45" customHeight="1">
      <c r="A18" s="49" t="s">
        <v>486</v>
      </c>
      <c r="B18" s="49" t="s">
        <v>93</v>
      </c>
      <c r="C18" s="49">
        <v>5.7800000000000004E-3</v>
      </c>
      <c r="D18" s="49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</row>
    <row r="19" spans="1:10" ht="14.45" customHeight="1">
      <c r="A19" s="49" t="s">
        <v>486</v>
      </c>
      <c r="B19" s="49" t="s">
        <v>90</v>
      </c>
      <c r="C19" s="49">
        <v>6.4000000000000003E-3</v>
      </c>
      <c r="D19" s="49">
        <v>6.3699999999999998E-3</v>
      </c>
      <c r="E19" s="33">
        <v>6.3699999999999998E-3</v>
      </c>
      <c r="F19" s="33">
        <v>6.3699999999999998E-3</v>
      </c>
      <c r="G19" s="33">
        <v>6.3699999999999998E-3</v>
      </c>
      <c r="H19" s="33">
        <v>0</v>
      </c>
      <c r="I19" s="33">
        <v>0</v>
      </c>
      <c r="J19" s="33">
        <v>0</v>
      </c>
    </row>
    <row r="20" spans="1:10" ht="14.45" customHeight="1">
      <c r="A20" s="49" t="s">
        <v>486</v>
      </c>
      <c r="B20" s="49" t="s">
        <v>99</v>
      </c>
      <c r="C20" s="49">
        <v>7.9699999999999997E-3</v>
      </c>
      <c r="D20" s="49">
        <v>7.9699999999999997E-3</v>
      </c>
      <c r="E20" s="33">
        <v>7.9699999999999997E-3</v>
      </c>
      <c r="F20" s="33">
        <v>7.9699999999999997E-3</v>
      </c>
      <c r="G20" s="33">
        <v>7.9699999999999997E-3</v>
      </c>
      <c r="H20" s="33">
        <v>7.9699999999999997E-3</v>
      </c>
      <c r="I20" s="33">
        <v>7.9699999999999997E-3</v>
      </c>
      <c r="J20" s="33">
        <v>0</v>
      </c>
    </row>
    <row r="21" spans="1:10" ht="14.45" customHeight="1">
      <c r="A21" s="49" t="s">
        <v>486</v>
      </c>
      <c r="B21" s="49" t="s">
        <v>101</v>
      </c>
      <c r="C21" s="49">
        <v>1.4500000000000001E-2</v>
      </c>
      <c r="D21" s="49">
        <v>1.4500000000000001E-2</v>
      </c>
      <c r="E21" s="33">
        <v>1.4500000000000001E-2</v>
      </c>
      <c r="F21" s="33">
        <v>1.4500000000000001E-2</v>
      </c>
      <c r="G21" s="33">
        <v>1.4500000000000001E-2</v>
      </c>
      <c r="H21" s="33">
        <v>1.4500000000000001E-2</v>
      </c>
      <c r="I21" s="33">
        <v>0</v>
      </c>
      <c r="J21" s="33">
        <v>0</v>
      </c>
    </row>
    <row r="22" spans="1:10" ht="14.45" customHeight="1">
      <c r="A22" s="49" t="s">
        <v>486</v>
      </c>
      <c r="B22" s="49" t="s">
        <v>158</v>
      </c>
      <c r="C22" s="49">
        <v>7.7999999999999999E-4</v>
      </c>
      <c r="D22" s="49">
        <v>7.7999999999999999E-4</v>
      </c>
      <c r="E22" s="33">
        <v>7.7999999999999999E-4</v>
      </c>
      <c r="F22" s="33">
        <v>7.7999999999999999E-4</v>
      </c>
      <c r="G22" s="33">
        <v>7.7999999999999999E-4</v>
      </c>
      <c r="H22" s="33">
        <v>7.7999999999999999E-4</v>
      </c>
      <c r="I22" s="33">
        <v>0</v>
      </c>
      <c r="J22" s="33">
        <v>0</v>
      </c>
    </row>
    <row r="23" spans="1:10" ht="14.45" customHeight="1">
      <c r="A23" s="49" t="s">
        <v>483</v>
      </c>
      <c r="B23" s="49" t="s">
        <v>93</v>
      </c>
      <c r="C23" s="49">
        <v>0</v>
      </c>
      <c r="D23" s="49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 ht="14.45" customHeight="1">
      <c r="A24" s="49" t="s">
        <v>483</v>
      </c>
      <c r="B24" s="49" t="s">
        <v>90</v>
      </c>
      <c r="C24" s="49">
        <v>2.1940000000000001E-2</v>
      </c>
      <c r="D24" s="49">
        <v>2.5649999999999999E-2</v>
      </c>
      <c r="E24" s="33">
        <v>2.5649999999999999E-2</v>
      </c>
      <c r="F24" s="33">
        <v>2.5649999999999999E-2</v>
      </c>
      <c r="G24" s="33">
        <v>2.5649999999999999E-2</v>
      </c>
      <c r="H24" s="33">
        <v>0</v>
      </c>
      <c r="I24" s="33">
        <v>0</v>
      </c>
      <c r="J24" s="33"/>
    </row>
    <row r="25" spans="1:10" ht="14.45" customHeight="1">
      <c r="A25" s="49" t="s">
        <v>483</v>
      </c>
      <c r="B25" s="49" t="s">
        <v>56</v>
      </c>
      <c r="C25" s="49">
        <v>0.3276</v>
      </c>
      <c r="D25" s="49">
        <v>0.30120000000000002</v>
      </c>
      <c r="E25" s="33">
        <v>0.251</v>
      </c>
      <c r="F25" s="33">
        <v>0.251</v>
      </c>
      <c r="G25" s="33">
        <v>0.21099999999999999</v>
      </c>
      <c r="H25" s="33">
        <v>0.21099999999999999</v>
      </c>
      <c r="I25" s="33">
        <v>0</v>
      </c>
      <c r="J25" s="33">
        <v>0</v>
      </c>
    </row>
    <row r="26" spans="1:10" ht="14.45" customHeight="1">
      <c r="A26" s="49" t="s">
        <v>483</v>
      </c>
      <c r="B26" s="49" t="s">
        <v>158</v>
      </c>
      <c r="C26" s="49">
        <v>2.2599999999999999E-3</v>
      </c>
      <c r="D26" s="53">
        <v>2.3E-3</v>
      </c>
      <c r="E26" s="61">
        <v>2.3E-3</v>
      </c>
      <c r="F26" s="61">
        <v>2.3E-3</v>
      </c>
      <c r="G26" s="61">
        <v>2.3E-3</v>
      </c>
      <c r="H26" s="33">
        <v>0</v>
      </c>
      <c r="I26" s="33">
        <v>0</v>
      </c>
      <c r="J26" s="33">
        <v>0</v>
      </c>
    </row>
    <row r="27" spans="1:10" ht="14.45" customHeight="1">
      <c r="A27" s="49" t="s">
        <v>484</v>
      </c>
      <c r="B27" s="49" t="s">
        <v>99</v>
      </c>
      <c r="C27" s="49">
        <v>2.0000000000000001E-4</v>
      </c>
      <c r="D27" s="49">
        <v>2.0000000000000001E-4</v>
      </c>
      <c r="E27" s="33">
        <v>2.0000000000000001E-4</v>
      </c>
      <c r="F27" s="33">
        <v>2.0000000000000001E-4</v>
      </c>
      <c r="G27" s="33">
        <v>2.0000000000000001E-4</v>
      </c>
      <c r="H27" s="33">
        <v>2.0000000000000001E-4</v>
      </c>
      <c r="I27" s="33">
        <v>2.0000000000000001E-4</v>
      </c>
      <c r="J27" s="33">
        <v>2.0000000000000001E-4</v>
      </c>
    </row>
    <row r="28" spans="1:10" ht="14.45" customHeight="1">
      <c r="A28" s="49" t="s">
        <v>484</v>
      </c>
      <c r="B28" s="49" t="s">
        <v>93</v>
      </c>
      <c r="C28" s="49">
        <v>6.77E-3</v>
      </c>
      <c r="D28" s="49">
        <v>1.34E-2</v>
      </c>
      <c r="E28" s="33">
        <v>1.34E-2</v>
      </c>
      <c r="F28" s="33">
        <v>1.34E-2</v>
      </c>
      <c r="G28" s="33">
        <v>0</v>
      </c>
      <c r="H28" s="33">
        <v>0</v>
      </c>
      <c r="I28" s="33">
        <v>0</v>
      </c>
      <c r="J28" s="33">
        <v>0</v>
      </c>
    </row>
    <row r="29" spans="1:10" ht="14.45" customHeight="1">
      <c r="A29" s="49" t="s">
        <v>484</v>
      </c>
      <c r="B29" s="49" t="s">
        <v>90</v>
      </c>
      <c r="C29" s="49">
        <v>2.445E-2</v>
      </c>
      <c r="D29" s="49">
        <v>2.4639999999999999E-2</v>
      </c>
      <c r="E29" s="33">
        <v>2.4639999999999999E-2</v>
      </c>
      <c r="F29" s="33">
        <v>2.4639999999999999E-2</v>
      </c>
      <c r="G29" s="33">
        <v>0</v>
      </c>
      <c r="H29" s="33">
        <v>0</v>
      </c>
      <c r="I29" s="33">
        <v>0</v>
      </c>
      <c r="J29" s="33">
        <v>0</v>
      </c>
    </row>
    <row r="30" spans="1:10" ht="14.45" customHeight="1">
      <c r="A30" s="49" t="s">
        <v>484</v>
      </c>
      <c r="B30" s="49" t="s">
        <v>103</v>
      </c>
      <c r="C30" s="42">
        <v>5.1700000000000003E-2</v>
      </c>
      <c r="D30" s="42">
        <v>5.1700000000000003E-2</v>
      </c>
      <c r="E30" s="33">
        <v>5.1700000000000003E-2</v>
      </c>
      <c r="F30" s="33">
        <v>5.1700000000000003E-2</v>
      </c>
      <c r="G30" s="33">
        <v>5.1700000000000003E-2</v>
      </c>
      <c r="H30" s="33">
        <v>0</v>
      </c>
      <c r="I30" s="33">
        <v>0</v>
      </c>
      <c r="J30" s="33">
        <v>0</v>
      </c>
    </row>
    <row r="31" spans="1:10" ht="14.45" customHeight="1">
      <c r="A31" s="49" t="s">
        <v>484</v>
      </c>
      <c r="B31" s="49" t="s">
        <v>158</v>
      </c>
      <c r="C31" s="42">
        <v>4.1300000000000003E-2</v>
      </c>
      <c r="D31" s="42">
        <v>4.1300000000000003E-2</v>
      </c>
      <c r="E31" s="33">
        <v>4.1300000000000003E-2</v>
      </c>
      <c r="F31" s="33">
        <v>4.1300000000000003E-2</v>
      </c>
      <c r="G31" s="33">
        <v>4.1300000000000003E-2</v>
      </c>
      <c r="H31" s="33">
        <v>0</v>
      </c>
      <c r="I31" s="33">
        <v>0</v>
      </c>
      <c r="J31" s="33">
        <v>0</v>
      </c>
    </row>
    <row r="32" spans="1:10" ht="14.45" customHeight="1">
      <c r="A32" s="49" t="s">
        <v>485</v>
      </c>
      <c r="B32" s="49" t="s">
        <v>93</v>
      </c>
      <c r="C32" s="49">
        <v>4.3400000000000001E-3</v>
      </c>
      <c r="D32" s="49">
        <v>9.9000000000000008E-3</v>
      </c>
      <c r="E32" s="33">
        <v>9.9000000000000008E-3</v>
      </c>
      <c r="F32" s="33">
        <v>9.9000000000000008E-3</v>
      </c>
      <c r="G32" s="33">
        <v>0</v>
      </c>
      <c r="H32" s="33">
        <v>0</v>
      </c>
      <c r="I32" s="33">
        <v>0</v>
      </c>
      <c r="J32" s="33">
        <v>0</v>
      </c>
    </row>
    <row r="33" spans="1:14" ht="14.45" customHeight="1">
      <c r="A33" s="49" t="s">
        <v>485</v>
      </c>
      <c r="B33" s="49" t="s">
        <v>90</v>
      </c>
      <c r="C33" s="49">
        <v>9.3900000000000008E-3</v>
      </c>
      <c r="D33" s="49">
        <v>1.511E-2</v>
      </c>
      <c r="E33" s="33">
        <v>1.511E-2</v>
      </c>
      <c r="F33" s="33">
        <v>1.511E-2</v>
      </c>
      <c r="G33" s="33">
        <v>1.511E-2</v>
      </c>
      <c r="H33" s="33">
        <f>0.01</f>
        <v>0.01</v>
      </c>
      <c r="I33" s="33">
        <v>0</v>
      </c>
      <c r="J33" s="33">
        <v>0</v>
      </c>
    </row>
    <row r="34" spans="1:14" ht="14.45" customHeight="1">
      <c r="A34" s="49" t="s">
        <v>479</v>
      </c>
      <c r="B34" s="49" t="s">
        <v>229</v>
      </c>
      <c r="C34" s="49">
        <v>1.6492574085014285E-3</v>
      </c>
      <c r="D34" s="49">
        <v>1.6492574085014285E-3</v>
      </c>
      <c r="E34" s="33">
        <f>D34*0.8</f>
        <v>1.3194059268011428E-3</v>
      </c>
      <c r="F34" s="33">
        <f>D34*0.4</f>
        <v>6.5970296340057142E-4</v>
      </c>
      <c r="G34" s="33">
        <f>D34*0.1</f>
        <v>1.6492574085014285E-4</v>
      </c>
      <c r="H34" s="33">
        <v>0</v>
      </c>
      <c r="I34" s="33">
        <v>0</v>
      </c>
      <c r="J34" s="33">
        <v>0</v>
      </c>
      <c r="N34" s="47"/>
    </row>
    <row r="35" spans="1:14" ht="14.45" customHeight="1">
      <c r="A35" s="49" t="s">
        <v>480</v>
      </c>
      <c r="B35" s="49" t="s">
        <v>229</v>
      </c>
      <c r="C35" s="49">
        <v>2.2165524251281505E-4</v>
      </c>
      <c r="D35" s="49">
        <v>2.2165524251281505E-4</v>
      </c>
      <c r="E35" s="33">
        <f>D35*0.8</f>
        <v>1.7732419401025206E-4</v>
      </c>
      <c r="F35" s="33">
        <f>D35*0.4</f>
        <v>8.8662097005126031E-5</v>
      </c>
      <c r="G35" s="33">
        <f>D35*0.1</f>
        <v>2.2165524251281508E-5</v>
      </c>
      <c r="H35" s="33">
        <v>0</v>
      </c>
      <c r="I35" s="33">
        <v>0</v>
      </c>
      <c r="J35" s="33">
        <v>0</v>
      </c>
      <c r="N35" s="47"/>
    </row>
    <row r="36" spans="1:14" ht="14.45" customHeight="1">
      <c r="A36" s="49" t="s">
        <v>481</v>
      </c>
      <c r="B36" s="49" t="s">
        <v>229</v>
      </c>
      <c r="C36" s="49">
        <v>3.9269507699372333E-4</v>
      </c>
      <c r="D36" s="49">
        <v>3.9269507699372333E-4</v>
      </c>
      <c r="E36" s="33">
        <f t="shared" ref="E36:E41" si="0">D36*0.8</f>
        <v>3.1415606159497869E-4</v>
      </c>
      <c r="F36" s="33">
        <f t="shared" ref="F36:F38" si="1">D36*0.4</f>
        <v>1.5707803079748934E-4</v>
      </c>
      <c r="G36" s="33">
        <f t="shared" ref="G36:G38" si="2">D36*0.1</f>
        <v>3.9269507699372336E-5</v>
      </c>
      <c r="H36" s="33">
        <v>0</v>
      </c>
      <c r="I36" s="33">
        <v>0</v>
      </c>
      <c r="J36" s="33">
        <v>0</v>
      </c>
      <c r="N36" s="47"/>
    </row>
    <row r="37" spans="1:14" ht="14.45" customHeight="1">
      <c r="A37" s="49" t="s">
        <v>486</v>
      </c>
      <c r="B37" s="49" t="s">
        <v>229</v>
      </c>
      <c r="C37" s="49">
        <v>1.1980218198328814E-2</v>
      </c>
      <c r="D37" s="49">
        <v>1.1980218198328814E-2</v>
      </c>
      <c r="E37" s="33">
        <f t="shared" si="0"/>
        <v>9.5841745586630524E-3</v>
      </c>
      <c r="F37" s="33">
        <f t="shared" ref="F37" si="3">D37*0.4</f>
        <v>4.7920872793315262E-3</v>
      </c>
      <c r="G37" s="33">
        <f t="shared" ref="G37" si="4">D37*0.1</f>
        <v>1.1980218198328816E-3</v>
      </c>
      <c r="H37" s="33">
        <v>0</v>
      </c>
      <c r="I37" s="33">
        <v>0</v>
      </c>
      <c r="J37" s="33">
        <v>0</v>
      </c>
      <c r="N37" s="47"/>
    </row>
    <row r="38" spans="1:14" ht="14.45" customHeight="1">
      <c r="A38" s="49" t="s">
        <v>487</v>
      </c>
      <c r="B38" s="49" t="s">
        <v>229</v>
      </c>
      <c r="C38" s="49">
        <v>1.1754848063483384E-2</v>
      </c>
      <c r="D38" s="49">
        <v>1.1754848063483384E-2</v>
      </c>
      <c r="E38" s="33">
        <f t="shared" si="0"/>
        <v>9.4038784507867075E-3</v>
      </c>
      <c r="F38" s="33">
        <f t="shared" si="1"/>
        <v>4.7019392253933538E-3</v>
      </c>
      <c r="G38" s="33">
        <f t="shared" si="2"/>
        <v>1.1754848063483384E-3</v>
      </c>
      <c r="H38" s="33">
        <v>0</v>
      </c>
      <c r="I38" s="33">
        <v>0</v>
      </c>
      <c r="J38" s="33">
        <v>0</v>
      </c>
      <c r="N38" s="47"/>
    </row>
    <row r="39" spans="1:14" ht="14.45" customHeight="1">
      <c r="A39" s="49" t="s">
        <v>483</v>
      </c>
      <c r="B39" s="49" t="s">
        <v>229</v>
      </c>
      <c r="C39" s="49">
        <v>1.5429960090705287E-2</v>
      </c>
      <c r="D39" s="49">
        <v>1.5429960090705287E-2</v>
      </c>
      <c r="E39" s="33">
        <f t="shared" si="0"/>
        <v>1.2343968072564229E-2</v>
      </c>
      <c r="F39" s="33">
        <f t="shared" ref="F39:F41" si="5">D39*0.4</f>
        <v>6.1719840362821146E-3</v>
      </c>
      <c r="G39" s="33">
        <f t="shared" ref="G39:G41" si="6">D39*0.1</f>
        <v>1.5429960090705287E-3</v>
      </c>
      <c r="H39" s="33">
        <v>0</v>
      </c>
      <c r="I39" s="33">
        <v>0</v>
      </c>
      <c r="J39" s="33">
        <v>0</v>
      </c>
      <c r="N39" s="47"/>
    </row>
    <row r="40" spans="1:14" ht="14.45" customHeight="1">
      <c r="A40" s="49" t="s">
        <v>484</v>
      </c>
      <c r="B40" s="49" t="s">
        <v>229</v>
      </c>
      <c r="C40" s="49">
        <v>8.8496474721963536E-3</v>
      </c>
      <c r="D40" s="49">
        <v>8.8496474721963536E-3</v>
      </c>
      <c r="E40" s="33">
        <f t="shared" si="0"/>
        <v>7.0797179777570829E-3</v>
      </c>
      <c r="F40" s="33">
        <f t="shared" si="5"/>
        <v>3.5398589888785414E-3</v>
      </c>
      <c r="G40" s="33">
        <f t="shared" si="6"/>
        <v>8.8496474721963536E-4</v>
      </c>
      <c r="H40" s="33">
        <v>0</v>
      </c>
      <c r="I40" s="33">
        <v>0</v>
      </c>
      <c r="J40" s="33">
        <v>0</v>
      </c>
      <c r="N40" s="47"/>
    </row>
    <row r="41" spans="1:14" ht="14.45" customHeight="1">
      <c r="A41" s="49" t="s">
        <v>485</v>
      </c>
      <c r="B41" s="49" t="s">
        <v>229</v>
      </c>
      <c r="C41" s="49">
        <v>9.7217184472781961E-3</v>
      </c>
      <c r="D41" s="49">
        <v>9.7217184472781961E-3</v>
      </c>
      <c r="E41" s="33">
        <f t="shared" si="0"/>
        <v>7.7773747578225574E-3</v>
      </c>
      <c r="F41" s="33">
        <f t="shared" si="5"/>
        <v>3.8886873789112787E-3</v>
      </c>
      <c r="G41" s="33">
        <f t="shared" si="6"/>
        <v>9.7217184472781968E-4</v>
      </c>
      <c r="H41" s="33">
        <v>0</v>
      </c>
      <c r="I41" s="33">
        <v>0</v>
      </c>
      <c r="J41" s="33">
        <v>0</v>
      </c>
      <c r="N41" s="47"/>
    </row>
    <row r="42" spans="1:14" ht="14.45" customHeight="1">
      <c r="A42" s="9"/>
    </row>
    <row r="43" spans="1:14" ht="14.45" customHeight="1"/>
    <row r="44" spans="1:14" ht="14.45" customHeight="1"/>
    <row r="45" spans="1:14" ht="14.45" customHeight="1"/>
    <row r="46" spans="1:14" ht="14.45" customHeight="1"/>
    <row r="47" spans="1:14" ht="14.45" customHeight="1">
      <c r="A47" s="9"/>
    </row>
    <row r="48" spans="1:14" ht="14.4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2" ht="14.4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L52" s="16"/>
    </row>
    <row r="53" spans="1:12" ht="14.4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2" ht="14.4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2" ht="14.4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5" customHeight="1">
      <c r="A57" s="38"/>
      <c r="B57" s="5"/>
      <c r="C57" s="5"/>
      <c r="D57" s="5"/>
      <c r="E57" s="5"/>
      <c r="F57" s="5"/>
      <c r="G57" s="5"/>
      <c r="H57" s="5"/>
      <c r="I57" s="5"/>
    </row>
    <row r="58" spans="1:12" ht="14.4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12" ht="14.4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12" ht="14.4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2" ht="14.4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2" ht="14.45" customHeight="1">
      <c r="A66" s="9"/>
    </row>
    <row r="67" spans="1:12" ht="14.45" customHeight="1">
      <c r="A67" s="9"/>
    </row>
    <row r="68" spans="1:12" ht="14.45" customHeight="1">
      <c r="A68" s="9"/>
    </row>
    <row r="69" spans="1:12" ht="14.45" customHeight="1">
      <c r="A69" s="29"/>
    </row>
    <row r="70" spans="1:12" ht="14.45" customHeight="1"/>
    <row r="71" spans="1:12" ht="14.45" customHeight="1"/>
    <row r="72" spans="1:12" ht="14.45" customHeight="1">
      <c r="A72" s="9"/>
    </row>
    <row r="73" spans="1:12" ht="14.45" customHeight="1">
      <c r="A73" s="9"/>
    </row>
    <row r="74" spans="1:12" ht="14.45" customHeight="1">
      <c r="A74" s="38"/>
      <c r="B74" s="5"/>
      <c r="C74" s="5"/>
      <c r="D74" s="5"/>
      <c r="E74" s="5"/>
      <c r="F74" s="5"/>
      <c r="G74" s="5"/>
      <c r="H74" s="5"/>
      <c r="I74" s="5"/>
      <c r="J74" s="5"/>
    </row>
    <row r="75" spans="1:12" ht="14.45" customHeight="1">
      <c r="A75" s="9"/>
    </row>
    <row r="76" spans="1:12" ht="14.45" customHeight="1">
      <c r="A76" s="9"/>
      <c r="L76" s="16"/>
    </row>
    <row r="77" spans="1:12" ht="14.45" customHeight="1">
      <c r="A77" s="9"/>
    </row>
    <row r="78" spans="1:12" ht="14.45" customHeight="1">
      <c r="A78" s="9"/>
    </row>
    <row r="79" spans="1:12" ht="14.45" customHeight="1">
      <c r="A79" s="17"/>
      <c r="B79" s="2"/>
    </row>
    <row r="80" spans="1:12" ht="14.45" customHeight="1"/>
    <row r="81" spans="1:10" ht="14.45" customHeight="1"/>
    <row r="82" spans="1:10" ht="14.45" customHeight="1"/>
    <row r="83" spans="1:10" ht="14.45" customHeight="1"/>
    <row r="84" spans="1:10" ht="14.45" customHeight="1">
      <c r="A84" s="9"/>
    </row>
    <row r="85" spans="1:10" ht="14.4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4.4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5" customHeight="1">
      <c r="A92" s="38"/>
      <c r="B92" s="5"/>
      <c r="C92" s="5"/>
      <c r="D92" s="5"/>
      <c r="E92" s="5"/>
      <c r="F92" s="5"/>
      <c r="G92" s="5"/>
      <c r="H92" s="5"/>
      <c r="I92" s="5"/>
      <c r="J92" s="5"/>
    </row>
    <row r="93" spans="1:10" ht="14.4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4.4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12" ht="14.4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12" ht="14.4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2" ht="14.4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16"/>
    </row>
    <row r="102" spans="1:12" ht="14.4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2" ht="14.45" customHeight="1">
      <c r="A103" s="38"/>
      <c r="B103" s="5"/>
      <c r="C103" s="5"/>
      <c r="D103" s="5"/>
      <c r="E103" s="5"/>
      <c r="F103" s="5"/>
      <c r="G103" s="5"/>
      <c r="H103" s="5"/>
      <c r="I103" s="5"/>
      <c r="J103" s="5"/>
    </row>
    <row r="104" spans="1:12" ht="14.45" customHeight="1">
      <c r="A104" s="9"/>
    </row>
    <row r="105" spans="1:12" ht="14.45" customHeight="1">
      <c r="A105" s="9"/>
    </row>
    <row r="106" spans="1:12" ht="14.45" customHeight="1">
      <c r="A106" s="9"/>
    </row>
    <row r="107" spans="1:12" ht="14.45" customHeight="1">
      <c r="A107" s="9"/>
    </row>
    <row r="108" spans="1:12" ht="14.45" customHeight="1"/>
    <row r="109" spans="1:12" ht="14.45" customHeight="1"/>
    <row r="110" spans="1:12" ht="14.45" customHeight="1">
      <c r="A110" s="9"/>
    </row>
    <row r="111" spans="1:12" ht="14.45" customHeight="1">
      <c r="A111" s="9"/>
    </row>
    <row r="112" spans="1:12" ht="14.4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.45" customHeight="1">
      <c r="A113" s="9"/>
    </row>
    <row r="114" spans="1:10" ht="14.45" customHeight="1">
      <c r="A114" s="9"/>
    </row>
    <row r="115" spans="1:10" ht="14.45" customHeight="1">
      <c r="A115" s="9"/>
    </row>
    <row r="116" spans="1:10" ht="14.45" customHeight="1">
      <c r="A116" s="9"/>
    </row>
    <row r="117" spans="1:10" ht="14.45" customHeight="1">
      <c r="A117" s="15"/>
      <c r="B117" s="15"/>
      <c r="C117" s="15"/>
    </row>
    <row r="118" spans="1:10" ht="14.45" customHeight="1">
      <c r="A118" s="9"/>
    </row>
    <row r="119" spans="1:10" ht="14.45" customHeight="1">
      <c r="A119" s="38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4.4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4.4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10" ht="14.4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10" ht="14.45" customHeight="1">
      <c r="A130" s="38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5" customHeight="1">
      <c r="A135" s="9"/>
    </row>
    <row r="136" spans="1:10" ht="14.45" customHeight="1">
      <c r="A136" s="9"/>
    </row>
    <row r="137" spans="1:10" ht="14.45" customHeight="1">
      <c r="A137" s="9"/>
    </row>
    <row r="138" spans="1:10" ht="14.45" customHeight="1">
      <c r="A138" s="9"/>
    </row>
    <row r="139" spans="1:10" ht="14.45" customHeight="1">
      <c r="A139" s="32"/>
    </row>
    <row r="140" spans="1:10" ht="14.45" customHeight="1">
      <c r="A140" s="9"/>
    </row>
    <row r="141" spans="1:10" ht="14.45" customHeight="1">
      <c r="A141" s="9"/>
    </row>
    <row r="142" spans="1:10" ht="14.4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4.45" customHeight="1">
      <c r="A143" s="9"/>
    </row>
    <row r="144" spans="1:10" ht="14.45" customHeight="1">
      <c r="A144" s="9"/>
    </row>
    <row r="145" spans="1:10" ht="14.45" customHeight="1">
      <c r="A145" s="9"/>
    </row>
    <row r="146" spans="1:10" ht="14.45" customHeight="1">
      <c r="A146" s="9"/>
    </row>
    <row r="147" spans="1:10" ht="14.45" customHeight="1">
      <c r="A147" s="9"/>
    </row>
    <row r="148" spans="1:10" ht="14.45" customHeight="1"/>
    <row r="149" spans="1:10" ht="14.45" customHeight="1"/>
    <row r="150" spans="1:10" ht="14.45" customHeight="1"/>
    <row r="151" spans="1:10" ht="14.45" customHeight="1">
      <c r="A151" s="32"/>
    </row>
    <row r="152" spans="1:10" ht="14.45" customHeight="1"/>
    <row r="153" spans="1:10" ht="14.45" customHeight="1">
      <c r="A153" s="9"/>
    </row>
    <row r="154" spans="1:10" ht="14.4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5" customHeight="1">
      <c r="A158" s="38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4.4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4.4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10" ht="14.4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10" ht="14.4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5" customHeight="1">
      <c r="A169" s="38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5" customHeight="1">
      <c r="A173" s="9"/>
    </row>
    <row r="174" spans="1:10" ht="14.45" customHeight="1">
      <c r="A174" s="9"/>
    </row>
    <row r="175" spans="1:10" ht="14.45" customHeight="1">
      <c r="A175" s="9"/>
    </row>
    <row r="176" spans="1:10" ht="14.45" customHeight="1">
      <c r="A176" s="9"/>
    </row>
    <row r="177" spans="1:10" ht="14.45" customHeight="1"/>
    <row r="178" spans="1:10" ht="14.45" customHeight="1"/>
    <row r="179" spans="1:10" ht="14.45" customHeight="1"/>
    <row r="180" spans="1:10" ht="14.45" customHeight="1"/>
    <row r="181" spans="1:10" ht="14.45" customHeight="1">
      <c r="A181" s="9"/>
    </row>
    <row r="182" spans="1:10" ht="14.45" customHeight="1">
      <c r="A182" s="9"/>
    </row>
    <row r="183" spans="1:10" ht="14.4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4.45" customHeight="1">
      <c r="A184" s="29"/>
    </row>
    <row r="185" spans="1:10" ht="14.45" customHeight="1">
      <c r="A185" s="9"/>
    </row>
    <row r="186" spans="1:10" ht="14.45" customHeight="1">
      <c r="A186" s="9"/>
    </row>
    <row r="187" spans="1:10" ht="14.45" customHeight="1">
      <c r="A187" s="9"/>
    </row>
    <row r="188" spans="1:10" ht="14.45" customHeight="1"/>
    <row r="189" spans="1:10" ht="14.45" customHeight="1"/>
    <row r="190" spans="1:10" ht="14.45" customHeight="1"/>
    <row r="191" spans="1:10" ht="14.45" customHeight="1"/>
    <row r="192" spans="1:10" ht="14.45" customHeight="1"/>
    <row r="193" spans="1:10" ht="14.45" customHeight="1">
      <c r="A193" s="9"/>
    </row>
    <row r="194" spans="1:10" ht="14.4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4.45" customHeight="1">
      <c r="A202" s="38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4.4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10" ht="14.4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10" ht="14.4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5" customHeight="1">
      <c r="A214" s="38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5" customHeight="1">
      <c r="A215" s="9"/>
      <c r="C215" s="5"/>
      <c r="D215" s="5"/>
      <c r="E215" s="5"/>
      <c r="F215" s="5"/>
      <c r="G215" s="5"/>
      <c r="H215" s="5"/>
      <c r="I215" s="5"/>
      <c r="J215" s="5"/>
    </row>
    <row r="216" spans="1:10" ht="14.45" customHeight="1">
      <c r="A216" s="9"/>
    </row>
    <row r="217" spans="1:10" ht="14.45" customHeight="1">
      <c r="A217" s="9"/>
    </row>
    <row r="218" spans="1:10" ht="14.45" customHeight="1">
      <c r="A218" s="9"/>
    </row>
    <row r="219" spans="1:10" ht="14.45" customHeight="1"/>
    <row r="220" spans="1:10" ht="14.45" customHeight="1"/>
    <row r="221" spans="1:10" ht="14.45" customHeight="1"/>
    <row r="222" spans="1:10" ht="14.45" customHeight="1">
      <c r="A222" s="9"/>
    </row>
    <row r="223" spans="1:10" ht="14.45" customHeight="1">
      <c r="A223" s="29"/>
    </row>
    <row r="224" spans="1:10" ht="14.4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5" customHeight="1">
      <c r="A225" s="9"/>
    </row>
    <row r="226" spans="1:10" ht="14.45" customHeight="1">
      <c r="A226" s="9"/>
    </row>
    <row r="227" spans="1:10" ht="14.45" customHeight="1">
      <c r="A227" s="9"/>
    </row>
    <row r="228" spans="1:10" ht="14.45" customHeight="1">
      <c r="A228" s="9"/>
    </row>
    <row r="229" spans="1:10" ht="14.45" customHeight="1">
      <c r="A229" s="9"/>
    </row>
    <row r="230" spans="1:10" ht="14.45" customHeight="1">
      <c r="A230" s="39"/>
      <c r="B230" s="2"/>
    </row>
    <row r="231" spans="1:10" ht="14.45" customHeight="1"/>
    <row r="232" spans="1:10" ht="14.45" customHeight="1"/>
    <row r="233" spans="1:10" ht="14.45" customHeight="1"/>
    <row r="234" spans="1:10" ht="14.45" customHeight="1"/>
    <row r="235" spans="1:10" ht="14.45" customHeight="1">
      <c r="A235" s="9"/>
    </row>
    <row r="236" spans="1:10" ht="14.4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5" customHeight="1">
      <c r="A237" s="38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4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4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10" ht="14.4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10" ht="14.45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5" customHeight="1">
      <c r="A253" s="9"/>
    </row>
    <row r="254" spans="1:10" ht="14.45" customHeight="1">
      <c r="A254" s="9"/>
    </row>
    <row r="255" spans="1:10" ht="14.45" customHeight="1">
      <c r="A255" s="9"/>
    </row>
    <row r="256" spans="1:10" ht="14.45" customHeight="1">
      <c r="A256" s="9"/>
    </row>
    <row r="257" spans="1:10" ht="14.45" customHeight="1"/>
    <row r="258" spans="1:10" ht="14.45" customHeight="1">
      <c r="A258" s="29"/>
    </row>
    <row r="259" spans="1:10" ht="14.45" customHeight="1">
      <c r="A259" s="9"/>
    </row>
    <row r="260" spans="1:10" ht="14.4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45" customHeight="1">
      <c r="A261" s="9"/>
    </row>
    <row r="262" spans="1:10" ht="14.45" customHeight="1">
      <c r="A262" s="9"/>
    </row>
    <row r="263" spans="1:10" ht="14.45" customHeight="1">
      <c r="A263" s="9"/>
    </row>
    <row r="264" spans="1:10" ht="14.45" customHeight="1">
      <c r="A264" s="9"/>
    </row>
    <row r="265" spans="1:10" ht="14.45" customHeight="1">
      <c r="A265" s="32"/>
    </row>
    <row r="266" spans="1:10" ht="14.45" customHeight="1"/>
    <row r="267" spans="1:10" ht="14.45" customHeight="1"/>
    <row r="268" spans="1:10" ht="14.45" customHeight="1"/>
    <row r="269" spans="1:10" ht="14.45" customHeight="1">
      <c r="A269" s="9"/>
    </row>
    <row r="270" spans="1:10" ht="14.4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5" customHeight="1">
      <c r="A272" s="38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4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4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10" ht="14.4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10" ht="14.4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5" customHeight="1">
      <c r="A284" s="9"/>
    </row>
    <row r="285" spans="1:10" ht="14.45" customHeight="1">
      <c r="A285" s="9"/>
    </row>
    <row r="286" spans="1:10" ht="14.45" customHeight="1">
      <c r="A286" s="9"/>
    </row>
    <row r="287" spans="1:10" ht="14.45" customHeight="1">
      <c r="A287" s="9"/>
    </row>
    <row r="288" spans="1:10" ht="14.45" customHeight="1"/>
    <row r="289" spans="1:10" ht="14.45" customHeight="1"/>
    <row r="290" spans="1:10" ht="14.45" customHeight="1">
      <c r="A290" s="9"/>
    </row>
    <row r="291" spans="1:10" ht="14.45" customHeight="1">
      <c r="A291" s="9"/>
    </row>
    <row r="292" spans="1:10" ht="14.4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5" customHeight="1">
      <c r="A293" s="9"/>
    </row>
    <row r="294" spans="1:10" ht="14.45" customHeight="1">
      <c r="A294" s="9"/>
    </row>
    <row r="295" spans="1:10" ht="14.45" customHeight="1">
      <c r="A295" s="9"/>
    </row>
    <row r="296" spans="1:10" ht="14.45" customHeight="1">
      <c r="A296" s="9"/>
    </row>
    <row r="297" spans="1:10" ht="14.45" customHeight="1">
      <c r="A297" s="17"/>
      <c r="B297" s="2"/>
    </row>
    <row r="298" spans="1:10" ht="14.45" customHeight="1"/>
    <row r="299" spans="1:10" ht="14.45" customHeight="1"/>
    <row r="300" spans="1:10" ht="14.45" customHeight="1"/>
    <row r="301" spans="1:10" ht="14.45" customHeight="1"/>
    <row r="302" spans="1:10" ht="14.45" customHeight="1">
      <c r="A302" s="9"/>
    </row>
    <row r="303" spans="1:10" ht="14.4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4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4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10" ht="14.4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10" ht="14.4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5" customHeight="1">
      <c r="A320" s="9"/>
    </row>
    <row r="321" spans="1:10" ht="14.45" customHeight="1">
      <c r="A321" s="9"/>
    </row>
    <row r="322" spans="1:10" ht="14.45" customHeight="1">
      <c r="A322" s="9"/>
    </row>
    <row r="323" spans="1:10" ht="14.45" customHeight="1">
      <c r="A323" s="9"/>
    </row>
    <row r="324" spans="1:10" ht="14.45" customHeight="1"/>
    <row r="325" spans="1:10" ht="14.45" customHeight="1"/>
    <row r="326" spans="1:10" ht="14.45" customHeight="1">
      <c r="A326" s="9"/>
    </row>
    <row r="327" spans="1:10" ht="14.45" customHeight="1">
      <c r="A327" s="9"/>
    </row>
    <row r="328" spans="1:10" ht="14.4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5" customHeight="1">
      <c r="A329" s="9"/>
    </row>
    <row r="330" spans="1:10" ht="14.45" customHeight="1">
      <c r="A330" s="9"/>
    </row>
    <row r="331" spans="1:10" ht="14.45" customHeight="1">
      <c r="A331" s="9"/>
    </row>
    <row r="332" spans="1:10" ht="14.45" customHeight="1">
      <c r="A332" s="9"/>
    </row>
    <row r="333" spans="1:10" ht="14.45" customHeight="1">
      <c r="A333" s="17"/>
      <c r="B333" s="2"/>
    </row>
    <row r="334" spans="1:10" ht="14.45" customHeight="1"/>
    <row r="335" spans="1:10" ht="14.45" customHeight="1"/>
    <row r="336" spans="1:10" ht="14.45" customHeight="1"/>
    <row r="337" spans="1:10" ht="14.45" customHeight="1"/>
    <row r="338" spans="1:10" ht="14.45" customHeight="1">
      <c r="A338" s="9"/>
    </row>
    <row r="339" spans="1:10" ht="14.4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4.4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4.4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10" ht="14.4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10" ht="14.4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4" ht="14.4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4" ht="14.45" customHeight="1">
      <c r="A356" s="9"/>
      <c r="N356" s="7"/>
    </row>
    <row r="357" spans="1:14" ht="14.45" customHeight="1">
      <c r="A357" s="9"/>
    </row>
    <row r="358" spans="1:14" ht="14.45" customHeight="1">
      <c r="A358" s="9"/>
      <c r="N358" s="7"/>
    </row>
    <row r="359" spans="1:14" ht="14.45" customHeight="1">
      <c r="A359" s="9"/>
    </row>
    <row r="360" spans="1:14" ht="14.45" customHeight="1">
      <c r="N360" s="7"/>
    </row>
    <row r="361" spans="1:14" ht="14.45" customHeight="1">
      <c r="N361" s="7"/>
    </row>
    <row r="362" spans="1:14" ht="14.45" customHeight="1">
      <c r="A362" s="9"/>
    </row>
    <row r="363" spans="1:14" ht="14.45" customHeight="1">
      <c r="A363" s="9"/>
    </row>
    <row r="364" spans="1:14" ht="14.4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4" ht="14.45" customHeight="1">
      <c r="A365" s="9"/>
    </row>
    <row r="366" spans="1:14" ht="14.45" customHeight="1">
      <c r="A366" s="9"/>
    </row>
    <row r="367" spans="1:14" ht="14.45" customHeight="1">
      <c r="A367" s="9"/>
    </row>
    <row r="368" spans="1:14" ht="14.45" customHeight="1">
      <c r="A368" s="9"/>
    </row>
    <row r="369" spans="1:12" ht="14.45" customHeight="1">
      <c r="A369" s="17"/>
      <c r="B369" s="2"/>
    </row>
    <row r="370" spans="1:12" ht="14.45" customHeight="1"/>
    <row r="371" spans="1:12" ht="14.45" customHeight="1"/>
    <row r="372" spans="1:12" ht="14.45" customHeight="1"/>
    <row r="373" spans="1:12" ht="14.45" customHeight="1"/>
    <row r="374" spans="1:12">
      <c r="A374" s="9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2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>
        <v>2</v>
      </c>
      <c r="L380">
        <v>2</v>
      </c>
    </row>
    <row r="381" spans="1:12" ht="14.4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2" ht="14.4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2" ht="14.4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10" ht="14.4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10" ht="14.4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4.4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4.45" customHeight="1">
      <c r="A393" s="9"/>
      <c r="C393" s="5"/>
      <c r="D393" s="5"/>
      <c r="E393" s="5"/>
      <c r="F393" s="5"/>
      <c r="G393" s="5"/>
      <c r="H393" s="5"/>
      <c r="I393" s="5"/>
      <c r="J393" s="5"/>
    </row>
    <row r="394" spans="1:10" ht="14.45" customHeight="1">
      <c r="A394" s="9"/>
    </row>
    <row r="395" spans="1:10">
      <c r="A395" s="9"/>
    </row>
    <row r="396" spans="1:10">
      <c r="A396" s="9"/>
    </row>
    <row r="400" spans="1:10">
      <c r="A400" s="9"/>
    </row>
    <row r="401" spans="1:10">
      <c r="A401" s="9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9"/>
    </row>
    <row r="404" spans="1:10">
      <c r="A404" s="9"/>
    </row>
    <row r="405" spans="1:10">
      <c r="A405" s="9"/>
    </row>
    <row r="406" spans="1:10">
      <c r="A406" s="9"/>
    </row>
    <row r="407" spans="1:10">
      <c r="A407" s="17"/>
      <c r="B407" s="2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9"/>
    </row>
    <row r="430" spans="1:10">
      <c r="A430" s="9"/>
    </row>
    <row r="431" spans="1:10">
      <c r="A431" s="9"/>
    </row>
    <row r="432" spans="1:10">
      <c r="A432" s="9"/>
    </row>
    <row r="435" spans="1:33">
      <c r="A435" s="9"/>
    </row>
    <row r="436" spans="1:33">
      <c r="A436" s="9"/>
    </row>
    <row r="437" spans="1:33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33">
      <c r="A438" s="9"/>
    </row>
    <row r="439" spans="1:33">
      <c r="A439" s="9"/>
    </row>
    <row r="440" spans="1:33">
      <c r="A440" s="9"/>
    </row>
    <row r="441" spans="1:33">
      <c r="A441" s="9"/>
    </row>
    <row r="442" spans="1:33">
      <c r="A442" s="17"/>
      <c r="B442" s="2"/>
    </row>
    <row r="443" spans="1:33">
      <c r="X443" t="s">
        <v>276</v>
      </c>
      <c r="Y443" t="s">
        <v>308</v>
      </c>
      <c r="Z443">
        <v>8.2040000000000006</v>
      </c>
      <c r="AA443">
        <v>8.2040000000000006</v>
      </c>
      <c r="AB443">
        <v>8.2040000000000006</v>
      </c>
      <c r="AC443">
        <v>8.2040000000000006</v>
      </c>
      <c r="AD443">
        <v>8.2040000000000006</v>
      </c>
      <c r="AE443">
        <v>8.2040000000000006</v>
      </c>
      <c r="AF443">
        <v>8.2040000000000006</v>
      </c>
      <c r="AG443">
        <v>8.2040000000000006</v>
      </c>
    </row>
    <row r="445" spans="1:33">
      <c r="X445" t="s">
        <v>272</v>
      </c>
      <c r="Y445" t="s">
        <v>308</v>
      </c>
      <c r="Z445">
        <v>4.6710000000000003</v>
      </c>
      <c r="AA445">
        <v>4.6710000000000003</v>
      </c>
      <c r="AB445">
        <v>4.6710000000000003</v>
      </c>
      <c r="AC445">
        <v>4.6710000000000003</v>
      </c>
      <c r="AD445">
        <v>4.6710000000000003</v>
      </c>
      <c r="AE445">
        <v>4.6710000000000003</v>
      </c>
      <c r="AF445">
        <v>4.6710000000000003</v>
      </c>
      <c r="AG445">
        <v>4.6710000000000003</v>
      </c>
    </row>
    <row r="447" spans="1:33">
      <c r="A447" s="9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</row>
    <row r="459" spans="1:33">
      <c r="A459" s="5"/>
      <c r="B459" s="5"/>
      <c r="C459" s="5"/>
      <c r="D459" s="5"/>
      <c r="E459" s="5"/>
      <c r="F459" s="5"/>
      <c r="G459" s="5"/>
      <c r="H459" s="5"/>
      <c r="I459" s="5"/>
    </row>
    <row r="460" spans="1:33">
      <c r="A460" s="5"/>
      <c r="B460" s="5"/>
      <c r="C460" s="5"/>
      <c r="D460" s="5"/>
      <c r="E460" s="5"/>
      <c r="F460" s="5"/>
      <c r="G460" s="5"/>
      <c r="H460" s="5"/>
      <c r="I460" s="5"/>
    </row>
    <row r="461" spans="1:33">
      <c r="A461" s="5"/>
      <c r="B461" s="5"/>
      <c r="C461" s="5"/>
      <c r="D461" s="5"/>
      <c r="E461" s="5"/>
      <c r="F461" s="5"/>
      <c r="G461" s="5"/>
      <c r="H461" s="5"/>
      <c r="I461" s="5"/>
      <c r="X461" t="s">
        <v>279</v>
      </c>
      <c r="Y461" t="s">
        <v>308</v>
      </c>
      <c r="Z461">
        <v>23.4</v>
      </c>
      <c r="AA461">
        <v>23.4</v>
      </c>
      <c r="AB461">
        <v>23.4</v>
      </c>
      <c r="AC461">
        <v>23.4</v>
      </c>
      <c r="AD461">
        <v>23.4</v>
      </c>
      <c r="AE461">
        <v>23.4</v>
      </c>
      <c r="AF461">
        <v>23.4</v>
      </c>
      <c r="AG461">
        <v>23.4</v>
      </c>
    </row>
    <row r="462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33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33">
      <c r="A466" s="5"/>
      <c r="B466" s="5"/>
      <c r="C466" s="5"/>
      <c r="D466" s="5"/>
      <c r="E466" s="5"/>
      <c r="F466" s="5"/>
      <c r="G466" s="5"/>
      <c r="H466" s="5"/>
      <c r="I466" s="5"/>
      <c r="J466" s="5"/>
      <c r="X466" t="s">
        <v>281</v>
      </c>
      <c r="Y466" t="s">
        <v>308</v>
      </c>
      <c r="Z466">
        <v>4.55</v>
      </c>
      <c r="AA466">
        <v>4.55</v>
      </c>
      <c r="AB466">
        <v>4.55</v>
      </c>
      <c r="AC466">
        <v>4.55</v>
      </c>
      <c r="AD466">
        <v>4.55</v>
      </c>
      <c r="AE466">
        <v>4.55</v>
      </c>
      <c r="AF466">
        <v>4.55</v>
      </c>
      <c r="AG466">
        <v>4.55</v>
      </c>
    </row>
    <row r="467" spans="1:33">
      <c r="A467" s="9"/>
    </row>
    <row r="468" spans="1:33">
      <c r="A468" s="9"/>
    </row>
    <row r="469" spans="1:33">
      <c r="A469" s="9"/>
    </row>
    <row r="470" spans="1:33">
      <c r="A470" s="9"/>
    </row>
    <row r="473" spans="1:33">
      <c r="A473" s="9"/>
    </row>
    <row r="474" spans="1:33">
      <c r="A474" s="9"/>
    </row>
    <row r="475" spans="1:33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33">
      <c r="A476" s="9"/>
    </row>
    <row r="477" spans="1:33">
      <c r="A477" s="9"/>
    </row>
    <row r="478" spans="1:33">
      <c r="A478" s="9"/>
    </row>
    <row r="479" spans="1:33">
      <c r="A479" s="9"/>
    </row>
    <row r="480" spans="1:33">
      <c r="A480" s="17"/>
      <c r="B480" s="2"/>
    </row>
    <row r="485" spans="1:10">
      <c r="A485" s="9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9"/>
    </row>
    <row r="506" spans="1:10">
      <c r="A506" s="9"/>
    </row>
    <row r="507" spans="1:10">
      <c r="A507" s="9"/>
    </row>
    <row r="508" spans="1:10">
      <c r="A508" s="9"/>
    </row>
    <row r="512" spans="1:10">
      <c r="A512" s="9"/>
    </row>
    <row r="513" spans="1:10">
      <c r="A513" s="9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9"/>
    </row>
    <row r="516" spans="1:10">
      <c r="A516" s="9"/>
    </row>
    <row r="517" spans="1:10">
      <c r="A517" s="9"/>
    </row>
    <row r="518" spans="1:10">
      <c r="A518" s="9"/>
    </row>
    <row r="522" spans="1:10">
      <c r="A522" s="9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9"/>
    </row>
    <row r="542" spans="1:10">
      <c r="A542" s="9"/>
    </row>
    <row r="543" spans="1:10">
      <c r="A543" s="9"/>
    </row>
    <row r="544" spans="1:10">
      <c r="A544" s="9"/>
    </row>
    <row r="548" spans="1:10">
      <c r="A548" s="9"/>
    </row>
    <row r="549" spans="1:10">
      <c r="A549" s="9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9"/>
    </row>
    <row r="552" spans="1:10">
      <c r="A552" s="9"/>
    </row>
    <row r="553" spans="1:10">
      <c r="A553" s="9"/>
    </row>
    <row r="554" spans="1:10">
      <c r="A554" s="9"/>
    </row>
    <row r="555" spans="1:10">
      <c r="A555" s="17"/>
      <c r="B555" s="2"/>
    </row>
    <row r="556" spans="1:10">
      <c r="A556" s="17"/>
      <c r="B556" s="17"/>
      <c r="D556" s="5"/>
      <c r="E556" s="5"/>
      <c r="F556" s="5"/>
      <c r="G556" s="5"/>
      <c r="H556" s="5"/>
      <c r="I556" s="5"/>
    </row>
    <row r="561" spans="1:10">
      <c r="A561" s="9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9"/>
    </row>
    <row r="580" spans="1:10">
      <c r="A580" s="9"/>
    </row>
    <row r="581" spans="1:10">
      <c r="A581" s="9"/>
    </row>
    <row r="582" spans="1:10">
      <c r="A582" s="9"/>
    </row>
    <row r="586" spans="1:10">
      <c r="A586" s="9"/>
    </row>
    <row r="587" spans="1:10">
      <c r="A587" s="9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9"/>
    </row>
    <row r="590" spans="1:10">
      <c r="A590" s="9"/>
    </row>
    <row r="591" spans="1:10">
      <c r="A591" s="9"/>
    </row>
    <row r="592" spans="1:10">
      <c r="A592" s="9"/>
    </row>
    <row r="593" spans="1:10">
      <c r="A593" s="9"/>
    </row>
    <row r="594" spans="1:10">
      <c r="A594" s="17"/>
      <c r="B594" s="2"/>
    </row>
    <row r="598" spans="1:10">
      <c r="A598" s="9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9"/>
    </row>
    <row r="617" spans="1:10">
      <c r="A617" s="9"/>
    </row>
    <row r="618" spans="1:10">
      <c r="A618" s="9"/>
    </row>
    <row r="619" spans="1:10">
      <c r="A619" s="9"/>
    </row>
    <row r="623" spans="1:10">
      <c r="A623" s="9"/>
    </row>
    <row r="624" spans="1:10">
      <c r="A624" s="9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0" spans="1:10">
      <c r="A630" s="17"/>
      <c r="B630" s="2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9"/>
    </row>
    <row r="651" spans="1:10">
      <c r="A651" s="9"/>
    </row>
    <row r="652" spans="1:10">
      <c r="A652" s="9"/>
    </row>
    <row r="653" spans="1:10">
      <c r="A653" s="9"/>
    </row>
    <row r="656" spans="1:10">
      <c r="A656" s="9"/>
    </row>
    <row r="657" spans="1:10">
      <c r="A657" s="9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9"/>
    </row>
    <row r="660" spans="1:10">
      <c r="A660" s="9"/>
    </row>
    <row r="661" spans="1:10">
      <c r="A661" s="9"/>
    </row>
    <row r="662" spans="1:10">
      <c r="A662" s="9"/>
    </row>
    <row r="666" spans="1:10">
      <c r="A666" s="9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>
      <c r="A684" s="9"/>
    </row>
    <row r="685" spans="1:10">
      <c r="A685" s="9"/>
    </row>
    <row r="686" spans="1:10">
      <c r="A686" s="9"/>
    </row>
    <row r="687" spans="1:10">
      <c r="A687" s="9"/>
    </row>
    <row r="690" spans="1:10">
      <c r="A690" s="9"/>
    </row>
    <row r="691" spans="1:10">
      <c r="A691" s="9"/>
    </row>
    <row r="692" spans="1:10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9"/>
    </row>
    <row r="715" spans="1:3">
      <c r="A715" s="9"/>
    </row>
    <row r="716" spans="1:3">
      <c r="A716" s="15"/>
      <c r="B716" s="15"/>
      <c r="C716" s="15"/>
    </row>
    <row r="717" spans="1:3">
      <c r="A717" s="15"/>
      <c r="B717" s="15"/>
      <c r="C717" s="15"/>
    </row>
    <row r="724" spans="1:10">
      <c r="A724" s="9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9"/>
    </row>
    <row r="744" spans="1:10">
      <c r="A744" s="9"/>
    </row>
    <row r="745" spans="1:10">
      <c r="A745" s="9"/>
    </row>
    <row r="746" spans="1:10">
      <c r="A746" s="9"/>
    </row>
    <row r="750" spans="1:10">
      <c r="A750" s="9"/>
    </row>
    <row r="751" spans="1:10">
      <c r="A751" s="9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7" spans="1:10">
      <c r="A757" s="17"/>
      <c r="B757" s="2"/>
    </row>
    <row r="758" spans="1:10">
      <c r="A758" s="15"/>
      <c r="B758" s="15"/>
      <c r="C758" s="15"/>
    </row>
    <row r="759" spans="1:10">
      <c r="A759" s="15"/>
      <c r="B759" s="15"/>
      <c r="C759" s="15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9"/>
    </row>
    <row r="778" spans="1:10">
      <c r="A778" s="9"/>
    </row>
    <row r="779" spans="1:10">
      <c r="A779" s="9"/>
    </row>
    <row r="780" spans="1:10">
      <c r="A780" s="9"/>
    </row>
    <row r="783" spans="1:10">
      <c r="A783" s="9"/>
    </row>
    <row r="784" spans="1:10">
      <c r="A784" s="9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9"/>
    </row>
    <row r="787" spans="1:10">
      <c r="A787" s="9"/>
    </row>
    <row r="788" spans="1:10">
      <c r="A788" s="9"/>
    </row>
    <row r="789" spans="1:10">
      <c r="A789" s="9"/>
    </row>
    <row r="790" spans="1:10">
      <c r="A790" s="9"/>
    </row>
    <row r="791" spans="1:10">
      <c r="A791" s="17"/>
      <c r="B791" s="2"/>
    </row>
    <row r="792" spans="1:10">
      <c r="A792" s="15"/>
      <c r="B792" s="15"/>
      <c r="C792" s="15"/>
    </row>
    <row r="793" spans="1:10">
      <c r="A793" s="15"/>
      <c r="B793" s="15"/>
      <c r="C793" s="1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1" spans="1:10">
      <c r="A821" s="17"/>
      <c r="C821" s="5"/>
      <c r="D821" s="5"/>
      <c r="E821" s="5"/>
      <c r="F821" s="5"/>
      <c r="G821" s="5"/>
      <c r="H821" s="5"/>
      <c r="I821" s="5"/>
      <c r="J821" s="5"/>
    </row>
    <row r="822" spans="1:10">
      <c r="A822" s="17"/>
      <c r="C822" s="5"/>
      <c r="D822" s="5"/>
      <c r="E822" s="5"/>
      <c r="F822" s="5"/>
      <c r="G822" s="5"/>
      <c r="H822" s="5"/>
      <c r="I822" s="5"/>
      <c r="J822" s="5"/>
    </row>
    <row r="827" spans="1:10">
      <c r="A827" s="9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9"/>
    </row>
    <row r="848" spans="1:10">
      <c r="A848" s="9"/>
    </row>
    <row r="849" spans="1:10">
      <c r="A849" s="9"/>
    </row>
    <row r="850" spans="1:10">
      <c r="A850" s="9"/>
    </row>
    <row r="853" spans="1:10">
      <c r="A853" s="9"/>
    </row>
    <row r="854" spans="1:10">
      <c r="A854" s="9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9"/>
    </row>
    <row r="857" spans="1:10">
      <c r="A857" s="9"/>
    </row>
    <row r="858" spans="1:10">
      <c r="A858" s="9"/>
    </row>
    <row r="859" spans="1:10">
      <c r="A859" s="9"/>
    </row>
    <row r="860" spans="1:10">
      <c r="A860" s="17"/>
      <c r="B860" s="2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9"/>
    </row>
    <row r="882" spans="1:10">
      <c r="A882" s="9"/>
    </row>
    <row r="883" spans="1:10">
      <c r="A883" s="9"/>
    </row>
    <row r="884" spans="1:10">
      <c r="A884" s="9"/>
    </row>
    <row r="887" spans="1:10">
      <c r="A887" s="9"/>
    </row>
    <row r="888" spans="1:10">
      <c r="A888" s="9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>
      <c r="A890" s="9"/>
    </row>
    <row r="891" spans="1:10">
      <c r="A891" s="9"/>
    </row>
    <row r="892" spans="1:10">
      <c r="A892" s="9"/>
    </row>
    <row r="893" spans="1:10">
      <c r="A893" s="9"/>
    </row>
    <row r="894" spans="1:10">
      <c r="A894" s="17"/>
      <c r="B894" s="2"/>
    </row>
    <row r="900" spans="1:10">
      <c r="A900" s="9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30">
      <c r="A913" s="5"/>
      <c r="B913" s="5"/>
      <c r="C913" s="5"/>
      <c r="D913" s="5"/>
      <c r="E913" s="5"/>
      <c r="F913" s="5"/>
      <c r="G913" s="5"/>
      <c r="H913" s="5"/>
      <c r="I913" s="5"/>
    </row>
    <row r="914" spans="1:30">
      <c r="A914" s="5"/>
      <c r="B914" s="5"/>
      <c r="C914" s="5"/>
      <c r="D914" s="5"/>
      <c r="E914" s="5"/>
      <c r="F914" s="5"/>
      <c r="G914" s="5"/>
      <c r="H914" s="5"/>
      <c r="I914" s="5"/>
    </row>
    <row r="915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30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30">
      <c r="A920" s="9"/>
    </row>
    <row r="921" spans="1:30">
      <c r="A921" s="9"/>
    </row>
    <row r="922" spans="1:30">
      <c r="A922" s="9"/>
    </row>
    <row r="923" spans="1:30">
      <c r="A923" s="9"/>
    </row>
    <row r="926" spans="1:30" s="33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>
      <c r="A927" s="9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30" s="33" customForma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</row>
    <row r="930" spans="1:30" s="33" customFormat="1">
      <c r="A930" s="9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</row>
    <row r="931" spans="1:30">
      <c r="A931" s="9"/>
      <c r="M931" t="s">
        <v>477</v>
      </c>
    </row>
    <row r="932" spans="1:30">
      <c r="A932" s="9"/>
      <c r="M932" t="s">
        <v>477</v>
      </c>
    </row>
    <row r="933" spans="1:30">
      <c r="A933" s="9"/>
      <c r="M933" t="s">
        <v>477</v>
      </c>
    </row>
    <row r="934" spans="1:30">
      <c r="A934" s="9"/>
      <c r="M934" t="s">
        <v>477</v>
      </c>
    </row>
    <row r="935" spans="1:30">
      <c r="A935" s="9"/>
      <c r="M935" t="s">
        <v>477</v>
      </c>
    </row>
    <row r="936" spans="1:30">
      <c r="A936" s="9"/>
      <c r="M936" t="s">
        <v>477</v>
      </c>
    </row>
    <row r="937" spans="1:30">
      <c r="A937" s="9"/>
      <c r="M937" t="s">
        <v>477</v>
      </c>
    </row>
    <row r="938" spans="1:30">
      <c r="A938" s="9"/>
      <c r="M938" t="s">
        <v>477</v>
      </c>
    </row>
    <row r="939" spans="1:30">
      <c r="A939" s="9"/>
      <c r="M939" t="s">
        <v>477</v>
      </c>
    </row>
    <row r="940" spans="1:30">
      <c r="A940" s="9"/>
      <c r="M940" t="s">
        <v>477</v>
      </c>
    </row>
    <row r="941" spans="1:30">
      <c r="A941" s="9"/>
      <c r="M941" t="s">
        <v>477</v>
      </c>
    </row>
    <row r="942" spans="1:30">
      <c r="A942" s="9"/>
      <c r="M942" t="s">
        <v>477</v>
      </c>
    </row>
    <row r="943" spans="1:30">
      <c r="A943" s="9"/>
      <c r="M943" t="s">
        <v>477</v>
      </c>
    </row>
    <row r="944" spans="1:30">
      <c r="M944" t="s">
        <v>477</v>
      </c>
    </row>
    <row r="945" spans="1:13">
      <c r="M945" t="s">
        <v>477</v>
      </c>
    </row>
    <row r="946" spans="1:13">
      <c r="M946" t="s">
        <v>477</v>
      </c>
    </row>
    <row r="947" spans="1:13">
      <c r="M947" t="s">
        <v>477</v>
      </c>
    </row>
    <row r="948" spans="1:13">
      <c r="A948" s="9"/>
      <c r="M948" t="s">
        <v>477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477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477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477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477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477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477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J955" s="5"/>
      <c r="M955" t="s">
        <v>477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J956" s="5"/>
      <c r="M956" t="s">
        <v>477</v>
      </c>
    </row>
    <row r="957" spans="1:13">
      <c r="A957" s="5"/>
      <c r="B957" s="5"/>
      <c r="C957" s="5"/>
      <c r="D957" s="5"/>
      <c r="E957" s="5"/>
      <c r="F957" s="5"/>
      <c r="G957" s="5"/>
      <c r="H957" s="5"/>
      <c r="I957" s="5"/>
      <c r="M957" t="s">
        <v>477</v>
      </c>
    </row>
    <row r="958" spans="1:13">
      <c r="A958" s="5"/>
      <c r="B958" s="5"/>
      <c r="C958" s="5"/>
      <c r="D958" s="5"/>
      <c r="E958" s="5"/>
      <c r="F958" s="5"/>
      <c r="G958" s="5"/>
      <c r="H958" s="5"/>
      <c r="I958" s="5"/>
      <c r="M958" t="s">
        <v>477</v>
      </c>
    </row>
    <row r="959" spans="1:13">
      <c r="A959" s="5"/>
      <c r="B959" s="5"/>
      <c r="C959" s="5"/>
      <c r="D959" s="5"/>
      <c r="E959" s="5"/>
      <c r="F959" s="5"/>
      <c r="G959" s="5"/>
      <c r="H959" s="5"/>
      <c r="I959" s="5"/>
      <c r="M959" t="s">
        <v>477</v>
      </c>
    </row>
    <row r="960" spans="1:13">
      <c r="A960" s="5"/>
      <c r="B960" s="5"/>
      <c r="C960" s="5"/>
      <c r="D960" s="5"/>
      <c r="E960" s="5"/>
      <c r="F960" s="5"/>
      <c r="G960" s="5"/>
      <c r="H960" s="5"/>
      <c r="I960" s="5"/>
      <c r="M960" t="s">
        <v>477</v>
      </c>
    </row>
    <row r="96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477</v>
      </c>
    </row>
    <row r="962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477</v>
      </c>
    </row>
    <row r="963" spans="1:13">
      <c r="A963" s="5"/>
      <c r="B963" s="5"/>
      <c r="C963" s="5"/>
      <c r="D963" s="5"/>
      <c r="E963" s="5"/>
      <c r="F963" s="5"/>
      <c r="G963" s="5"/>
      <c r="H963" s="5"/>
      <c r="I963" s="5"/>
      <c r="J963" s="5"/>
      <c r="M963" t="s">
        <v>477</v>
      </c>
    </row>
    <row r="964" spans="1:13">
      <c r="A964" s="5"/>
      <c r="B964" s="5"/>
      <c r="C964" s="5"/>
      <c r="D964" s="5"/>
      <c r="E964" s="5"/>
      <c r="F964" s="5"/>
      <c r="G964" s="5"/>
      <c r="H964" s="5"/>
      <c r="I964" s="5"/>
      <c r="J964" s="5"/>
      <c r="M964" t="s">
        <v>477</v>
      </c>
    </row>
    <row r="965" spans="1:13">
      <c r="A965" s="9"/>
      <c r="M965" t="s">
        <v>477</v>
      </c>
    </row>
    <row r="966" spans="1:13">
      <c r="A966" s="9"/>
      <c r="M966" t="s">
        <v>477</v>
      </c>
    </row>
    <row r="967" spans="1:13">
      <c r="A967" s="9"/>
      <c r="M967" t="s">
        <v>477</v>
      </c>
    </row>
    <row r="968" spans="1:13">
      <c r="A968" s="9"/>
      <c r="M968" t="s">
        <v>477</v>
      </c>
    </row>
    <row r="969" spans="1:13">
      <c r="M969" t="s">
        <v>477</v>
      </c>
    </row>
    <row r="970" spans="1:13">
      <c r="M970" t="s">
        <v>477</v>
      </c>
    </row>
    <row r="971" spans="1:13">
      <c r="A971" s="9"/>
      <c r="M971" t="s">
        <v>477</v>
      </c>
    </row>
    <row r="972" spans="1:13">
      <c r="A972" s="9"/>
      <c r="M972" t="s">
        <v>477</v>
      </c>
    </row>
    <row r="973" spans="1:13">
      <c r="A973" s="5"/>
      <c r="B973" s="5"/>
      <c r="C973" s="5"/>
      <c r="D973" s="5"/>
      <c r="E973" s="5"/>
      <c r="F973" s="5"/>
      <c r="G973" s="5"/>
      <c r="H973" s="5"/>
      <c r="I973" s="5"/>
      <c r="J973" s="5"/>
      <c r="M973" t="s">
        <v>477</v>
      </c>
    </row>
    <row r="974" spans="1:13">
      <c r="A974" s="9"/>
      <c r="M974" t="s">
        <v>477</v>
      </c>
    </row>
    <row r="975" spans="1:13">
      <c r="A975" s="9"/>
      <c r="M975" t="s">
        <v>477</v>
      </c>
    </row>
    <row r="976" spans="1:13">
      <c r="A976" s="9"/>
      <c r="M976" t="s">
        <v>477</v>
      </c>
    </row>
    <row r="977" spans="1:13">
      <c r="A977" s="9"/>
      <c r="M977" t="s">
        <v>477</v>
      </c>
    </row>
    <row r="978" spans="1:13">
      <c r="A978" s="9"/>
      <c r="M978" t="s">
        <v>477</v>
      </c>
    </row>
    <row r="979" spans="1:13">
      <c r="A979" s="17"/>
      <c r="B979" s="2"/>
      <c r="M979" t="s">
        <v>477</v>
      </c>
    </row>
    <row r="980" spans="1:13">
      <c r="M980" t="s">
        <v>477</v>
      </c>
    </row>
    <row r="981" spans="1:13">
      <c r="M981" t="s">
        <v>477</v>
      </c>
    </row>
    <row r="982" spans="1:13">
      <c r="M982" t="s">
        <v>477</v>
      </c>
    </row>
    <row r="983" spans="1:13">
      <c r="M983" t="s">
        <v>477</v>
      </c>
    </row>
    <row r="984" spans="1:13">
      <c r="A984" s="9"/>
      <c r="M984" t="s">
        <v>477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477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477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477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477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477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477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477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J992" s="5"/>
      <c r="M992" t="s">
        <v>477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J993" s="5"/>
      <c r="M993" t="s">
        <v>477</v>
      </c>
    </row>
    <row r="994" spans="1:13">
      <c r="A994" s="5"/>
      <c r="B994" s="5"/>
      <c r="C994" s="5"/>
      <c r="D994" s="5"/>
      <c r="E994" s="5"/>
      <c r="F994" s="5"/>
      <c r="G994" s="5"/>
      <c r="H994" s="5"/>
      <c r="I994" s="5"/>
      <c r="M994" t="s">
        <v>477</v>
      </c>
    </row>
    <row r="995" spans="1:13">
      <c r="A995" s="5"/>
      <c r="B995" s="5"/>
      <c r="C995" s="5"/>
      <c r="D995" s="5"/>
      <c r="E995" s="5"/>
      <c r="F995" s="5"/>
      <c r="G995" s="5"/>
      <c r="H995" s="5"/>
      <c r="I995" s="5"/>
      <c r="M995" t="s">
        <v>477</v>
      </c>
    </row>
    <row r="996" spans="1:13">
      <c r="A996" s="5"/>
      <c r="B996" s="5"/>
      <c r="C996" s="5"/>
      <c r="D996" s="5"/>
      <c r="E996" s="5"/>
      <c r="F996" s="5"/>
      <c r="G996" s="5"/>
      <c r="H996" s="5"/>
      <c r="I996" s="5"/>
      <c r="M996" t="s">
        <v>477</v>
      </c>
    </row>
    <row r="997" spans="1:13">
      <c r="A997" s="5"/>
      <c r="B997" s="5"/>
      <c r="C997" s="5"/>
      <c r="D997" s="5"/>
      <c r="E997" s="5"/>
      <c r="F997" s="5"/>
      <c r="G997" s="5"/>
      <c r="H997" s="5"/>
      <c r="I997" s="5"/>
      <c r="M997" t="s">
        <v>477</v>
      </c>
    </row>
    <row r="998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477</v>
      </c>
    </row>
    <row r="999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477</v>
      </c>
    </row>
    <row r="1000" spans="1:1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M1000" t="s">
        <v>477</v>
      </c>
    </row>
    <row r="1001" spans="1:1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M1001" t="s">
        <v>477</v>
      </c>
    </row>
    <row r="1002" spans="1:13">
      <c r="A1002" s="9"/>
      <c r="M1002" t="s">
        <v>477</v>
      </c>
    </row>
    <row r="1003" spans="1:13">
      <c r="A1003" s="9"/>
      <c r="M1003" t="s">
        <v>477</v>
      </c>
    </row>
    <row r="1004" spans="1:13">
      <c r="A1004" s="9"/>
      <c r="M1004" t="s">
        <v>477</v>
      </c>
    </row>
    <row r="1005" spans="1:13">
      <c r="A1005" s="9"/>
      <c r="M1005" t="s">
        <v>477</v>
      </c>
    </row>
    <row r="1006" spans="1:13">
      <c r="M1006" t="s">
        <v>477</v>
      </c>
    </row>
    <row r="1007" spans="1:13">
      <c r="M1007" t="s">
        <v>477</v>
      </c>
    </row>
    <row r="1008" spans="1:13">
      <c r="A1008" s="9"/>
      <c r="M1008" t="s">
        <v>477</v>
      </c>
    </row>
    <row r="1009" spans="1:13">
      <c r="A1009" s="9"/>
      <c r="M1009" t="s">
        <v>477</v>
      </c>
    </row>
    <row r="1010" spans="1:1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M1010" t="s">
        <v>477</v>
      </c>
    </row>
    <row r="1011" spans="1:13">
      <c r="A1011" s="9"/>
      <c r="M1011" t="s">
        <v>477</v>
      </c>
    </row>
    <row r="1012" spans="1:13">
      <c r="A1012" s="9"/>
      <c r="M1012" t="s">
        <v>477</v>
      </c>
    </row>
    <row r="1013" spans="1:13">
      <c r="A1013" s="9"/>
      <c r="M1013" t="s">
        <v>477</v>
      </c>
    </row>
    <row r="1014" spans="1:13">
      <c r="A1014" s="9"/>
      <c r="M1014" t="s">
        <v>477</v>
      </c>
    </row>
    <row r="1015" spans="1:13">
      <c r="A1015" s="17"/>
      <c r="B1015" s="2"/>
      <c r="M1015" t="s">
        <v>477</v>
      </c>
    </row>
    <row r="1016" spans="1:13">
      <c r="M1016" t="s">
        <v>477</v>
      </c>
    </row>
    <row r="1017" spans="1:13">
      <c r="M1017" t="s">
        <v>477</v>
      </c>
    </row>
    <row r="1018" spans="1:13">
      <c r="M1018" t="s">
        <v>477</v>
      </c>
    </row>
    <row r="1019" spans="1:13">
      <c r="M1019" t="s">
        <v>477</v>
      </c>
    </row>
    <row r="1020" spans="1:13">
      <c r="A1020" s="9"/>
      <c r="M1020" t="s">
        <v>477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477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477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477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477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477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477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477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M1028" t="s">
        <v>477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M1029" t="s">
        <v>477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477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477</v>
      </c>
    </row>
    <row r="1032" spans="1:13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477</v>
      </c>
    </row>
    <row r="1033" spans="1:13">
      <c r="A1033" s="5"/>
      <c r="B1033" s="5"/>
      <c r="C1033" s="5"/>
      <c r="D1033" s="5"/>
      <c r="E1033" s="5"/>
      <c r="F1033" s="5"/>
      <c r="G1033" s="5"/>
      <c r="H1033" s="5"/>
      <c r="I1033" s="5"/>
      <c r="M1033" t="s">
        <v>477</v>
      </c>
    </row>
    <row r="1034" spans="1:13">
      <c r="A1034" s="5"/>
      <c r="B1034" s="5"/>
      <c r="C1034" s="5"/>
      <c r="D1034" s="5"/>
      <c r="E1034" s="5"/>
      <c r="F1034" s="5"/>
      <c r="G1034" s="5"/>
      <c r="H1034" s="5"/>
      <c r="I1034" s="5"/>
      <c r="M1034" t="s">
        <v>477</v>
      </c>
    </row>
    <row r="1035" spans="1:1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477</v>
      </c>
    </row>
    <row r="1036" spans="1:1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477</v>
      </c>
    </row>
    <row r="1037" spans="1:1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477</v>
      </c>
    </row>
    <row r="1038" spans="1:1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M1038" t="s">
        <v>477</v>
      </c>
    </row>
    <row r="1039" spans="1:1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M1039" t="s">
        <v>477</v>
      </c>
    </row>
    <row r="1040" spans="1:13">
      <c r="A1040" s="9"/>
      <c r="M1040" t="s">
        <v>477</v>
      </c>
    </row>
    <row r="1041" spans="1:13">
      <c r="A1041" s="9"/>
      <c r="M1041" t="s">
        <v>477</v>
      </c>
    </row>
    <row r="1042" spans="1:13">
      <c r="A1042" s="9"/>
      <c r="M1042" t="s">
        <v>477</v>
      </c>
    </row>
    <row r="1043" spans="1:13">
      <c r="A1043" s="9"/>
      <c r="M1043" t="s">
        <v>477</v>
      </c>
    </row>
    <row r="1044" spans="1:13">
      <c r="M1044" t="s">
        <v>477</v>
      </c>
    </row>
    <row r="1045" spans="1:13">
      <c r="M1045" t="s">
        <v>477</v>
      </c>
    </row>
    <row r="1046" spans="1:13">
      <c r="A1046" s="9"/>
      <c r="M1046" t="s">
        <v>477</v>
      </c>
    </row>
    <row r="1047" spans="1:13">
      <c r="A1047" s="9"/>
      <c r="M1047" t="s">
        <v>477</v>
      </c>
    </row>
    <row r="1048" spans="1:1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M1048" t="s">
        <v>477</v>
      </c>
    </row>
    <row r="1049" spans="1:13">
      <c r="A1049" s="9"/>
      <c r="M1049" t="s">
        <v>477</v>
      </c>
    </row>
    <row r="1050" spans="1:13">
      <c r="A1050" s="9"/>
      <c r="M1050" t="s">
        <v>477</v>
      </c>
    </row>
    <row r="1051" spans="1:13">
      <c r="A1051" s="9"/>
      <c r="M1051" t="s">
        <v>477</v>
      </c>
    </row>
    <row r="1052" spans="1:13">
      <c r="A1052" s="9"/>
      <c r="M1052" t="s">
        <v>477</v>
      </c>
    </row>
    <row r="1053" spans="1:13">
      <c r="A1053" s="15"/>
      <c r="B1053" s="15"/>
      <c r="C1053" s="15"/>
      <c r="M1053" t="s">
        <v>477</v>
      </c>
    </row>
    <row r="1054" spans="1:13">
      <c r="A1054" s="15"/>
      <c r="B1054" s="15"/>
      <c r="C1054" s="15"/>
      <c r="M1054" t="s">
        <v>477</v>
      </c>
    </row>
    <row r="1055" spans="1:13">
      <c r="A1055" s="15"/>
      <c r="B1055" s="15"/>
      <c r="C1055" s="1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  <c r="J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  <c r="J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L1069" s="16"/>
    </row>
    <row r="1070" spans="1:12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2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4" spans="1:10">
      <c r="A1074" s="17"/>
      <c r="B1074" s="2"/>
      <c r="D1074" s="5"/>
      <c r="E1074" s="5"/>
      <c r="F1074" s="5"/>
      <c r="G1074" s="5"/>
      <c r="H1074" s="5"/>
      <c r="I1074" s="5"/>
      <c r="J1074" s="5"/>
    </row>
    <row r="1075" spans="1:10">
      <c r="A1075" s="17"/>
      <c r="B1075" s="2"/>
      <c r="D1075" s="5"/>
      <c r="E1075" s="5"/>
      <c r="F1075" s="5"/>
      <c r="G1075" s="5"/>
      <c r="H1075" s="5"/>
      <c r="I1075" s="5"/>
      <c r="J1075" s="5"/>
    </row>
    <row r="1078" spans="1:10">
      <c r="A1078" s="39"/>
      <c r="B1078" s="2"/>
      <c r="D1078" s="5"/>
      <c r="E1078" s="5"/>
      <c r="F1078" s="5"/>
      <c r="G1078" s="5"/>
      <c r="H1078" s="5"/>
      <c r="I1078" s="5"/>
      <c r="J1078" s="5"/>
    </row>
    <row r="1079" spans="1:10">
      <c r="A1079" s="17"/>
      <c r="B1079" s="2"/>
      <c r="D1079" s="5"/>
      <c r="E1079" s="5"/>
      <c r="F1079" s="5"/>
      <c r="G1079" s="5"/>
      <c r="H1079" s="5"/>
      <c r="I1079" s="5"/>
      <c r="J1079" s="5"/>
    </row>
    <row r="1080" spans="1:10">
      <c r="A1080" s="17"/>
      <c r="B1080" s="2"/>
    </row>
    <row r="1081" spans="1:10">
      <c r="A1081" s="17"/>
      <c r="B1081" s="2"/>
    </row>
    <row r="1082" spans="1:10">
      <c r="A1082" s="17"/>
      <c r="B1082" s="2"/>
      <c r="D1082" s="5"/>
      <c r="E1082" s="5"/>
      <c r="F1082" s="5"/>
      <c r="G1082" s="5"/>
      <c r="H1082" s="5"/>
      <c r="I1082" s="5"/>
      <c r="J1082" s="5"/>
    </row>
    <row r="1083" spans="1:10">
      <c r="A1083" s="17"/>
      <c r="B1083" s="2"/>
    </row>
    <row r="1084" spans="1:10">
      <c r="A1084" s="32"/>
    </row>
    <row r="1088" spans="1:10">
      <c r="A1088" s="9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  <c r="J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5"/>
      <c r="B1104" s="5"/>
      <c r="C1104" s="5"/>
      <c r="D1104" s="5"/>
      <c r="E1104" s="5"/>
      <c r="F1104" s="5"/>
      <c r="G1104" s="5"/>
      <c r="H1104" s="5"/>
      <c r="I1104" s="5"/>
      <c r="J1104" s="5"/>
    </row>
    <row r="1105" spans="1:13">
      <c r="A1105" s="5"/>
      <c r="B1105" s="5"/>
      <c r="C1105" s="5"/>
      <c r="D1105" s="5"/>
      <c r="E1105" s="5"/>
      <c r="F1105" s="5"/>
      <c r="G1105" s="5"/>
      <c r="H1105" s="5"/>
      <c r="I1105" s="5"/>
      <c r="J1105" s="5"/>
    </row>
    <row r="1106" spans="1:13">
      <c r="A1106" s="9"/>
    </row>
    <row r="1107" spans="1:13">
      <c r="A1107" s="9"/>
    </row>
    <row r="1108" spans="1:13">
      <c r="A1108" s="9"/>
    </row>
    <row r="1109" spans="1:13">
      <c r="A1109" s="9"/>
    </row>
    <row r="1113" spans="1:13">
      <c r="A1113" s="9"/>
    </row>
    <row r="1114" spans="1:13">
      <c r="A1114" s="9"/>
    </row>
    <row r="1115" spans="1:13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M1115" t="s">
        <v>477</v>
      </c>
    </row>
    <row r="1116" spans="1:13">
      <c r="A1116" s="9"/>
      <c r="M1116" t="s">
        <v>477</v>
      </c>
    </row>
    <row r="1117" spans="1:13">
      <c r="A1117" s="9"/>
      <c r="M1117" t="s">
        <v>477</v>
      </c>
    </row>
    <row r="1118" spans="1:13">
      <c r="A1118" s="9"/>
      <c r="M1118" t="s">
        <v>477</v>
      </c>
    </row>
    <row r="1119" spans="1:13">
      <c r="A1119" s="9"/>
    </row>
    <row r="1120" spans="1:13">
      <c r="A1120" s="17"/>
      <c r="B1120" s="2"/>
    </row>
  </sheetData>
  <autoFilter ref="A5:J1401" xr:uid="{00000000-0009-0000-0000-00001E000000}">
    <sortState xmlns:xlrd2="http://schemas.microsoft.com/office/spreadsheetml/2017/richdata2" ref="A6:J1120">
      <sortCondition ref="A5:A1120"/>
    </sortState>
  </autoFilter>
  <conditionalFormatting sqref="A14:A3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4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2578125" defaultRowHeight="15"/>
  <cols>
    <col min="1" max="1" width="18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484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484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484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484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484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484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484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484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484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484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484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484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484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484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484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484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484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484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484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484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484</v>
      </c>
      <c r="B26" s="5" t="s">
        <v>494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484</v>
      </c>
      <c r="B27" s="5" t="s">
        <v>495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484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484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484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484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484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484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484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484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484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484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484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484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484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484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484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484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484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484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484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484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484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484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484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484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484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484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484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484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484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484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484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484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484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484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484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484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484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484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484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484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484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484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484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484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484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484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484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484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484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484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484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484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484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484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484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484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484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484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484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484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484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484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484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484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484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484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484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484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484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484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484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484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484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484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484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484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484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484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484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484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484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484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484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484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484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484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484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484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484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484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484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484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484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484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484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484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484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484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484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484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484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484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484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484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484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484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484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484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484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484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484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484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484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484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484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484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484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484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484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484</v>
      </c>
      <c r="B147" s="2" t="s">
        <v>496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484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484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484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484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484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484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484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484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484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484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484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484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484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484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484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484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484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484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484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484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484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484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484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484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484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484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2578125" defaultRowHeight="15"/>
  <cols>
    <col min="2" max="2" width="25.425781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484</v>
      </c>
      <c r="B5" t="s">
        <v>170</v>
      </c>
      <c r="C5">
        <v>101</v>
      </c>
    </row>
    <row r="6" spans="1:3">
      <c r="A6" t="s">
        <v>484</v>
      </c>
      <c r="B6" t="s">
        <v>171</v>
      </c>
      <c r="C6">
        <v>101</v>
      </c>
    </row>
    <row r="7" spans="1:3">
      <c r="A7" t="s">
        <v>484</v>
      </c>
      <c r="B7" t="s">
        <v>135</v>
      </c>
      <c r="C7">
        <v>11</v>
      </c>
    </row>
    <row r="8" spans="1:3">
      <c r="A8" t="s">
        <v>484</v>
      </c>
      <c r="B8" t="s">
        <v>136</v>
      </c>
      <c r="C8">
        <v>20</v>
      </c>
    </row>
    <row r="9" spans="1:3">
      <c r="A9" t="s">
        <v>484</v>
      </c>
      <c r="B9" t="s">
        <v>147</v>
      </c>
      <c r="C9">
        <v>40</v>
      </c>
    </row>
    <row r="10" spans="1:3">
      <c r="A10" t="s">
        <v>484</v>
      </c>
      <c r="B10" t="s">
        <v>148</v>
      </c>
      <c r="C10">
        <v>40</v>
      </c>
    </row>
    <row r="11" spans="1:3">
      <c r="A11" t="s">
        <v>484</v>
      </c>
      <c r="B11" t="s">
        <v>245</v>
      </c>
      <c r="C11">
        <v>30</v>
      </c>
    </row>
    <row r="12" spans="1:3">
      <c r="A12" t="s">
        <v>484</v>
      </c>
      <c r="B12" t="s">
        <v>247</v>
      </c>
      <c r="C12">
        <v>30</v>
      </c>
    </row>
    <row r="13" spans="1:3">
      <c r="A13" t="s">
        <v>484</v>
      </c>
      <c r="B13" t="s">
        <v>134</v>
      </c>
      <c r="C13">
        <v>40</v>
      </c>
    </row>
    <row r="14" spans="1:3">
      <c r="A14" t="s">
        <v>484</v>
      </c>
      <c r="B14" t="s">
        <v>137</v>
      </c>
      <c r="C14">
        <v>40</v>
      </c>
    </row>
    <row r="15" spans="1:3">
      <c r="A15" t="s">
        <v>484</v>
      </c>
      <c r="B15" t="s">
        <v>191</v>
      </c>
      <c r="C15">
        <v>30</v>
      </c>
    </row>
    <row r="16" spans="1:3">
      <c r="A16" t="s">
        <v>484</v>
      </c>
      <c r="B16" s="2" t="s">
        <v>130</v>
      </c>
      <c r="C16">
        <v>26</v>
      </c>
    </row>
    <row r="17" spans="1:3">
      <c r="A17" t="s">
        <v>484</v>
      </c>
      <c r="B17" s="2" t="s">
        <v>131</v>
      </c>
      <c r="C17">
        <v>31</v>
      </c>
    </row>
    <row r="18" spans="1:3">
      <c r="A18" t="s">
        <v>484</v>
      </c>
      <c r="B18" s="2" t="s">
        <v>125</v>
      </c>
      <c r="C18">
        <v>21</v>
      </c>
    </row>
    <row r="19" spans="1:3">
      <c r="A19" t="s">
        <v>484</v>
      </c>
      <c r="B19" s="2" t="s">
        <v>57</v>
      </c>
      <c r="C19">
        <v>21</v>
      </c>
    </row>
    <row r="20" spans="1:3">
      <c r="A20" t="s">
        <v>484</v>
      </c>
      <c r="B20" s="2" t="s">
        <v>126</v>
      </c>
      <c r="C20">
        <v>21</v>
      </c>
    </row>
    <row r="21" spans="1:3">
      <c r="A21" t="s">
        <v>484</v>
      </c>
      <c r="B21" s="2" t="s">
        <v>127</v>
      </c>
      <c r="C21">
        <v>26</v>
      </c>
    </row>
    <row r="22" spans="1:3">
      <c r="A22" t="s">
        <v>484</v>
      </c>
      <c r="B22" s="2" t="s">
        <v>183</v>
      </c>
      <c r="C22">
        <v>21</v>
      </c>
    </row>
    <row r="23" spans="1:3">
      <c r="A23" t="s">
        <v>484</v>
      </c>
      <c r="B23" s="2" t="s">
        <v>188</v>
      </c>
      <c r="C23">
        <v>26</v>
      </c>
    </row>
    <row r="24" spans="1:3">
      <c r="A24" t="s">
        <v>484</v>
      </c>
      <c r="B24" s="2" t="s">
        <v>176</v>
      </c>
      <c r="C24">
        <v>26</v>
      </c>
    </row>
    <row r="25" spans="1:3">
      <c r="A25" t="s">
        <v>484</v>
      </c>
      <c r="B25" s="2" t="s">
        <v>494</v>
      </c>
      <c r="C25">
        <v>31</v>
      </c>
    </row>
    <row r="26" spans="1:3">
      <c r="A26" t="s">
        <v>484</v>
      </c>
      <c r="B26" s="2" t="s">
        <v>495</v>
      </c>
      <c r="C26">
        <v>31</v>
      </c>
    </row>
    <row r="27" spans="1:3">
      <c r="A27" t="s">
        <v>484</v>
      </c>
      <c r="B27" t="s">
        <v>158</v>
      </c>
      <c r="C27">
        <v>31</v>
      </c>
    </row>
    <row r="28" spans="1:3">
      <c r="A28" t="s">
        <v>484</v>
      </c>
      <c r="B28" t="s">
        <v>103</v>
      </c>
      <c r="C28">
        <v>51</v>
      </c>
    </row>
    <row r="29" spans="1:3">
      <c r="A29" t="s">
        <v>484</v>
      </c>
      <c r="B29" t="s">
        <v>102</v>
      </c>
      <c r="C29">
        <v>31</v>
      </c>
    </row>
    <row r="30" spans="1:3">
      <c r="A30" t="s">
        <v>484</v>
      </c>
      <c r="B30" t="s">
        <v>22</v>
      </c>
      <c r="C30">
        <v>31</v>
      </c>
    </row>
    <row r="31" spans="1:3">
      <c r="A31" t="s">
        <v>484</v>
      </c>
      <c r="B31" t="s">
        <v>23</v>
      </c>
      <c r="C31">
        <v>41</v>
      </c>
    </row>
    <row r="32" spans="1:3">
      <c r="A32" t="s">
        <v>484</v>
      </c>
      <c r="B32" t="s">
        <v>56</v>
      </c>
      <c r="C32">
        <v>31</v>
      </c>
    </row>
    <row r="33" spans="1:3">
      <c r="A33" t="s">
        <v>484</v>
      </c>
      <c r="B33" s="2" t="s">
        <v>132</v>
      </c>
      <c r="C33">
        <v>16</v>
      </c>
    </row>
    <row r="34" spans="1:3">
      <c r="A34" t="s">
        <v>484</v>
      </c>
      <c r="B34" s="2" t="s">
        <v>58</v>
      </c>
      <c r="C34">
        <v>16</v>
      </c>
    </row>
    <row r="35" spans="1:3">
      <c r="A35" t="s">
        <v>484</v>
      </c>
      <c r="B35" s="2" t="s">
        <v>133</v>
      </c>
      <c r="C35">
        <v>16</v>
      </c>
    </row>
    <row r="36" spans="1:3">
      <c r="A36" t="s">
        <v>484</v>
      </c>
      <c r="B36" s="2" t="s">
        <v>128</v>
      </c>
      <c r="C36">
        <v>26</v>
      </c>
    </row>
    <row r="37" spans="1:3">
      <c r="A37" t="s">
        <v>484</v>
      </c>
      <c r="B37" s="2" t="s">
        <v>129</v>
      </c>
      <c r="C37">
        <v>31</v>
      </c>
    </row>
    <row r="38" spans="1:3">
      <c r="A38" t="s">
        <v>484</v>
      </c>
      <c r="B38" s="2" t="s">
        <v>60</v>
      </c>
      <c r="C38">
        <v>16</v>
      </c>
    </row>
    <row r="39" spans="1:3">
      <c r="A39" t="s">
        <v>484</v>
      </c>
      <c r="B39" s="2" t="s">
        <v>123</v>
      </c>
      <c r="C39">
        <v>21</v>
      </c>
    </row>
    <row r="40" spans="1:3">
      <c r="A40" t="s">
        <v>484</v>
      </c>
      <c r="B40" s="2" t="s">
        <v>59</v>
      </c>
      <c r="C40">
        <v>21</v>
      </c>
    </row>
    <row r="41" spans="1:3">
      <c r="A41" t="s">
        <v>484</v>
      </c>
      <c r="B41" s="2" t="s">
        <v>124</v>
      </c>
      <c r="C41">
        <v>21</v>
      </c>
    </row>
    <row r="42" spans="1:3">
      <c r="A42" t="s">
        <v>484</v>
      </c>
      <c r="B42" s="2" t="s">
        <v>189</v>
      </c>
      <c r="C42">
        <v>21</v>
      </c>
    </row>
    <row r="43" spans="1:3">
      <c r="A43" t="s">
        <v>484</v>
      </c>
      <c r="B43" s="2" t="s">
        <v>187</v>
      </c>
      <c r="C43">
        <v>21</v>
      </c>
    </row>
    <row r="44" spans="1:3">
      <c r="A44" t="s">
        <v>484</v>
      </c>
      <c r="B44" t="s">
        <v>86</v>
      </c>
      <c r="C44">
        <v>31</v>
      </c>
    </row>
    <row r="45" spans="1:3">
      <c r="A45" t="s">
        <v>484</v>
      </c>
      <c r="B45" t="s">
        <v>85</v>
      </c>
      <c r="C45">
        <v>31</v>
      </c>
    </row>
    <row r="46" spans="1:3">
      <c r="A46" t="s">
        <v>484</v>
      </c>
      <c r="B46" t="s">
        <v>84</v>
      </c>
      <c r="C46">
        <v>31</v>
      </c>
    </row>
    <row r="47" spans="1:3">
      <c r="A47" t="s">
        <v>484</v>
      </c>
      <c r="B47" t="s">
        <v>87</v>
      </c>
      <c r="C47">
        <v>31</v>
      </c>
    </row>
    <row r="48" spans="1:3">
      <c r="A48" t="s">
        <v>484</v>
      </c>
      <c r="B48" t="s">
        <v>88</v>
      </c>
      <c r="C48">
        <v>31</v>
      </c>
    </row>
    <row r="49" spans="1:3">
      <c r="A49" t="s">
        <v>484</v>
      </c>
      <c r="B49" t="s">
        <v>153</v>
      </c>
      <c r="C49">
        <v>101</v>
      </c>
    </row>
    <row r="50" spans="1:3">
      <c r="A50" t="s">
        <v>484</v>
      </c>
      <c r="B50" t="s">
        <v>96</v>
      </c>
      <c r="C50">
        <v>31</v>
      </c>
    </row>
    <row r="51" spans="1:3">
      <c r="A51" t="s">
        <v>484</v>
      </c>
      <c r="B51" t="s">
        <v>101</v>
      </c>
      <c r="C51">
        <v>41</v>
      </c>
    </row>
    <row r="52" spans="1:3">
      <c r="A52" t="s">
        <v>484</v>
      </c>
      <c r="B52" t="s">
        <v>98</v>
      </c>
      <c r="C52">
        <v>81</v>
      </c>
    </row>
    <row r="53" spans="1:3">
      <c r="A53" t="s">
        <v>484</v>
      </c>
      <c r="B53" t="s">
        <v>99</v>
      </c>
      <c r="C53">
        <v>81</v>
      </c>
    </row>
    <row r="54" spans="1:3">
      <c r="A54" t="s">
        <v>484</v>
      </c>
      <c r="B54" t="s">
        <v>100</v>
      </c>
      <c r="C54">
        <v>21</v>
      </c>
    </row>
    <row r="55" spans="1:3">
      <c r="A55" t="s">
        <v>484</v>
      </c>
      <c r="B55" t="s">
        <v>172</v>
      </c>
      <c r="C55">
        <v>21</v>
      </c>
    </row>
    <row r="56" spans="1:3">
      <c r="A56" t="s">
        <v>484</v>
      </c>
      <c r="B56" t="s">
        <v>173</v>
      </c>
      <c r="C56">
        <v>21</v>
      </c>
    </row>
    <row r="57" spans="1:3">
      <c r="A57" t="s">
        <v>484</v>
      </c>
      <c r="B57" t="s">
        <v>90</v>
      </c>
      <c r="C57">
        <v>21</v>
      </c>
    </row>
    <row r="58" spans="1:3">
      <c r="A58" t="s">
        <v>484</v>
      </c>
      <c r="B58" t="s">
        <v>89</v>
      </c>
      <c r="C58">
        <v>21</v>
      </c>
    </row>
    <row r="59" spans="1:3">
      <c r="A59" t="s">
        <v>484</v>
      </c>
      <c r="B59" t="s">
        <v>91</v>
      </c>
      <c r="C59">
        <v>21</v>
      </c>
    </row>
    <row r="60" spans="1:3">
      <c r="A60" t="s">
        <v>484</v>
      </c>
      <c r="B60" t="s">
        <v>165</v>
      </c>
      <c r="C60">
        <v>21</v>
      </c>
    </row>
    <row r="61" spans="1:3">
      <c r="A61" t="s">
        <v>484</v>
      </c>
      <c r="B61" t="s">
        <v>166</v>
      </c>
      <c r="C61">
        <v>21</v>
      </c>
    </row>
    <row r="62" spans="1:3">
      <c r="A62" t="s">
        <v>484</v>
      </c>
      <c r="B62" t="s">
        <v>167</v>
      </c>
      <c r="C62">
        <v>21</v>
      </c>
    </row>
    <row r="63" spans="1:3">
      <c r="A63" t="s">
        <v>484</v>
      </c>
      <c r="B63" t="s">
        <v>93</v>
      </c>
      <c r="C63">
        <v>21</v>
      </c>
    </row>
    <row r="64" spans="1:3">
      <c r="A64" t="s">
        <v>484</v>
      </c>
      <c r="B64" t="s">
        <v>92</v>
      </c>
      <c r="C64">
        <v>21</v>
      </c>
    </row>
    <row r="65" spans="1:3">
      <c r="A65" t="s">
        <v>484</v>
      </c>
      <c r="B65" t="s">
        <v>94</v>
      </c>
      <c r="C65">
        <v>21</v>
      </c>
    </row>
    <row r="66" spans="1:3">
      <c r="A66" t="s">
        <v>484</v>
      </c>
      <c r="B66" t="s">
        <v>121</v>
      </c>
      <c r="C66">
        <v>31</v>
      </c>
    </row>
    <row r="67" spans="1:3">
      <c r="A67" t="s">
        <v>484</v>
      </c>
      <c r="B67" t="s">
        <v>122</v>
      </c>
      <c r="C67">
        <v>31</v>
      </c>
    </row>
    <row r="68" spans="1:3">
      <c r="A68" t="s">
        <v>484</v>
      </c>
      <c r="B68" t="s">
        <v>157</v>
      </c>
      <c r="C68">
        <v>31</v>
      </c>
    </row>
    <row r="69" spans="1:3">
      <c r="A69" t="s">
        <v>484</v>
      </c>
      <c r="B69" t="s">
        <v>195</v>
      </c>
      <c r="C69">
        <v>101</v>
      </c>
    </row>
    <row r="70" spans="1:3">
      <c r="A70" t="s">
        <v>484</v>
      </c>
      <c r="B70" t="s">
        <v>193</v>
      </c>
      <c r="C70">
        <v>31</v>
      </c>
    </row>
    <row r="71" spans="1:3">
      <c r="A71" t="s">
        <v>484</v>
      </c>
      <c r="B71" t="s">
        <v>194</v>
      </c>
      <c r="C71">
        <v>31</v>
      </c>
    </row>
    <row r="72" spans="1:3">
      <c r="A72" t="s">
        <v>484</v>
      </c>
      <c r="B72" t="s">
        <v>219</v>
      </c>
      <c r="C72">
        <v>26</v>
      </c>
    </row>
    <row r="73" spans="1:3">
      <c r="A73" t="s">
        <v>484</v>
      </c>
      <c r="B73" t="s">
        <v>206</v>
      </c>
      <c r="C73">
        <v>26</v>
      </c>
    </row>
    <row r="74" spans="1:3">
      <c r="A74" t="s">
        <v>484</v>
      </c>
      <c r="B74" t="s">
        <v>201</v>
      </c>
      <c r="C74">
        <v>26</v>
      </c>
    </row>
    <row r="75" spans="1:3">
      <c r="A75" t="s">
        <v>484</v>
      </c>
      <c r="B75" t="s">
        <v>205</v>
      </c>
      <c r="C75">
        <v>26</v>
      </c>
    </row>
    <row r="76" spans="1:3">
      <c r="A76" t="s">
        <v>484</v>
      </c>
      <c r="B76" t="s">
        <v>202</v>
      </c>
      <c r="C76">
        <v>26</v>
      </c>
    </row>
    <row r="77" spans="1:3">
      <c r="A77" t="s">
        <v>484</v>
      </c>
      <c r="B77" t="s">
        <v>203</v>
      </c>
      <c r="C77">
        <v>26</v>
      </c>
    </row>
    <row r="78" spans="1:3">
      <c r="A78" t="s">
        <v>484</v>
      </c>
      <c r="B78" t="s">
        <v>204</v>
      </c>
      <c r="C78">
        <v>26</v>
      </c>
    </row>
    <row r="79" spans="1:3">
      <c r="A79" t="s">
        <v>484</v>
      </c>
      <c r="B79" t="s">
        <v>227</v>
      </c>
      <c r="C79">
        <v>26</v>
      </c>
    </row>
    <row r="80" spans="1:3">
      <c r="A80" t="s">
        <v>484</v>
      </c>
      <c r="B80" t="s">
        <v>228</v>
      </c>
      <c r="C80">
        <v>26</v>
      </c>
    </row>
    <row r="81" spans="1:3">
      <c r="A81" t="s">
        <v>484</v>
      </c>
      <c r="B81" t="s">
        <v>229</v>
      </c>
      <c r="C81">
        <v>26</v>
      </c>
    </row>
    <row r="82" spans="1:3">
      <c r="A82" t="s">
        <v>484</v>
      </c>
      <c r="B82" t="s">
        <v>230</v>
      </c>
      <c r="C82">
        <v>21</v>
      </c>
    </row>
    <row r="83" spans="1:3">
      <c r="A83" t="s">
        <v>484</v>
      </c>
      <c r="B83" t="s">
        <v>231</v>
      </c>
      <c r="C83">
        <v>21</v>
      </c>
    </row>
    <row r="84" spans="1:3">
      <c r="A84" t="s">
        <v>484</v>
      </c>
      <c r="B84" t="s">
        <v>210</v>
      </c>
      <c r="C84">
        <v>41</v>
      </c>
    </row>
    <row r="85" spans="1:3">
      <c r="A85" t="s">
        <v>484</v>
      </c>
      <c r="B85" t="s">
        <v>220</v>
      </c>
      <c r="C85">
        <v>26</v>
      </c>
    </row>
    <row r="86" spans="1:3">
      <c r="A86" t="s">
        <v>484</v>
      </c>
      <c r="B86" t="s">
        <v>221</v>
      </c>
      <c r="C86">
        <v>26</v>
      </c>
    </row>
    <row r="87" spans="1:3">
      <c r="A87" t="s">
        <v>484</v>
      </c>
      <c r="B87" t="s">
        <v>211</v>
      </c>
      <c r="C87">
        <v>26</v>
      </c>
    </row>
    <row r="88" spans="1:3">
      <c r="A88" t="s">
        <v>484</v>
      </c>
      <c r="B88" t="s">
        <v>212</v>
      </c>
      <c r="C88">
        <v>26</v>
      </c>
    </row>
    <row r="89" spans="1:3">
      <c r="A89" t="s">
        <v>484</v>
      </c>
      <c r="B89" t="s">
        <v>213</v>
      </c>
      <c r="C89">
        <v>26</v>
      </c>
    </row>
    <row r="90" spans="1:3">
      <c r="A90" t="s">
        <v>484</v>
      </c>
      <c r="B90" t="s">
        <v>214</v>
      </c>
      <c r="C90">
        <v>26</v>
      </c>
    </row>
    <row r="91" spans="1:3">
      <c r="A91" t="s">
        <v>484</v>
      </c>
      <c r="B91" t="s">
        <v>215</v>
      </c>
      <c r="C91">
        <v>26</v>
      </c>
    </row>
    <row r="92" spans="1:3">
      <c r="A92" t="s">
        <v>484</v>
      </c>
      <c r="B92" t="s">
        <v>216</v>
      </c>
      <c r="C92">
        <v>26</v>
      </c>
    </row>
    <row r="93" spans="1:3">
      <c r="A93" t="s">
        <v>484</v>
      </c>
      <c r="B93" t="s">
        <v>244</v>
      </c>
      <c r="C93">
        <v>26</v>
      </c>
    </row>
    <row r="94" spans="1:3">
      <c r="A94" t="s">
        <v>484</v>
      </c>
      <c r="B94" t="s">
        <v>233</v>
      </c>
      <c r="C94">
        <v>21</v>
      </c>
    </row>
    <row r="95" spans="1:3">
      <c r="A95" t="s">
        <v>484</v>
      </c>
      <c r="B95" t="s">
        <v>234</v>
      </c>
      <c r="C95">
        <v>31</v>
      </c>
    </row>
    <row r="96" spans="1:3">
      <c r="A96" t="s">
        <v>484</v>
      </c>
      <c r="B96" t="s">
        <v>217</v>
      </c>
      <c r="C96">
        <v>41</v>
      </c>
    </row>
    <row r="97" spans="1:3">
      <c r="A97" t="s">
        <v>484</v>
      </c>
      <c r="B97" t="s">
        <v>222</v>
      </c>
      <c r="C97">
        <v>21</v>
      </c>
    </row>
    <row r="98" spans="1:3">
      <c r="A98" t="s">
        <v>484</v>
      </c>
      <c r="B98" t="s">
        <v>218</v>
      </c>
      <c r="C98">
        <v>31</v>
      </c>
    </row>
    <row r="99" spans="1:3">
      <c r="A99" t="s">
        <v>484</v>
      </c>
      <c r="B99" t="s">
        <v>232</v>
      </c>
      <c r="C99">
        <v>26</v>
      </c>
    </row>
    <row r="100" spans="1:3">
      <c r="A100" t="s">
        <v>484</v>
      </c>
      <c r="B100" s="15" t="s">
        <v>225</v>
      </c>
      <c r="C100">
        <v>31</v>
      </c>
    </row>
    <row r="101" spans="1:3">
      <c r="A101" t="s">
        <v>484</v>
      </c>
      <c r="B101" s="15" t="s">
        <v>236</v>
      </c>
      <c r="C101">
        <v>31</v>
      </c>
    </row>
    <row r="102" spans="1:3">
      <c r="A102" t="s">
        <v>484</v>
      </c>
      <c r="B102" s="15" t="s">
        <v>223</v>
      </c>
      <c r="C102">
        <v>31</v>
      </c>
    </row>
    <row r="103" spans="1:3">
      <c r="A103" t="s">
        <v>484</v>
      </c>
      <c r="B103" s="15" t="s">
        <v>224</v>
      </c>
      <c r="C103">
        <v>31</v>
      </c>
    </row>
    <row r="104" spans="1:3">
      <c r="A104" t="s">
        <v>484</v>
      </c>
      <c r="B104" s="15" t="s">
        <v>235</v>
      </c>
      <c r="C104">
        <v>31</v>
      </c>
    </row>
    <row r="105" spans="1:3">
      <c r="A105" t="s">
        <v>484</v>
      </c>
      <c r="B105" s="15" t="s">
        <v>226</v>
      </c>
      <c r="C105">
        <v>31</v>
      </c>
    </row>
    <row r="106" spans="1:3">
      <c r="A106" t="s">
        <v>484</v>
      </c>
      <c r="B106" t="s">
        <v>238</v>
      </c>
      <c r="C106">
        <v>26</v>
      </c>
    </row>
    <row r="107" spans="1:3">
      <c r="A107" t="s">
        <v>484</v>
      </c>
      <c r="B107" t="s">
        <v>239</v>
      </c>
      <c r="C107">
        <v>21</v>
      </c>
    </row>
    <row r="108" spans="1:3">
      <c r="A108" t="s">
        <v>484</v>
      </c>
      <c r="B108" t="s">
        <v>240</v>
      </c>
      <c r="C108">
        <v>21</v>
      </c>
    </row>
    <row r="109" spans="1:3">
      <c r="A109" t="s">
        <v>484</v>
      </c>
      <c r="B109" t="s">
        <v>241</v>
      </c>
      <c r="C109">
        <v>21</v>
      </c>
    </row>
    <row r="110" spans="1:3">
      <c r="A110" t="s">
        <v>484</v>
      </c>
      <c r="B110" t="s">
        <v>242</v>
      </c>
      <c r="C110">
        <v>21</v>
      </c>
    </row>
    <row r="111" spans="1:3">
      <c r="A111" t="s">
        <v>484</v>
      </c>
      <c r="B111" t="s">
        <v>243</v>
      </c>
      <c r="C111">
        <v>26</v>
      </c>
    </row>
    <row r="112" spans="1:3">
      <c r="A112" t="s">
        <v>484</v>
      </c>
      <c r="B112" t="s">
        <v>249</v>
      </c>
      <c r="C112">
        <v>21</v>
      </c>
    </row>
    <row r="113" spans="1:3">
      <c r="A113" t="s">
        <v>484</v>
      </c>
      <c r="B113" t="s">
        <v>250</v>
      </c>
      <c r="C113">
        <v>21</v>
      </c>
    </row>
    <row r="114" spans="1:3">
      <c r="A114" t="s">
        <v>484</v>
      </c>
      <c r="B114" t="s">
        <v>262</v>
      </c>
      <c r="C114">
        <v>26</v>
      </c>
    </row>
    <row r="115" spans="1:3">
      <c r="A115" t="s">
        <v>484</v>
      </c>
      <c r="B115" t="s">
        <v>256</v>
      </c>
      <c r="C115">
        <v>31</v>
      </c>
    </row>
    <row r="116" spans="1:3">
      <c r="A116" t="s">
        <v>484</v>
      </c>
      <c r="B116" t="s">
        <v>257</v>
      </c>
      <c r="C116">
        <v>26</v>
      </c>
    </row>
    <row r="117" spans="1:3">
      <c r="A117" t="s">
        <v>484</v>
      </c>
      <c r="B117" t="s">
        <v>263</v>
      </c>
      <c r="C117">
        <v>26</v>
      </c>
    </row>
    <row r="118" spans="1:3">
      <c r="A118" t="s">
        <v>484</v>
      </c>
      <c r="B118" t="s">
        <v>254</v>
      </c>
      <c r="C118">
        <v>26</v>
      </c>
    </row>
    <row r="119" spans="1:3">
      <c r="A119" t="s">
        <v>484</v>
      </c>
      <c r="B119" t="s">
        <v>255</v>
      </c>
      <c r="C119">
        <v>26</v>
      </c>
    </row>
    <row r="120" spans="1:3">
      <c r="A120" t="s">
        <v>484</v>
      </c>
      <c r="B120" t="s">
        <v>258</v>
      </c>
      <c r="C120">
        <v>26</v>
      </c>
    </row>
    <row r="121" spans="1:3">
      <c r="A121" t="s">
        <v>484</v>
      </c>
      <c r="B121" t="s">
        <v>259</v>
      </c>
      <c r="C121">
        <v>31</v>
      </c>
    </row>
    <row r="122" spans="1:3">
      <c r="A122" t="s">
        <v>484</v>
      </c>
      <c r="B122" t="s">
        <v>251</v>
      </c>
      <c r="C122">
        <v>51</v>
      </c>
    </row>
    <row r="123" spans="1:3">
      <c r="A123" t="s">
        <v>484</v>
      </c>
      <c r="B123" t="s">
        <v>252</v>
      </c>
      <c r="C123">
        <v>51</v>
      </c>
    </row>
    <row r="124" spans="1:3">
      <c r="A124" t="s">
        <v>484</v>
      </c>
      <c r="B124" t="s">
        <v>253</v>
      </c>
      <c r="C124">
        <v>41</v>
      </c>
    </row>
    <row r="125" spans="1:3">
      <c r="A125" t="s">
        <v>484</v>
      </c>
      <c r="B125" t="s">
        <v>260</v>
      </c>
      <c r="C125">
        <v>21</v>
      </c>
    </row>
    <row r="126" spans="1:3">
      <c r="A126" t="s">
        <v>484</v>
      </c>
      <c r="B126" t="s">
        <v>261</v>
      </c>
      <c r="C126">
        <v>21</v>
      </c>
    </row>
    <row r="127" spans="1:3">
      <c r="A127" t="s">
        <v>484</v>
      </c>
      <c r="B127" t="s">
        <v>264</v>
      </c>
      <c r="C127">
        <v>21</v>
      </c>
    </row>
    <row r="128" spans="1:3">
      <c r="A128" t="s">
        <v>484</v>
      </c>
      <c r="B128" t="s">
        <v>265</v>
      </c>
      <c r="C128">
        <v>100</v>
      </c>
    </row>
    <row r="129" spans="1:3">
      <c r="A129" s="11" t="s">
        <v>484</v>
      </c>
      <c r="B129" t="s">
        <v>267</v>
      </c>
      <c r="C129">
        <v>36</v>
      </c>
    </row>
    <row r="130" spans="1:3">
      <c r="A130" s="11" t="s">
        <v>484</v>
      </c>
      <c r="B130" t="s">
        <v>268</v>
      </c>
      <c r="C130">
        <v>36</v>
      </c>
    </row>
    <row r="131" spans="1:3">
      <c r="A131" s="11" t="s">
        <v>484</v>
      </c>
      <c r="B131" t="s">
        <v>269</v>
      </c>
      <c r="C131">
        <v>31</v>
      </c>
    </row>
    <row r="132" spans="1:3">
      <c r="A132" t="s">
        <v>484</v>
      </c>
      <c r="B132" t="s">
        <v>300</v>
      </c>
      <c r="C132">
        <v>21</v>
      </c>
    </row>
    <row r="133" spans="1:3">
      <c r="A133" t="s">
        <v>484</v>
      </c>
      <c r="B133" t="s">
        <v>306</v>
      </c>
      <c r="C133">
        <v>101</v>
      </c>
    </row>
    <row r="134" spans="1:3">
      <c r="A134" t="s">
        <v>484</v>
      </c>
      <c r="B134" t="s">
        <v>301</v>
      </c>
      <c r="C134">
        <v>101</v>
      </c>
    </row>
    <row r="135" spans="1:3">
      <c r="A135" t="s">
        <v>484</v>
      </c>
      <c r="B135" t="s">
        <v>304</v>
      </c>
      <c r="C135">
        <v>101</v>
      </c>
    </row>
    <row r="136" spans="1:3">
      <c r="A136" t="s">
        <v>484</v>
      </c>
      <c r="B136" t="s">
        <v>303</v>
      </c>
      <c r="C136">
        <v>101</v>
      </c>
    </row>
    <row r="137" spans="1:3">
      <c r="A137" t="s">
        <v>484</v>
      </c>
      <c r="B137" t="s">
        <v>305</v>
      </c>
      <c r="C137">
        <v>101</v>
      </c>
    </row>
    <row r="138" spans="1:3">
      <c r="A138" t="s">
        <v>484</v>
      </c>
      <c r="B138" t="s">
        <v>302</v>
      </c>
      <c r="C138">
        <v>101</v>
      </c>
    </row>
    <row r="139" spans="1:3">
      <c r="A139" s="18" t="s">
        <v>484</v>
      </c>
      <c r="B139" s="2" t="s">
        <v>310</v>
      </c>
      <c r="C139">
        <v>41</v>
      </c>
    </row>
    <row r="140" spans="1:3">
      <c r="A140" s="18" t="s">
        <v>484</v>
      </c>
      <c r="B140" s="2" t="s">
        <v>311</v>
      </c>
      <c r="C140">
        <v>41</v>
      </c>
    </row>
    <row r="141" spans="1:3">
      <c r="A141" s="18" t="s">
        <v>484</v>
      </c>
      <c r="B141" s="2" t="s">
        <v>316</v>
      </c>
      <c r="C141">
        <v>21</v>
      </c>
    </row>
    <row r="142" spans="1:3">
      <c r="A142" s="18" t="s">
        <v>484</v>
      </c>
      <c r="B142" s="2" t="s">
        <v>496</v>
      </c>
      <c r="C142">
        <v>31</v>
      </c>
    </row>
    <row r="143" spans="1:3">
      <c r="A143" s="18" t="s">
        <v>484</v>
      </c>
      <c r="B143" s="2" t="s">
        <v>317</v>
      </c>
      <c r="C143">
        <v>21</v>
      </c>
    </row>
    <row r="144" spans="1:3">
      <c r="A144" s="18" t="s">
        <v>484</v>
      </c>
      <c r="B144" t="s">
        <v>327</v>
      </c>
      <c r="C144">
        <v>31</v>
      </c>
    </row>
    <row r="145" spans="1:6">
      <c r="A145" s="6" t="s">
        <v>484</v>
      </c>
      <c r="B145" s="2" t="s">
        <v>329</v>
      </c>
      <c r="C145">
        <v>21</v>
      </c>
    </row>
    <row r="146" spans="1:6">
      <c r="A146" s="6" t="s">
        <v>484</v>
      </c>
      <c r="B146" s="2" t="s">
        <v>330</v>
      </c>
      <c r="C146">
        <v>21</v>
      </c>
    </row>
    <row r="147" spans="1:6">
      <c r="A147" t="s">
        <v>484</v>
      </c>
      <c r="B147" s="2" t="s">
        <v>331</v>
      </c>
      <c r="C147">
        <v>101</v>
      </c>
    </row>
    <row r="148" spans="1:6">
      <c r="A148" t="s">
        <v>484</v>
      </c>
      <c r="B148" t="s">
        <v>332</v>
      </c>
      <c r="C148">
        <v>101</v>
      </c>
    </row>
    <row r="149" spans="1:6">
      <c r="A149" t="s">
        <v>484</v>
      </c>
      <c r="B149" t="s">
        <v>333</v>
      </c>
      <c r="C149">
        <v>101</v>
      </c>
    </row>
    <row r="150" spans="1:6">
      <c r="A150" t="s">
        <v>484</v>
      </c>
      <c r="B150" t="s">
        <v>449</v>
      </c>
      <c r="C150">
        <v>31</v>
      </c>
    </row>
    <row r="151" spans="1:6">
      <c r="A151" t="s">
        <v>484</v>
      </c>
      <c r="B151" t="s">
        <v>451</v>
      </c>
      <c r="C151">
        <v>31</v>
      </c>
    </row>
    <row r="152" spans="1:6">
      <c r="A152" t="s">
        <v>484</v>
      </c>
      <c r="B152" t="s">
        <v>450</v>
      </c>
      <c r="C152">
        <v>31</v>
      </c>
    </row>
    <row r="153" spans="1:6">
      <c r="A153" t="s">
        <v>484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484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484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484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484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484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484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484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484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484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484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484</v>
      </c>
      <c r="B164" t="s">
        <v>445</v>
      </c>
      <c r="C164">
        <v>31</v>
      </c>
      <c r="E164" t="s">
        <v>473</v>
      </c>
    </row>
    <row r="165" spans="1:6">
      <c r="A165" t="s">
        <v>484</v>
      </c>
      <c r="B165" t="s">
        <v>447</v>
      </c>
      <c r="C165">
        <v>100</v>
      </c>
    </row>
    <row r="166" spans="1:6">
      <c r="A166" t="s">
        <v>484</v>
      </c>
      <c r="B166" t="s">
        <v>448</v>
      </c>
      <c r="C166">
        <v>100</v>
      </c>
    </row>
    <row r="167" spans="1:6">
      <c r="A167" t="s">
        <v>484</v>
      </c>
      <c r="B167" t="s">
        <v>446</v>
      </c>
      <c r="C167">
        <v>31</v>
      </c>
      <c r="E167" t="s">
        <v>474</v>
      </c>
    </row>
    <row r="168" spans="1:6">
      <c r="A168" t="s">
        <v>484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F12" sqref="F12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21" sqref="C21"/>
    </sheetView>
  </sheetViews>
  <sheetFormatPr defaultColWidth="11.42578125" defaultRowHeight="15"/>
  <cols>
    <col min="1" max="1" width="33.5703125" style="4" customWidth="1"/>
    <col min="2" max="2" width="26.140625" style="4" customWidth="1"/>
    <col min="3" max="16384" width="11.425781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487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483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486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484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480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479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481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485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workbookViewId="0">
      <selection activeCell="C65" sqref="C65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19" bestFit="1" customWidth="1"/>
    <col min="4" max="4" width="16.42578125" style="19" customWidth="1"/>
    <col min="5" max="10" width="18.5703125" style="19" bestFit="1" customWidth="1"/>
    <col min="13" max="15" width="12.14062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487</v>
      </c>
      <c r="B6" t="s">
        <v>488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483</v>
      </c>
      <c r="B7" t="s">
        <v>488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486</v>
      </c>
      <c r="B8" t="s">
        <v>488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484</v>
      </c>
      <c r="B9" t="s">
        <v>488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480</v>
      </c>
      <c r="B10" t="s">
        <v>488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479</v>
      </c>
      <c r="B11" t="s">
        <v>488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481</v>
      </c>
      <c r="B12" t="s">
        <v>488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485</v>
      </c>
      <c r="B13" t="s">
        <v>488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487</v>
      </c>
      <c r="B14" t="s">
        <v>489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483</v>
      </c>
      <c r="B15" t="s">
        <v>489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486</v>
      </c>
      <c r="B16" t="s">
        <v>489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484</v>
      </c>
      <c r="B17" t="s">
        <v>489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480</v>
      </c>
      <c r="B18" t="s">
        <v>489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479</v>
      </c>
      <c r="B19" t="s">
        <v>489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481</v>
      </c>
      <c r="B20" t="s">
        <v>489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485</v>
      </c>
      <c r="B21" t="s">
        <v>489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487</v>
      </c>
      <c r="B22" t="s">
        <v>490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483</v>
      </c>
      <c r="B23" t="s">
        <v>490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486</v>
      </c>
      <c r="B24" t="s">
        <v>490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484</v>
      </c>
      <c r="B25" t="s">
        <v>490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480</v>
      </c>
      <c r="B26" t="s">
        <v>490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479</v>
      </c>
      <c r="B27" t="s">
        <v>490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481</v>
      </c>
      <c r="B28" t="s">
        <v>490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485</v>
      </c>
      <c r="B29" t="s">
        <v>490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487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483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486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484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480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479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481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485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487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483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486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484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480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479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481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485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483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486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484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480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479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481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485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487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483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486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484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480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479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481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485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487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483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486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484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480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479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481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485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487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483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486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484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480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479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481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485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487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483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486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484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480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479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481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485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487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486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484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2578125" defaultRowHeight="15"/>
  <cols>
    <col min="1" max="1" width="20.85546875" style="17" customWidth="1"/>
    <col min="2" max="2" width="15.5703125" bestFit="1" customWidth="1"/>
  </cols>
  <sheetData>
    <row r="1" spans="1:10">
      <c r="A1" s="17" t="s">
        <v>411</v>
      </c>
      <c r="C1" s="19"/>
      <c r="D1" s="19"/>
      <c r="E1" s="19"/>
      <c r="F1" s="48" t="s">
        <v>482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2578125" defaultRowHeight="15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2578125" defaultRowHeight="15"/>
  <cols>
    <col min="1" max="1" width="20.85546875" style="17" customWidth="1"/>
    <col min="2" max="2" width="23.425781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493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491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492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494</v>
      </c>
      <c r="B20" s="2">
        <v>1</v>
      </c>
      <c r="H20">
        <v>1</v>
      </c>
      <c r="N20">
        <v>1</v>
      </c>
    </row>
    <row r="21" spans="1:20">
      <c r="A21" s="2" t="s">
        <v>495</v>
      </c>
      <c r="B21" s="2">
        <v>1</v>
      </c>
      <c r="H21">
        <v>1</v>
      </c>
      <c r="T21">
        <v>1</v>
      </c>
    </row>
    <row r="22" spans="1:20">
      <c r="A22" s="2" t="s">
        <v>495</v>
      </c>
      <c r="B22" s="2">
        <v>2</v>
      </c>
      <c r="H22">
        <v>1</v>
      </c>
      <c r="N22">
        <v>1</v>
      </c>
    </row>
    <row r="23" spans="1:20">
      <c r="A23" s="2" t="s">
        <v>496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selection activeCell="H5" sqref="H5"/>
    </sheetView>
  </sheetViews>
  <sheetFormatPr defaultColWidth="9.140625" defaultRowHeight="15"/>
  <cols>
    <col min="1" max="1" width="16.7109375" customWidth="1"/>
    <col min="2" max="2" width="16.85546875" bestFit="1" customWidth="1"/>
    <col min="3" max="3" width="5" bestFit="1" customWidth="1"/>
    <col min="4" max="4" width="15" bestFit="1" customWidth="1"/>
    <col min="5" max="5" width="13.85546875" bestFit="1" customWidth="1"/>
    <col min="6" max="6" width="12.85546875" bestFit="1" customWidth="1"/>
    <col min="7" max="7" width="13.85546875" bestFit="1" customWidth="1"/>
    <col min="8" max="8" width="21" bestFit="1" customWidth="1"/>
    <col min="9" max="9" width="19.85546875" bestFit="1" customWidth="1"/>
    <col min="10" max="10" width="19" bestFit="1" customWidth="1"/>
    <col min="11" max="11" width="19.85546875" bestFit="1" customWidth="1"/>
    <col min="12" max="12" width="18.2851562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493</v>
      </c>
      <c r="H5" t="s">
        <v>48</v>
      </c>
      <c r="I5" t="s">
        <v>49</v>
      </c>
      <c r="J5" t="s">
        <v>50</v>
      </c>
      <c r="K5" t="s">
        <v>492</v>
      </c>
      <c r="L5" t="s">
        <v>43</v>
      </c>
    </row>
    <row r="6" spans="1:12">
      <c r="A6" t="s">
        <v>487</v>
      </c>
      <c r="B6" t="s">
        <v>146</v>
      </c>
      <c r="C6">
        <v>2018</v>
      </c>
      <c r="D6" s="46">
        <v>0.82491567498970286</v>
      </c>
      <c r="E6">
        <v>0</v>
      </c>
      <c r="F6" s="46">
        <v>0</v>
      </c>
      <c r="G6" s="57">
        <v>0.17508432501029714</v>
      </c>
      <c r="H6" s="46">
        <v>0.82491567498970286</v>
      </c>
      <c r="I6" s="46">
        <v>0</v>
      </c>
      <c r="J6" s="46">
        <v>0</v>
      </c>
      <c r="K6" s="46">
        <v>0.17508432501029714</v>
      </c>
    </row>
    <row r="7" spans="1:12">
      <c r="A7" t="s">
        <v>487</v>
      </c>
      <c r="B7" t="s">
        <v>146</v>
      </c>
      <c r="C7">
        <v>2021</v>
      </c>
      <c r="D7" s="46">
        <v>0.5875207599830744</v>
      </c>
      <c r="E7">
        <v>0</v>
      </c>
      <c r="F7" s="46">
        <v>0</v>
      </c>
      <c r="G7" s="57">
        <v>0.41247924001692571</v>
      </c>
      <c r="H7" s="46">
        <v>0.58458315618315904</v>
      </c>
      <c r="I7" s="46">
        <v>0</v>
      </c>
      <c r="J7" s="46">
        <v>0</v>
      </c>
      <c r="K7" s="46">
        <v>0.41041684381684107</v>
      </c>
      <c r="L7">
        <v>5.8752075998307442E-5</v>
      </c>
    </row>
    <row r="8" spans="1:12">
      <c r="A8" t="s">
        <v>487</v>
      </c>
      <c r="B8" t="s">
        <v>146</v>
      </c>
      <c r="C8">
        <v>2025</v>
      </c>
      <c r="D8">
        <v>0.58164555238324367</v>
      </c>
      <c r="E8">
        <v>0</v>
      </c>
      <c r="F8">
        <v>0</v>
      </c>
      <c r="G8">
        <v>0.40835444761675643</v>
      </c>
      <c r="H8" s="46">
        <v>0.54093036371641667</v>
      </c>
      <c r="I8" s="46">
        <v>0</v>
      </c>
      <c r="J8" s="46">
        <v>0</v>
      </c>
      <c r="K8" s="46">
        <v>0.3879367252359186</v>
      </c>
      <c r="L8">
        <v>1.7449366571497309E-2</v>
      </c>
    </row>
    <row r="9" spans="1:12">
      <c r="A9" t="s">
        <v>487</v>
      </c>
      <c r="B9" t="s">
        <v>146</v>
      </c>
      <c r="C9">
        <v>2030</v>
      </c>
      <c r="D9">
        <v>0.57582909685941119</v>
      </c>
      <c r="E9">
        <v>0</v>
      </c>
      <c r="F9">
        <v>0</v>
      </c>
      <c r="G9">
        <v>0.40427090314058889</v>
      </c>
      <c r="H9" s="46">
        <v>0.44338840458174661</v>
      </c>
      <c r="I9" s="46">
        <v>0</v>
      </c>
      <c r="J9" s="46">
        <v>0</v>
      </c>
      <c r="K9" s="46">
        <f>G9*0.8</f>
        <v>0.32341672251247111</v>
      </c>
      <c r="L9">
        <v>7.485778259172346E-2</v>
      </c>
    </row>
    <row r="10" spans="1:12">
      <c r="A10" t="s">
        <v>487</v>
      </c>
      <c r="B10" t="s">
        <v>146</v>
      </c>
      <c r="C10">
        <v>2035</v>
      </c>
      <c r="D10">
        <v>0.57007080589081705</v>
      </c>
      <c r="E10">
        <v>0</v>
      </c>
      <c r="F10">
        <v>0</v>
      </c>
      <c r="G10">
        <v>0.40022819410918298</v>
      </c>
      <c r="H10" s="46">
        <v>0.33064106741667398</v>
      </c>
      <c r="I10" s="46">
        <v>0</v>
      </c>
      <c r="J10" s="46">
        <v>0</v>
      </c>
      <c r="K10" s="46">
        <f>G10*0.7</f>
        <v>0.28015973587642806</v>
      </c>
      <c r="L10">
        <v>0.14821840953161244</v>
      </c>
    </row>
    <row r="11" spans="1:12">
      <c r="A11" t="s">
        <v>487</v>
      </c>
      <c r="B11" t="s">
        <v>146</v>
      </c>
      <c r="C11">
        <v>2040</v>
      </c>
      <c r="D11">
        <v>0.56437009783190883</v>
      </c>
      <c r="E11">
        <v>0</v>
      </c>
      <c r="F11">
        <v>0</v>
      </c>
      <c r="G11">
        <v>0.39622591216809117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</row>
    <row r="12" spans="1:12">
      <c r="A12" t="s">
        <v>487</v>
      </c>
      <c r="B12" t="s">
        <v>146</v>
      </c>
      <c r="C12">
        <v>2045</v>
      </c>
      <c r="D12">
        <v>0.55872639685358971</v>
      </c>
      <c r="E12">
        <v>0</v>
      </c>
      <c r="F12">
        <v>0</v>
      </c>
      <c r="G12">
        <v>0.39226365304641025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</row>
    <row r="13" spans="1:12">
      <c r="A13" t="s">
        <v>487</v>
      </c>
      <c r="B13" t="s">
        <v>146</v>
      </c>
      <c r="C13">
        <v>2050</v>
      </c>
      <c r="D13">
        <v>0.55313913288505379</v>
      </c>
      <c r="E13">
        <v>0</v>
      </c>
      <c r="F13">
        <v>0</v>
      </c>
      <c r="G13">
        <v>0.38834101651594616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</row>
    <row r="14" spans="1:12">
      <c r="A14" t="s">
        <v>483</v>
      </c>
      <c r="B14" t="s">
        <v>146</v>
      </c>
      <c r="C14">
        <v>2018</v>
      </c>
      <c r="D14" s="46">
        <v>0.26347400832432255</v>
      </c>
      <c r="E14">
        <v>0</v>
      </c>
      <c r="F14" s="46">
        <v>0.68060491961483049</v>
      </c>
      <c r="G14" s="57">
        <v>5.5921072060847003E-2</v>
      </c>
      <c r="H14" s="46">
        <v>0.26347400832432255</v>
      </c>
      <c r="I14" s="46">
        <v>0</v>
      </c>
      <c r="J14" s="46">
        <v>0.68060491961483049</v>
      </c>
      <c r="K14" s="46">
        <v>5.5921072060847003E-2</v>
      </c>
    </row>
    <row r="15" spans="1:12">
      <c r="A15" t="s">
        <v>483</v>
      </c>
      <c r="B15" t="s">
        <v>146</v>
      </c>
      <c r="C15">
        <v>2021</v>
      </c>
      <c r="D15" s="46">
        <v>0.28442470194383357</v>
      </c>
      <c r="E15">
        <v>0</v>
      </c>
      <c r="F15" s="46">
        <v>0.51588995433620521</v>
      </c>
      <c r="G15" s="57">
        <v>0.19968534371996124</v>
      </c>
      <c r="H15" s="46">
        <v>0.28300257843411442</v>
      </c>
      <c r="I15" s="46">
        <v>0</v>
      </c>
      <c r="J15" s="46">
        <v>0.51331050456452421</v>
      </c>
      <c r="K15" s="46">
        <v>0.19868691700136143</v>
      </c>
      <c r="L15">
        <v>2.8442470194383357E-5</v>
      </c>
    </row>
    <row r="16" spans="1:12">
      <c r="A16" t="s">
        <v>483</v>
      </c>
      <c r="B16" t="s">
        <v>146</v>
      </c>
      <c r="C16">
        <v>2025</v>
      </c>
      <c r="D16">
        <v>0.28158045492439521</v>
      </c>
      <c r="E16">
        <v>0</v>
      </c>
      <c r="F16">
        <v>0.5107310547928432</v>
      </c>
      <c r="G16">
        <v>0.19768849028276164</v>
      </c>
      <c r="H16" s="46">
        <v>0.26186982307968754</v>
      </c>
      <c r="I16" s="46">
        <v>0</v>
      </c>
      <c r="J16" s="46">
        <v>0.48519450205320103</v>
      </c>
      <c r="K16" s="46">
        <v>0.18780406576862355</v>
      </c>
      <c r="L16">
        <v>8.4474136477318551E-3</v>
      </c>
    </row>
    <row r="17" spans="1:12">
      <c r="A17" t="s">
        <v>483</v>
      </c>
      <c r="B17" t="s">
        <v>146</v>
      </c>
      <c r="C17">
        <v>2030</v>
      </c>
      <c r="D17">
        <v>0.27876465037515125</v>
      </c>
      <c r="E17">
        <v>0</v>
      </c>
      <c r="F17">
        <v>0.50562374424491474</v>
      </c>
      <c r="G17">
        <v>0.19571160537993401</v>
      </c>
      <c r="H17" s="46">
        <v>0.21464878078886646</v>
      </c>
      <c r="I17" s="46">
        <v>0</v>
      </c>
      <c r="J17" s="46">
        <f>F17*0.85</f>
        <v>0.42978018260817752</v>
      </c>
      <c r="K17" s="46">
        <f>G17*0.8</f>
        <v>0.15656928430394723</v>
      </c>
      <c r="L17">
        <v>3.6239404548769664E-2</v>
      </c>
    </row>
    <row r="18" spans="1:12">
      <c r="A18" t="s">
        <v>483</v>
      </c>
      <c r="B18" t="s">
        <v>146</v>
      </c>
      <c r="C18">
        <v>2035</v>
      </c>
      <c r="D18">
        <v>0.27597700387139973</v>
      </c>
      <c r="E18">
        <v>0</v>
      </c>
      <c r="F18">
        <v>0.50056750680246553</v>
      </c>
      <c r="G18">
        <v>0.19375448932613468</v>
      </c>
      <c r="H18" s="46">
        <v>0.16006666224541183</v>
      </c>
      <c r="I18" s="46">
        <v>0</v>
      </c>
      <c r="J18" s="46">
        <f>F18*0.7</f>
        <v>0.35039725476172584</v>
      </c>
      <c r="K18" s="46">
        <f>G18*0.7</f>
        <v>0.13562814252829428</v>
      </c>
      <c r="L18">
        <v>7.1754021006563931E-2</v>
      </c>
    </row>
    <row r="19" spans="1:12">
      <c r="A19" t="s">
        <v>483</v>
      </c>
      <c r="B19" t="s">
        <v>146</v>
      </c>
      <c r="C19">
        <v>2040</v>
      </c>
      <c r="D19">
        <v>0.2732172338326857</v>
      </c>
      <c r="E19">
        <v>0</v>
      </c>
      <c r="F19">
        <v>0.49556183173444085</v>
      </c>
      <c r="G19">
        <v>0.19181694443287334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</row>
    <row r="20" spans="1:12">
      <c r="A20" t="s">
        <v>483</v>
      </c>
      <c r="B20" t="s">
        <v>146</v>
      </c>
      <c r="C20">
        <v>2045</v>
      </c>
      <c r="D20">
        <v>0.27048506149435886</v>
      </c>
      <c r="E20">
        <v>0</v>
      </c>
      <c r="F20">
        <v>0.49060621341709643</v>
      </c>
      <c r="G20">
        <v>0.1898987749885446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</row>
    <row r="21" spans="1:12">
      <c r="A21" t="s">
        <v>483</v>
      </c>
      <c r="B21" t="s">
        <v>146</v>
      </c>
      <c r="C21">
        <v>2050</v>
      </c>
      <c r="D21">
        <v>0.26778021087941528</v>
      </c>
      <c r="E21">
        <v>0</v>
      </c>
      <c r="F21">
        <v>0.48570015128292549</v>
      </c>
      <c r="G21">
        <v>0.18799978723865915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</row>
    <row r="22" spans="1:12">
      <c r="A22" t="s">
        <v>484</v>
      </c>
      <c r="B22" t="s">
        <v>146</v>
      </c>
      <c r="C22">
        <v>2018</v>
      </c>
      <c r="D22" s="46">
        <v>0.82491567498970286</v>
      </c>
      <c r="E22">
        <v>0</v>
      </c>
      <c r="F22" s="46">
        <v>0</v>
      </c>
      <c r="G22" s="57">
        <v>0.17508432501029708</v>
      </c>
      <c r="H22" s="46">
        <v>0.82491567498970286</v>
      </c>
      <c r="I22" s="46">
        <v>0</v>
      </c>
      <c r="J22" s="46">
        <v>0</v>
      </c>
      <c r="K22" s="46">
        <v>0.17508432501029708</v>
      </c>
    </row>
    <row r="23" spans="1:12">
      <c r="A23" t="s">
        <v>484</v>
      </c>
      <c r="B23" t="s">
        <v>146</v>
      </c>
      <c r="C23">
        <v>2021</v>
      </c>
      <c r="D23" s="46">
        <v>0.5875207599830744</v>
      </c>
      <c r="E23">
        <v>0</v>
      </c>
      <c r="F23" s="46">
        <v>0</v>
      </c>
      <c r="G23" s="57">
        <v>0.41247924001692571</v>
      </c>
      <c r="H23" s="46">
        <v>0.58458315618315904</v>
      </c>
      <c r="I23" s="46">
        <v>0</v>
      </c>
      <c r="J23" s="46">
        <v>0</v>
      </c>
      <c r="K23" s="46">
        <v>0.41041684381684107</v>
      </c>
      <c r="L23">
        <v>5.8752075998307442E-5</v>
      </c>
    </row>
    <row r="24" spans="1:12">
      <c r="A24" t="s">
        <v>484</v>
      </c>
      <c r="B24" t="s">
        <v>146</v>
      </c>
      <c r="C24">
        <v>2025</v>
      </c>
      <c r="D24">
        <v>0.58164555238324367</v>
      </c>
      <c r="E24">
        <v>0</v>
      </c>
      <c r="F24">
        <v>0</v>
      </c>
      <c r="G24">
        <v>0.40835444761675643</v>
      </c>
      <c r="H24" s="46">
        <v>0.54093036371641667</v>
      </c>
      <c r="I24" s="46">
        <v>0</v>
      </c>
      <c r="J24" s="46">
        <v>0</v>
      </c>
      <c r="K24" s="46">
        <v>0.3879367252359186</v>
      </c>
      <c r="L24">
        <v>1.7449366571497309E-2</v>
      </c>
    </row>
    <row r="25" spans="1:12">
      <c r="A25" t="s">
        <v>484</v>
      </c>
      <c r="B25" t="s">
        <v>146</v>
      </c>
      <c r="C25">
        <v>2030</v>
      </c>
      <c r="D25">
        <v>0.57582909685941119</v>
      </c>
      <c r="E25">
        <v>0</v>
      </c>
      <c r="F25">
        <v>0</v>
      </c>
      <c r="G25">
        <v>0.40427090314058889</v>
      </c>
      <c r="H25" s="46">
        <v>0.44338840458174661</v>
      </c>
      <c r="I25" s="46">
        <v>0</v>
      </c>
      <c r="J25" s="46">
        <v>0</v>
      </c>
      <c r="K25" s="46">
        <f>G25*0.8</f>
        <v>0.32341672251247111</v>
      </c>
      <c r="L25">
        <v>7.485778259172346E-2</v>
      </c>
    </row>
    <row r="26" spans="1:12">
      <c r="A26" t="s">
        <v>484</v>
      </c>
      <c r="B26" t="s">
        <v>146</v>
      </c>
      <c r="C26">
        <v>2035</v>
      </c>
      <c r="D26">
        <v>0.57007080589081705</v>
      </c>
      <c r="E26">
        <v>0</v>
      </c>
      <c r="F26">
        <v>0</v>
      </c>
      <c r="G26">
        <v>0.40022819410918298</v>
      </c>
      <c r="H26" s="46">
        <v>0.33064106741667387</v>
      </c>
      <c r="I26" s="46">
        <v>0</v>
      </c>
      <c r="J26" s="46">
        <v>0</v>
      </c>
      <c r="K26" s="46">
        <f>G26*0.7</f>
        <v>0.28015973587642806</v>
      </c>
      <c r="L26">
        <v>0.14821840953161244</v>
      </c>
    </row>
    <row r="27" spans="1:12">
      <c r="A27" t="s">
        <v>484</v>
      </c>
      <c r="B27" t="s">
        <v>146</v>
      </c>
      <c r="C27">
        <v>2040</v>
      </c>
      <c r="D27">
        <v>0.56437009783190883</v>
      </c>
      <c r="E27">
        <v>0</v>
      </c>
      <c r="F27">
        <v>0</v>
      </c>
      <c r="G27">
        <v>0.39622591216809117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</row>
    <row r="28" spans="1:12">
      <c r="A28" t="s">
        <v>484</v>
      </c>
      <c r="B28" t="s">
        <v>146</v>
      </c>
      <c r="C28">
        <v>2045</v>
      </c>
      <c r="D28">
        <v>0.55872639685358971</v>
      </c>
      <c r="E28">
        <v>0</v>
      </c>
      <c r="F28">
        <v>0</v>
      </c>
      <c r="G28">
        <v>0.39226365304641025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</row>
    <row r="29" spans="1:12">
      <c r="A29" t="s">
        <v>484</v>
      </c>
      <c r="B29" t="s">
        <v>146</v>
      </c>
      <c r="C29">
        <v>2050</v>
      </c>
      <c r="D29">
        <v>0.55313913288505379</v>
      </c>
      <c r="E29">
        <v>0</v>
      </c>
      <c r="F29">
        <v>0</v>
      </c>
      <c r="G29">
        <v>0.38834101651594616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</row>
    <row r="30" spans="1:12">
      <c r="A30" t="s">
        <v>486</v>
      </c>
      <c r="B30" t="s">
        <v>146</v>
      </c>
      <c r="C30">
        <v>2018</v>
      </c>
      <c r="D30" s="46">
        <v>0.82491567498970297</v>
      </c>
      <c r="E30">
        <v>0</v>
      </c>
      <c r="F30" s="46">
        <v>0</v>
      </c>
      <c r="G30" s="57">
        <v>0.17508432501029708</v>
      </c>
      <c r="H30" s="46">
        <v>0.82491567498970297</v>
      </c>
      <c r="I30" s="46">
        <v>0</v>
      </c>
      <c r="J30" s="46">
        <v>0</v>
      </c>
      <c r="K30" s="46">
        <v>0.17508432501029708</v>
      </c>
    </row>
    <row r="31" spans="1:12">
      <c r="A31" t="s">
        <v>486</v>
      </c>
      <c r="B31" t="s">
        <v>146</v>
      </c>
      <c r="C31">
        <v>2021</v>
      </c>
      <c r="D31" s="46">
        <v>0.58752075998307429</v>
      </c>
      <c r="E31">
        <v>0</v>
      </c>
      <c r="F31" s="46">
        <v>0</v>
      </c>
      <c r="G31" s="57">
        <v>0.41247924001692571</v>
      </c>
      <c r="H31" s="46">
        <v>0.58458315618315893</v>
      </c>
      <c r="I31" s="46">
        <v>0</v>
      </c>
      <c r="J31" s="46">
        <v>0</v>
      </c>
      <c r="K31" s="46">
        <v>0.41041684381684107</v>
      </c>
      <c r="L31">
        <v>5.8752075998307429E-5</v>
      </c>
    </row>
    <row r="32" spans="1:12">
      <c r="A32" t="s">
        <v>486</v>
      </c>
      <c r="B32" t="s">
        <v>146</v>
      </c>
      <c r="C32">
        <v>2025</v>
      </c>
      <c r="D32">
        <v>0.58164555238324356</v>
      </c>
      <c r="E32">
        <v>0</v>
      </c>
      <c r="F32">
        <v>0</v>
      </c>
      <c r="G32">
        <v>0.40835444761675643</v>
      </c>
      <c r="H32" s="46">
        <v>0.54093036371641656</v>
      </c>
      <c r="I32" s="46">
        <v>0</v>
      </c>
      <c r="J32" s="46">
        <v>0</v>
      </c>
      <c r="K32" s="46">
        <v>0.3879367252359186</v>
      </c>
      <c r="L32">
        <v>1.7449366571497305E-2</v>
      </c>
    </row>
    <row r="33" spans="1:12">
      <c r="A33" t="s">
        <v>486</v>
      </c>
      <c r="B33" t="s">
        <v>146</v>
      </c>
      <c r="C33">
        <v>2030</v>
      </c>
      <c r="D33">
        <v>0.57582909685941108</v>
      </c>
      <c r="E33">
        <v>0</v>
      </c>
      <c r="F33">
        <v>0</v>
      </c>
      <c r="G33">
        <v>0.40427090314058889</v>
      </c>
      <c r="H33" s="46">
        <v>0.44338840458174655</v>
      </c>
      <c r="I33" s="46">
        <v>0</v>
      </c>
      <c r="J33" s="46">
        <v>0</v>
      </c>
      <c r="K33" s="46">
        <f>G33*0.8</f>
        <v>0.32341672251247111</v>
      </c>
      <c r="L33">
        <v>7.4857782591723446E-2</v>
      </c>
    </row>
    <row r="34" spans="1:12">
      <c r="A34" t="s">
        <v>486</v>
      </c>
      <c r="B34" t="s">
        <v>146</v>
      </c>
      <c r="C34">
        <v>2035</v>
      </c>
      <c r="D34">
        <v>0.57007080589081693</v>
      </c>
      <c r="E34">
        <v>0</v>
      </c>
      <c r="F34">
        <v>0</v>
      </c>
      <c r="G34">
        <v>0.40022819410918298</v>
      </c>
      <c r="H34" s="46">
        <v>0.33064106741667382</v>
      </c>
      <c r="I34" s="46">
        <v>0</v>
      </c>
      <c r="J34" s="46">
        <v>0</v>
      </c>
      <c r="K34" s="46">
        <f>G34*0.7</f>
        <v>0.28015973587642806</v>
      </c>
      <c r="L34">
        <v>0.14821840953161242</v>
      </c>
    </row>
    <row r="35" spans="1:12">
      <c r="A35" t="s">
        <v>486</v>
      </c>
      <c r="B35" t="s">
        <v>146</v>
      </c>
      <c r="C35">
        <v>2040</v>
      </c>
      <c r="D35">
        <v>0.56437009783190872</v>
      </c>
      <c r="E35">
        <v>0</v>
      </c>
      <c r="F35">
        <v>0</v>
      </c>
      <c r="G35">
        <v>0.39622591216809117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</row>
    <row r="36" spans="1:12">
      <c r="A36" t="s">
        <v>486</v>
      </c>
      <c r="B36" t="s">
        <v>146</v>
      </c>
      <c r="C36">
        <v>2045</v>
      </c>
      <c r="D36">
        <v>0.5587263968535896</v>
      </c>
      <c r="E36">
        <v>0</v>
      </c>
      <c r="F36">
        <v>0</v>
      </c>
      <c r="G36">
        <v>0.39226365304641025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</row>
    <row r="37" spans="1:12">
      <c r="A37" t="s">
        <v>486</v>
      </c>
      <c r="B37" t="s">
        <v>146</v>
      </c>
      <c r="C37">
        <v>2050</v>
      </c>
      <c r="D37">
        <v>0.55313913288505367</v>
      </c>
      <c r="E37">
        <v>0</v>
      </c>
      <c r="F37">
        <v>0</v>
      </c>
      <c r="G37">
        <v>0.38834101651594616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</row>
    <row r="38" spans="1:12">
      <c r="A38" t="s">
        <v>480</v>
      </c>
      <c r="B38" t="s">
        <v>146</v>
      </c>
      <c r="C38">
        <v>2018</v>
      </c>
      <c r="D38" s="46">
        <v>0.82491567498970297</v>
      </c>
      <c r="E38">
        <v>0</v>
      </c>
      <c r="F38" s="46">
        <v>0</v>
      </c>
      <c r="G38" s="57">
        <v>0.17508432501029714</v>
      </c>
      <c r="H38" s="46">
        <v>0.82491567498970297</v>
      </c>
      <c r="I38" s="46">
        <v>0</v>
      </c>
      <c r="J38" s="46">
        <v>0</v>
      </c>
      <c r="K38" s="46">
        <v>0.17508432501029714</v>
      </c>
    </row>
    <row r="39" spans="1:12">
      <c r="A39" t="s">
        <v>480</v>
      </c>
      <c r="B39" t="s">
        <v>146</v>
      </c>
      <c r="C39">
        <v>2021</v>
      </c>
      <c r="D39" s="46">
        <v>0.58752075998307429</v>
      </c>
      <c r="E39">
        <v>0</v>
      </c>
      <c r="F39" s="46">
        <v>0</v>
      </c>
      <c r="G39" s="57">
        <v>0.41247924001692576</v>
      </c>
      <c r="H39" s="46">
        <v>0.58458315618315893</v>
      </c>
      <c r="I39" s="46">
        <v>0</v>
      </c>
      <c r="J39" s="46">
        <v>0</v>
      </c>
      <c r="K39" s="46">
        <v>0.41041684381684113</v>
      </c>
      <c r="L39">
        <v>5.8752075998307429E-5</v>
      </c>
    </row>
    <row r="40" spans="1:12">
      <c r="A40" t="s">
        <v>480</v>
      </c>
      <c r="B40" t="s">
        <v>146</v>
      </c>
      <c r="C40">
        <v>2025</v>
      </c>
      <c r="D40">
        <v>0.58164555238324356</v>
      </c>
      <c r="E40">
        <v>0</v>
      </c>
      <c r="F40">
        <v>0</v>
      </c>
      <c r="G40">
        <v>0.40835444761675649</v>
      </c>
      <c r="H40" s="46">
        <v>0.54093036371641656</v>
      </c>
      <c r="I40" s="46">
        <v>0</v>
      </c>
      <c r="J40" s="46">
        <v>0</v>
      </c>
      <c r="K40" s="46">
        <v>0.38793672523591866</v>
      </c>
      <c r="L40">
        <v>1.7449366571497305E-2</v>
      </c>
    </row>
    <row r="41" spans="1:12">
      <c r="A41" t="s">
        <v>480</v>
      </c>
      <c r="B41" t="s">
        <v>146</v>
      </c>
      <c r="C41">
        <v>2030</v>
      </c>
      <c r="D41">
        <v>0.57582909685941108</v>
      </c>
      <c r="E41">
        <v>0</v>
      </c>
      <c r="F41">
        <v>0</v>
      </c>
      <c r="G41">
        <v>0.40427090314058894</v>
      </c>
      <c r="H41" s="46">
        <v>0.44338840458174655</v>
      </c>
      <c r="I41" s="46">
        <v>0</v>
      </c>
      <c r="J41" s="46">
        <v>0</v>
      </c>
      <c r="K41" s="46">
        <f>G41*0.8</f>
        <v>0.32341672251247117</v>
      </c>
      <c r="L41">
        <v>7.4857782591723446E-2</v>
      </c>
    </row>
    <row r="42" spans="1:12">
      <c r="A42" t="s">
        <v>480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0.40022819410918303</v>
      </c>
      <c r="H42" s="46">
        <v>0.33064106741667382</v>
      </c>
      <c r="I42" s="46">
        <v>0</v>
      </c>
      <c r="J42" s="46">
        <v>0</v>
      </c>
      <c r="K42" s="46">
        <f>G42*0.7</f>
        <v>0.28015973587642812</v>
      </c>
      <c r="L42">
        <v>0.14821840953161242</v>
      </c>
    </row>
    <row r="43" spans="1:12">
      <c r="A43" t="s">
        <v>480</v>
      </c>
      <c r="B43" t="s">
        <v>146</v>
      </c>
      <c r="C43">
        <v>2040</v>
      </c>
      <c r="D43">
        <v>0.56437009783190872</v>
      </c>
      <c r="E43">
        <v>0</v>
      </c>
      <c r="F43">
        <v>0</v>
      </c>
      <c r="G43">
        <v>0.39622591216809122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</row>
    <row r="44" spans="1:12">
      <c r="A44" t="s">
        <v>480</v>
      </c>
      <c r="B44" t="s">
        <v>146</v>
      </c>
      <c r="C44">
        <v>2045</v>
      </c>
      <c r="D44">
        <v>0.5587263968535896</v>
      </c>
      <c r="E44">
        <v>0</v>
      </c>
      <c r="F44">
        <v>0</v>
      </c>
      <c r="G44">
        <v>0.39226365304641031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</row>
    <row r="45" spans="1:12">
      <c r="A45" t="s">
        <v>480</v>
      </c>
      <c r="B45" t="s">
        <v>146</v>
      </c>
      <c r="C45">
        <v>2050</v>
      </c>
      <c r="D45">
        <v>0.55313913288505367</v>
      </c>
      <c r="E45">
        <v>0</v>
      </c>
      <c r="F45">
        <v>0</v>
      </c>
      <c r="G45">
        <v>0.38834101651594621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</row>
    <row r="46" spans="1:12">
      <c r="A46" t="s">
        <v>479</v>
      </c>
      <c r="B46" t="s">
        <v>146</v>
      </c>
      <c r="C46">
        <v>2018</v>
      </c>
      <c r="D46" s="46">
        <v>0.82491567498970297</v>
      </c>
      <c r="E46">
        <v>0</v>
      </c>
      <c r="F46" s="46">
        <v>0</v>
      </c>
      <c r="G46" s="57">
        <v>0.17508432501029708</v>
      </c>
      <c r="H46" s="46">
        <v>0.82491567498970297</v>
      </c>
      <c r="I46" s="46">
        <v>0</v>
      </c>
      <c r="J46" s="46">
        <v>0</v>
      </c>
      <c r="K46" s="46">
        <v>0.17508432501029708</v>
      </c>
    </row>
    <row r="47" spans="1:12">
      <c r="A47" t="s">
        <v>479</v>
      </c>
      <c r="B47" t="s">
        <v>146</v>
      </c>
      <c r="C47">
        <v>2021</v>
      </c>
      <c r="D47" s="46">
        <v>0.58752075998307429</v>
      </c>
      <c r="E47">
        <v>0</v>
      </c>
      <c r="F47" s="46">
        <v>0</v>
      </c>
      <c r="G47" s="57">
        <v>0.41247924001692565</v>
      </c>
      <c r="H47" s="46">
        <v>0.58458315618315893</v>
      </c>
      <c r="I47" s="46">
        <v>0</v>
      </c>
      <c r="J47" s="46">
        <v>0</v>
      </c>
      <c r="K47" s="46">
        <v>0.41041684381684101</v>
      </c>
      <c r="L47">
        <v>5.8752075998307429E-5</v>
      </c>
    </row>
    <row r="48" spans="1:12">
      <c r="A48" t="s">
        <v>479</v>
      </c>
      <c r="B48" t="s">
        <v>146</v>
      </c>
      <c r="C48">
        <v>2025</v>
      </c>
      <c r="D48">
        <v>0.58164555238324356</v>
      </c>
      <c r="E48">
        <v>0</v>
      </c>
      <c r="F48">
        <v>0</v>
      </c>
      <c r="G48">
        <v>0.40835444761675638</v>
      </c>
      <c r="H48" s="46">
        <v>0.54093036371641656</v>
      </c>
      <c r="I48" s="46">
        <v>0</v>
      </c>
      <c r="J48" s="46">
        <v>0</v>
      </c>
      <c r="K48" s="46">
        <v>0.38793672523591854</v>
      </c>
      <c r="L48">
        <v>1.7449366571497305E-2</v>
      </c>
    </row>
    <row r="49" spans="1:12">
      <c r="A49" t="s">
        <v>479</v>
      </c>
      <c r="B49" t="s">
        <v>146</v>
      </c>
      <c r="C49">
        <v>2030</v>
      </c>
      <c r="D49">
        <v>0.57582909685941108</v>
      </c>
      <c r="E49">
        <v>0</v>
      </c>
      <c r="F49">
        <v>0</v>
      </c>
      <c r="G49">
        <v>0.40427090314058883</v>
      </c>
      <c r="H49" s="46">
        <v>0.44338840458174655</v>
      </c>
      <c r="I49" s="46">
        <v>0</v>
      </c>
      <c r="J49" s="46">
        <v>0</v>
      </c>
      <c r="K49" s="46">
        <f>G49*0.8</f>
        <v>0.32341672251247111</v>
      </c>
      <c r="L49">
        <v>7.4857782591723446E-2</v>
      </c>
    </row>
    <row r="50" spans="1:12">
      <c r="A50" t="s">
        <v>479</v>
      </c>
      <c r="B50" t="s">
        <v>146</v>
      </c>
      <c r="C50">
        <v>2035</v>
      </c>
      <c r="D50">
        <v>0.57007080589081693</v>
      </c>
      <c r="E50">
        <v>0</v>
      </c>
      <c r="F50">
        <v>0</v>
      </c>
      <c r="G50">
        <v>0.40022819410918292</v>
      </c>
      <c r="H50" s="46">
        <v>0.33064106741667382</v>
      </c>
      <c r="I50" s="46">
        <v>0</v>
      </c>
      <c r="J50" s="46">
        <v>0</v>
      </c>
      <c r="K50" s="46">
        <f>G50*0.7</f>
        <v>0.28015973587642801</v>
      </c>
      <c r="L50">
        <v>0.14821840953161242</v>
      </c>
    </row>
    <row r="51" spans="1:12">
      <c r="A51" t="s">
        <v>479</v>
      </c>
      <c r="B51" t="s">
        <v>146</v>
      </c>
      <c r="C51">
        <v>2040</v>
      </c>
      <c r="D51">
        <v>0.56437009783190872</v>
      </c>
      <c r="E51">
        <v>0</v>
      </c>
      <c r="F51">
        <v>0</v>
      </c>
      <c r="G51">
        <v>0.39622591216809111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479</v>
      </c>
      <c r="B52" t="s">
        <v>146</v>
      </c>
      <c r="C52">
        <v>2045</v>
      </c>
      <c r="D52">
        <v>0.5587263968535896</v>
      </c>
      <c r="E52">
        <v>0</v>
      </c>
      <c r="F52">
        <v>0</v>
      </c>
      <c r="G52">
        <v>0.3922636530464102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479</v>
      </c>
      <c r="B53" t="s">
        <v>146</v>
      </c>
      <c r="C53">
        <v>2050</v>
      </c>
      <c r="D53">
        <v>0.55313913288505367</v>
      </c>
      <c r="E53">
        <v>0</v>
      </c>
      <c r="F53">
        <v>0</v>
      </c>
      <c r="G53">
        <v>0.3883410165159461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481</v>
      </c>
      <c r="B54" t="s">
        <v>146</v>
      </c>
      <c r="C54">
        <v>2018</v>
      </c>
      <c r="D54" s="46">
        <v>0.82491567498970297</v>
      </c>
      <c r="E54">
        <v>0</v>
      </c>
      <c r="F54" s="46">
        <v>0</v>
      </c>
      <c r="G54" s="57">
        <v>0.17508432501029708</v>
      </c>
      <c r="H54" s="46">
        <v>0.82491567498970297</v>
      </c>
      <c r="I54" s="46">
        <v>0</v>
      </c>
      <c r="J54" s="46">
        <v>0</v>
      </c>
      <c r="K54" s="46">
        <v>0.17508432501029708</v>
      </c>
    </row>
    <row r="55" spans="1:12">
      <c r="A55" t="s">
        <v>481</v>
      </c>
      <c r="B55" t="s">
        <v>146</v>
      </c>
      <c r="C55">
        <v>2021</v>
      </c>
      <c r="D55" s="46">
        <v>0.5875207599830744</v>
      </c>
      <c r="E55">
        <v>0</v>
      </c>
      <c r="F55" s="46">
        <v>0</v>
      </c>
      <c r="G55" s="57">
        <v>0.41247924001692571</v>
      </c>
      <c r="H55" s="46">
        <v>0.58458315618315904</v>
      </c>
      <c r="I55" s="46">
        <v>0</v>
      </c>
      <c r="J55" s="46">
        <v>0</v>
      </c>
      <c r="K55" s="46">
        <v>0.41041684381684107</v>
      </c>
      <c r="L55">
        <v>5.8752075998307442E-5</v>
      </c>
    </row>
    <row r="56" spans="1:12">
      <c r="A56" t="s">
        <v>481</v>
      </c>
      <c r="B56" t="s">
        <v>146</v>
      </c>
      <c r="C56">
        <v>2025</v>
      </c>
      <c r="D56">
        <v>0.58164555238324367</v>
      </c>
      <c r="E56">
        <v>0</v>
      </c>
      <c r="F56">
        <v>0</v>
      </c>
      <c r="G56">
        <v>0.40835444761675643</v>
      </c>
      <c r="H56" s="46">
        <v>0.54093036371641667</v>
      </c>
      <c r="I56" s="46">
        <v>0</v>
      </c>
      <c r="J56" s="46">
        <v>0</v>
      </c>
      <c r="K56" s="46">
        <v>0.3879367252359186</v>
      </c>
      <c r="L56">
        <v>1.7449366571497309E-2</v>
      </c>
    </row>
    <row r="57" spans="1:12">
      <c r="A57" t="s">
        <v>481</v>
      </c>
      <c r="B57" t="s">
        <v>146</v>
      </c>
      <c r="C57">
        <v>2030</v>
      </c>
      <c r="D57">
        <v>0.57582909685941119</v>
      </c>
      <c r="E57">
        <v>0</v>
      </c>
      <c r="F57">
        <v>0</v>
      </c>
      <c r="G57">
        <v>0.40427090314058889</v>
      </c>
      <c r="H57" s="46">
        <v>0.44338840458174661</v>
      </c>
      <c r="I57" s="46">
        <v>0</v>
      </c>
      <c r="J57" s="46">
        <v>0</v>
      </c>
      <c r="K57" s="46">
        <f>G57*0.8</f>
        <v>0.32341672251247111</v>
      </c>
      <c r="L57">
        <v>7.485778259172346E-2</v>
      </c>
    </row>
    <row r="58" spans="1:12">
      <c r="A58" t="s">
        <v>481</v>
      </c>
      <c r="B58" t="s">
        <v>146</v>
      </c>
      <c r="C58">
        <v>2035</v>
      </c>
      <c r="D58">
        <v>0.57007080589081705</v>
      </c>
      <c r="E58">
        <v>0</v>
      </c>
      <c r="F58">
        <v>0</v>
      </c>
      <c r="G58">
        <v>0.40022819410918298</v>
      </c>
      <c r="H58" s="46">
        <v>0.33064106741667387</v>
      </c>
      <c r="I58" s="46">
        <v>0</v>
      </c>
      <c r="J58" s="46">
        <v>0</v>
      </c>
      <c r="K58" s="46">
        <f>G58*0.7</f>
        <v>0.28015973587642806</v>
      </c>
      <c r="L58">
        <v>0.14821840953161244</v>
      </c>
    </row>
    <row r="59" spans="1:12">
      <c r="A59" t="s">
        <v>481</v>
      </c>
      <c r="B59" t="s">
        <v>146</v>
      </c>
      <c r="C59">
        <v>2040</v>
      </c>
      <c r="D59">
        <v>0.56437009783190883</v>
      </c>
      <c r="E59">
        <v>0</v>
      </c>
      <c r="F59">
        <v>0</v>
      </c>
      <c r="G59">
        <v>0.39622591216809117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481</v>
      </c>
      <c r="B60" t="s">
        <v>146</v>
      </c>
      <c r="C60">
        <v>2045</v>
      </c>
      <c r="D60">
        <v>0.55872639685358971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481</v>
      </c>
      <c r="B61" t="s">
        <v>146</v>
      </c>
      <c r="C61">
        <v>2050</v>
      </c>
      <c r="D61">
        <v>0.55313913288505379</v>
      </c>
      <c r="E61">
        <v>0</v>
      </c>
      <c r="F61">
        <v>0</v>
      </c>
      <c r="G61">
        <v>0.38834101651594616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485</v>
      </c>
      <c r="B62" t="s">
        <v>146</v>
      </c>
      <c r="C62">
        <v>2018</v>
      </c>
      <c r="D62" s="46">
        <v>0.82491567498970286</v>
      </c>
      <c r="E62">
        <v>0</v>
      </c>
      <c r="F62" s="46">
        <v>0</v>
      </c>
      <c r="G62" s="57">
        <v>0.17508432501029708</v>
      </c>
      <c r="H62" s="46">
        <v>0.82491567498970286</v>
      </c>
      <c r="I62" s="46">
        <v>0</v>
      </c>
      <c r="J62" s="46">
        <v>0</v>
      </c>
      <c r="K62" s="46">
        <v>0.17508432501029708</v>
      </c>
    </row>
    <row r="63" spans="1:12">
      <c r="A63" t="s">
        <v>485</v>
      </c>
      <c r="B63" t="s">
        <v>146</v>
      </c>
      <c r="C63">
        <v>2021</v>
      </c>
      <c r="D63" s="46">
        <v>0.58752075998307429</v>
      </c>
      <c r="E63">
        <v>0</v>
      </c>
      <c r="F63" s="46">
        <v>0</v>
      </c>
      <c r="G63" s="57">
        <v>0.41247924001692565</v>
      </c>
      <c r="H63" s="46">
        <v>0.58458315618315893</v>
      </c>
      <c r="I63" s="46">
        <v>0</v>
      </c>
      <c r="J63" s="46">
        <v>0</v>
      </c>
      <c r="K63" s="46">
        <v>0.41041684381684101</v>
      </c>
      <c r="L63">
        <v>5.8752075998307429E-5</v>
      </c>
    </row>
    <row r="64" spans="1:12">
      <c r="A64" t="s">
        <v>485</v>
      </c>
      <c r="B64" t="s">
        <v>146</v>
      </c>
      <c r="C64">
        <v>2025</v>
      </c>
      <c r="D64">
        <v>0.58164555238324356</v>
      </c>
      <c r="E64">
        <v>0</v>
      </c>
      <c r="F64">
        <v>0</v>
      </c>
      <c r="G64">
        <v>0.40835444761675638</v>
      </c>
      <c r="H64" s="46">
        <v>0.54093036371641656</v>
      </c>
      <c r="I64" s="46">
        <v>0</v>
      </c>
      <c r="J64" s="46">
        <v>0</v>
      </c>
      <c r="K64" s="46">
        <v>0.38793672523591854</v>
      </c>
      <c r="L64">
        <v>1.7449366571497305E-2</v>
      </c>
    </row>
    <row r="65" spans="1:12">
      <c r="A65" t="s">
        <v>485</v>
      </c>
      <c r="B65" t="s">
        <v>146</v>
      </c>
      <c r="C65">
        <v>2030</v>
      </c>
      <c r="D65">
        <v>0.57582909685941108</v>
      </c>
      <c r="E65">
        <v>0</v>
      </c>
      <c r="F65">
        <v>0</v>
      </c>
      <c r="G65">
        <v>0.40427090314058883</v>
      </c>
      <c r="H65" s="46">
        <v>0.44338840458174655</v>
      </c>
      <c r="I65" s="46">
        <v>0</v>
      </c>
      <c r="J65" s="46">
        <v>0</v>
      </c>
      <c r="K65" s="46">
        <f>G65*0.8</f>
        <v>0.32341672251247111</v>
      </c>
      <c r="L65">
        <v>7.4857782591723446E-2</v>
      </c>
    </row>
    <row r="66" spans="1:12">
      <c r="A66" t="s">
        <v>485</v>
      </c>
      <c r="B66" t="s">
        <v>146</v>
      </c>
      <c r="C66">
        <v>2035</v>
      </c>
      <c r="D66">
        <v>0.57007080589081693</v>
      </c>
      <c r="E66">
        <v>0</v>
      </c>
      <c r="F66">
        <v>0</v>
      </c>
      <c r="G66">
        <v>0.40022819410918292</v>
      </c>
      <c r="H66" s="46">
        <v>0.33064106741667382</v>
      </c>
      <c r="I66" s="46">
        <v>0</v>
      </c>
      <c r="J66" s="46">
        <v>0</v>
      </c>
      <c r="K66" s="46">
        <f>G66*0.7</f>
        <v>0.28015973587642801</v>
      </c>
      <c r="L66">
        <v>0.14821840953161242</v>
      </c>
    </row>
    <row r="67" spans="1:12">
      <c r="A67" t="s">
        <v>485</v>
      </c>
      <c r="B67" t="s">
        <v>146</v>
      </c>
      <c r="C67">
        <v>2040</v>
      </c>
      <c r="D67">
        <v>0.56437009783190872</v>
      </c>
      <c r="E67">
        <v>0</v>
      </c>
      <c r="F67">
        <v>0</v>
      </c>
      <c r="G67">
        <v>0.39622591216809111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485</v>
      </c>
      <c r="B68" t="s">
        <v>146</v>
      </c>
      <c r="C68">
        <v>2045</v>
      </c>
      <c r="D68">
        <v>0.5587263968535896</v>
      </c>
      <c r="E68">
        <v>0</v>
      </c>
      <c r="F68">
        <v>0</v>
      </c>
      <c r="G68">
        <v>0.3922636530464102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485</v>
      </c>
      <c r="B69" t="s">
        <v>146</v>
      </c>
      <c r="C69">
        <v>2050</v>
      </c>
      <c r="D69">
        <v>0.55313913288505367</v>
      </c>
      <c r="E69">
        <v>0</v>
      </c>
      <c r="F69">
        <v>0</v>
      </c>
      <c r="G69">
        <v>0.3883410165159461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autoFilter ref="A5:L5" xr:uid="{00000000-0001-0000-2B00-000000000000}">
    <sortState xmlns:xlrd2="http://schemas.microsoft.com/office/spreadsheetml/2017/richdata2" ref="A6:L69">
      <sortCondition ref="A5"/>
    </sortState>
  </autoFilter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34" zoomScaleNormal="100" workbookViewId="0">
      <selection activeCell="N52" sqref="N52"/>
    </sheetView>
  </sheetViews>
  <sheetFormatPr defaultColWidth="9.140625" defaultRowHeight="15"/>
  <cols>
    <col min="1" max="16384" width="9.14062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" width="43.7109375" style="4" bestFit="1" customWidth="1"/>
    <col min="2" max="4" width="9.140625" style="4"/>
    <col min="5" max="5" width="14.7109375" style="4" bestFit="1" customWidth="1"/>
    <col min="6" max="6" width="15.140625" style="4" bestFit="1" customWidth="1"/>
    <col min="7" max="7" width="10.42578125" style="4" bestFit="1" customWidth="1"/>
    <col min="8" max="16384" width="9.14062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484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40625" defaultRowHeight="15"/>
  <cols>
    <col min="1" max="16384" width="9.14062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484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484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484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484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484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484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484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484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484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40625" defaultRowHeight="15"/>
  <cols>
    <col min="1" max="16384" width="9.14062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2023-09-22T16:15:50Z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