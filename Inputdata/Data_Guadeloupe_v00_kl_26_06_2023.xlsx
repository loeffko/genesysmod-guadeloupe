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 filterPrivacy="1" codeName="DieseArbeitsmappe" autoCompressPictures="0"/>
  <xr:revisionPtr revIDLastSave="236" documentId="13_ncr:1_{6B3736AF-0EAA-4E71-952A-D5B5A37C84BF}" xr6:coauthVersionLast="47" xr6:coauthVersionMax="47" xr10:uidLastSave="{875AE709-CC04-4D08-BC2A-0A5750198A29}"/>
  <bookViews>
    <workbookView xWindow="-120" yWindow="-120" windowWidth="38640" windowHeight="21120" tabRatio="804" firstSheet="44" activeTab="52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TagTechnologyToModalType" sheetId="65" r:id="rId40"/>
    <sheet name="Par_RegionalCCSLimit" sheetId="89" r:id="rId41"/>
    <sheet name="Par_RegionalBaseYearProduction" sheetId="75" r:id="rId42"/>
    <sheet name="Par_BaseYearProduction" sheetId="74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externalReferences>
    <externalReference r:id="rId54"/>
    <externalReference r:id="rId55"/>
    <externalReference r:id="rId56"/>
    <externalReference r:id="rId57"/>
    <externalReference r:id="rId58"/>
  </externalReference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Par_ModalSplitByFuel!$A$5:$U$478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1" hidden="1">Par_RegionalBaseYearProduction!$A$5:$D$991</definedName>
    <definedName name="_xlnm._FilterDatabase" localSheetId="40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Par_ResidualCapacity!$A$5:$J$1403</definedName>
    <definedName name="_xlnm._FilterDatabase" localSheetId="21" hidden="1">Par_SpecifiedAnnualDemand!$A$5:$BH$12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Par_TradeRoute!$A$5:$AE$423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1">#REF!</definedName>
    <definedName name="Emissions" localSheetId="40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[1]Data!$C$2:$C$24</definedName>
    <definedName name="Fuels" localSheetId="13">[1]Data!$C$2:$C$24</definedName>
    <definedName name="Fuels" localSheetId="15">[1]Data!$C$2:$C$24</definedName>
    <definedName name="Fuels" localSheetId="1">#REF!</definedName>
    <definedName name="Fuels" localSheetId="18">#REF!</definedName>
    <definedName name="Fuels" localSheetId="12">[2]Data!$C$2:$C$24</definedName>
    <definedName name="Fuels" localSheetId="16">[1]Data!$C$2:$C$24</definedName>
    <definedName name="Fuels" localSheetId="41">#REF!</definedName>
    <definedName name="Fuels" localSheetId="40">#REF!</definedName>
    <definedName name="Fuels" localSheetId="22">[1]Data!$C$2:$C$24</definedName>
    <definedName name="Fuels" localSheetId="3">#REF!</definedName>
    <definedName name="Fuels" localSheetId="35">[3]Data!$C$2:$C$24</definedName>
    <definedName name="Fuels" localSheetId="34">[3]Data!$C$2:$C$24</definedName>
    <definedName name="Fuels" localSheetId="10">[2]Data!$C$2:$C$24</definedName>
    <definedName name="Fuels" localSheetId="11">[2]Data!$C$2:$C$24</definedName>
    <definedName name="Fuels">#REF!</definedName>
    <definedName name="Regions" localSheetId="14">[1]Data!$G$2:$G$11</definedName>
    <definedName name="Regions" localSheetId="13">[1]Data!$G$2:$G$11</definedName>
    <definedName name="Regions" localSheetId="15">[1]Data!$G$2:$G$11</definedName>
    <definedName name="Regions" localSheetId="1">#REF!</definedName>
    <definedName name="Regions" localSheetId="18">#REF!</definedName>
    <definedName name="Regions" localSheetId="12">[2]Data!$G$2:$G$11</definedName>
    <definedName name="Regions" localSheetId="16">[1]Data!$G$2:$G$11</definedName>
    <definedName name="Regions" localSheetId="41">#REF!</definedName>
    <definedName name="Regions" localSheetId="40">#REF!</definedName>
    <definedName name="Regions" localSheetId="22">[1]Data!$G$2:$G$11</definedName>
    <definedName name="Regions" localSheetId="3">#REF!</definedName>
    <definedName name="Regions" localSheetId="35">[3]Data!$G$2:$G$11</definedName>
    <definedName name="Regions" localSheetId="34">[3]Data!$G$2:$G$11</definedName>
    <definedName name="Regions" localSheetId="10">[2]Data!$G$2:$G$11</definedName>
    <definedName name="Regions" localSheetId="11">[2]Data!$G$2:$G$11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1">#REF!</definedName>
    <definedName name="Storages" localSheetId="40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[2]Data!#REF!:B</definedName>
    <definedName name="Technologies" localSheetId="43">[4]Data!$B$2:$B$83</definedName>
    <definedName name="Technologies" localSheetId="41">#REF!:B</definedName>
    <definedName name="Technologies" localSheetId="40">#REF!:B</definedName>
    <definedName name="Technologies" localSheetId="3">#REF!:B</definedName>
    <definedName name="Technologies" localSheetId="35">[3]Data!$B$2:$B$69</definedName>
    <definedName name="Technologies" localSheetId="34">[3]Data!$B$2:$B$69</definedName>
    <definedName name="Technologies" localSheetId="10">[2]Data!#REF!:B</definedName>
    <definedName name="Technologies" localSheetId="11">[2]Data!#REF!:B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[2]Data!$E$2:$E$7</definedName>
    <definedName name="Timeslices" localSheetId="41">#REF!</definedName>
    <definedName name="Timeslices" localSheetId="40">#REF!</definedName>
    <definedName name="Timeslices" localSheetId="39">#REF!</definedName>
    <definedName name="Timeslices" localSheetId="3">#REF!</definedName>
    <definedName name="Timeslices" localSheetId="10">[2]Data!$E$2:$E$7</definedName>
    <definedName name="Timeslices" localSheetId="11">[2]Data!$E$2:$E$7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1">#REF!</definedName>
    <definedName name="Years" localSheetId="40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7" i="47" l="1"/>
  <c r="C156" i="47"/>
  <c r="C38" i="47"/>
  <c r="C367" i="47"/>
  <c r="C246" i="47"/>
  <c r="C53" i="47"/>
  <c r="C82" i="47"/>
  <c r="C24" i="47"/>
  <c r="C39" i="47"/>
  <c r="C16" i="47"/>
  <c r="C6" i="47"/>
  <c r="C7" i="47"/>
  <c r="C467" i="47"/>
  <c r="C26" i="47"/>
  <c r="D10" i="47"/>
  <c r="D21" i="21"/>
  <c r="C17" i="21"/>
  <c r="C24" i="21" l="1"/>
  <c r="C15" i="21"/>
  <c r="C36" i="47" l="1"/>
  <c r="J12" i="19"/>
  <c r="I12" i="19"/>
  <c r="H12" i="19"/>
  <c r="G12" i="19"/>
  <c r="F12" i="19"/>
  <c r="E12" i="19"/>
  <c r="D12" i="19"/>
  <c r="C12" i="19"/>
  <c r="J6" i="19"/>
  <c r="I6" i="19"/>
  <c r="H6" i="19"/>
  <c r="G6" i="19"/>
  <c r="F6" i="19"/>
  <c r="E6" i="19"/>
  <c r="D6" i="19"/>
  <c r="C6" i="19"/>
  <c r="D6" i="47"/>
  <c r="E6" i="47"/>
  <c r="E36" i="47" s="1"/>
  <c r="F6" i="47"/>
  <c r="G6" i="47"/>
  <c r="D7" i="47"/>
  <c r="E7" i="47"/>
  <c r="F7" i="47"/>
  <c r="F37" i="47" s="1"/>
  <c r="G7" i="47"/>
  <c r="D8" i="47"/>
  <c r="D38" i="47" s="1"/>
  <c r="E8" i="47"/>
  <c r="E38" i="47" s="1"/>
  <c r="F8" i="47"/>
  <c r="G8" i="47"/>
  <c r="G38" i="47" s="1"/>
  <c r="D9" i="47"/>
  <c r="E9" i="47"/>
  <c r="F9" i="47"/>
  <c r="G9" i="47"/>
  <c r="E10" i="47"/>
  <c r="F10" i="47"/>
  <c r="G10" i="47"/>
  <c r="D11" i="47"/>
  <c r="E11" i="47"/>
  <c r="F11" i="47"/>
  <c r="G11" i="47"/>
  <c r="D12" i="47"/>
  <c r="E12" i="47"/>
  <c r="F12" i="47"/>
  <c r="G12" i="47"/>
  <c r="D13" i="47"/>
  <c r="E13" i="47"/>
  <c r="F13" i="47"/>
  <c r="G13" i="47"/>
  <c r="D14" i="47"/>
  <c r="E14" i="47"/>
  <c r="F14" i="47"/>
  <c r="G14" i="47"/>
  <c r="D15" i="47"/>
  <c r="E15" i="47"/>
  <c r="F15" i="47"/>
  <c r="G15" i="47"/>
  <c r="D16" i="47"/>
  <c r="E16" i="47"/>
  <c r="F16" i="47"/>
  <c r="F46" i="47" s="1"/>
  <c r="G16" i="47"/>
  <c r="G46" i="47" s="1"/>
  <c r="D17" i="47"/>
  <c r="E17" i="47"/>
  <c r="F17" i="47"/>
  <c r="G17" i="47"/>
  <c r="D18" i="47"/>
  <c r="E18" i="47"/>
  <c r="F18" i="47"/>
  <c r="G18" i="47"/>
  <c r="D19" i="47"/>
  <c r="E19" i="47"/>
  <c r="F19" i="47"/>
  <c r="G19" i="47"/>
  <c r="D20" i="47"/>
  <c r="E20" i="47"/>
  <c r="F20" i="47"/>
  <c r="G20" i="47"/>
  <c r="D21" i="47"/>
  <c r="E21" i="47"/>
  <c r="F21" i="47"/>
  <c r="G21" i="47"/>
  <c r="D22" i="47"/>
  <c r="D52" i="47" s="1"/>
  <c r="E22" i="47"/>
  <c r="F22" i="47"/>
  <c r="G22" i="47"/>
  <c r="D23" i="47"/>
  <c r="E23" i="47"/>
  <c r="F23" i="47"/>
  <c r="F53" i="47" s="1"/>
  <c r="G23" i="47"/>
  <c r="D24" i="47"/>
  <c r="E24" i="47"/>
  <c r="F24" i="47"/>
  <c r="G24" i="47"/>
  <c r="D25" i="47"/>
  <c r="D55" i="47" s="1"/>
  <c r="E25" i="47"/>
  <c r="E55" i="47" s="1"/>
  <c r="F25" i="47"/>
  <c r="G25" i="47"/>
  <c r="D26" i="47"/>
  <c r="E26" i="47"/>
  <c r="E56" i="47" s="1"/>
  <c r="F26" i="47"/>
  <c r="G26" i="47"/>
  <c r="G56" i="47" s="1"/>
  <c r="D27" i="47"/>
  <c r="E27" i="47"/>
  <c r="F27" i="47"/>
  <c r="G27" i="47"/>
  <c r="D28" i="47"/>
  <c r="E28" i="47"/>
  <c r="F28" i="47"/>
  <c r="G28" i="47"/>
  <c r="D29" i="47"/>
  <c r="E29" i="47"/>
  <c r="F29" i="47"/>
  <c r="G29" i="47"/>
  <c r="D30" i="47"/>
  <c r="E30" i="47"/>
  <c r="F30" i="47"/>
  <c r="G30" i="47"/>
  <c r="D31" i="47"/>
  <c r="E31" i="47"/>
  <c r="E61" i="47" s="1"/>
  <c r="F31" i="47"/>
  <c r="G31" i="47"/>
  <c r="G61" i="47" s="1"/>
  <c r="D32" i="47"/>
  <c r="E32" i="47"/>
  <c r="F32" i="47"/>
  <c r="G32" i="47"/>
  <c r="D33" i="47"/>
  <c r="D63" i="47" s="1"/>
  <c r="E33" i="47"/>
  <c r="F33" i="47"/>
  <c r="F63" i="47" s="1"/>
  <c r="G33" i="47"/>
  <c r="D34" i="47"/>
  <c r="E34" i="47"/>
  <c r="E64" i="47" s="1"/>
  <c r="F34" i="47"/>
  <c r="F64" i="47" s="1"/>
  <c r="G34" i="47"/>
  <c r="G64" i="47" s="1"/>
  <c r="D35" i="47"/>
  <c r="E35" i="47"/>
  <c r="E65" i="47" s="1"/>
  <c r="F35" i="47"/>
  <c r="G35" i="47"/>
  <c r="C37" i="47"/>
  <c r="C8" i="47"/>
  <c r="C9" i="47"/>
  <c r="C10" i="47"/>
  <c r="C160" i="47" s="1"/>
  <c r="C11" i="47"/>
  <c r="C12" i="47"/>
  <c r="C13" i="47"/>
  <c r="C14" i="47"/>
  <c r="C44" i="47" s="1"/>
  <c r="C15" i="47"/>
  <c r="C17" i="47"/>
  <c r="C18" i="47"/>
  <c r="C19" i="47"/>
  <c r="C20" i="47"/>
  <c r="C21" i="47"/>
  <c r="C22" i="47"/>
  <c r="C52" i="47" s="1"/>
  <c r="C23" i="47"/>
  <c r="C54" i="47"/>
  <c r="C25" i="47"/>
  <c r="C27" i="47"/>
  <c r="C28" i="47"/>
  <c r="C29" i="47"/>
  <c r="C30" i="47"/>
  <c r="C60" i="47" s="1"/>
  <c r="C31" i="47"/>
  <c r="C32" i="47"/>
  <c r="C33" i="47"/>
  <c r="C34" i="47"/>
  <c r="C64" i="47" s="1"/>
  <c r="C35" i="47"/>
  <c r="F109" i="47"/>
  <c r="D109" i="47"/>
  <c r="D65" i="47"/>
  <c r="F57" i="47"/>
  <c r="E57" i="47"/>
  <c r="G47" i="47"/>
  <c r="F47" i="47"/>
  <c r="E46" i="47"/>
  <c r="D46" i="47"/>
  <c r="C45" i="47"/>
  <c r="G39" i="47"/>
  <c r="F39" i="47"/>
  <c r="G65" i="47"/>
  <c r="F65" i="47"/>
  <c r="D64" i="47"/>
  <c r="E63" i="47"/>
  <c r="C63" i="47"/>
  <c r="G62" i="47"/>
  <c r="F62" i="47"/>
  <c r="E60" i="47"/>
  <c r="D60" i="47"/>
  <c r="C59" i="47"/>
  <c r="F118" i="47"/>
  <c r="G57" i="47"/>
  <c r="F56" i="47"/>
  <c r="D56" i="47"/>
  <c r="C56" i="47"/>
  <c r="F55" i="47"/>
  <c r="C55" i="47"/>
  <c r="G54" i="47"/>
  <c r="F54" i="47"/>
  <c r="D54" i="47"/>
  <c r="G53" i="47"/>
  <c r="E52" i="47"/>
  <c r="C51" i="47"/>
  <c r="F110" i="47"/>
  <c r="G45" i="47"/>
  <c r="E45" i="47"/>
  <c r="D45" i="47"/>
  <c r="E44" i="47"/>
  <c r="D44" i="47"/>
  <c r="C43" i="47"/>
  <c r="F101" i="47"/>
  <c r="D101" i="47"/>
  <c r="F38" i="47"/>
  <c r="E37" i="47"/>
  <c r="D37" i="47"/>
  <c r="F84" i="47" l="1"/>
  <c r="F92" i="47"/>
  <c r="G68" i="47"/>
  <c r="C90" i="47"/>
  <c r="G92" i="47"/>
  <c r="D84" i="47"/>
  <c r="D82" i="47"/>
  <c r="F83" i="47"/>
  <c r="D90" i="47"/>
  <c r="G84" i="47"/>
  <c r="G83" i="47"/>
  <c r="C89" i="47"/>
  <c r="E90" i="47"/>
  <c r="D67" i="47"/>
  <c r="E67" i="47"/>
  <c r="E75" i="47"/>
  <c r="E66" i="47"/>
  <c r="G91" i="47"/>
  <c r="F67" i="47"/>
  <c r="D74" i="47"/>
  <c r="E82" i="47"/>
  <c r="F76" i="47"/>
  <c r="G76" i="47"/>
  <c r="E74" i="47"/>
  <c r="C66" i="47"/>
  <c r="C73" i="47"/>
  <c r="G75" i="47"/>
  <c r="C81" i="47"/>
  <c r="F85" i="47"/>
  <c r="D131" i="47"/>
  <c r="F140" i="47"/>
  <c r="F148" i="47"/>
  <c r="F93" i="47"/>
  <c r="C86" i="47"/>
  <c r="C94" i="47"/>
  <c r="C74" i="47"/>
  <c r="D86" i="47"/>
  <c r="D94" i="47"/>
  <c r="F95" i="47"/>
  <c r="F68" i="47"/>
  <c r="D75" i="47"/>
  <c r="F131" i="47"/>
  <c r="C85" i="47"/>
  <c r="E86" i="47"/>
  <c r="G87" i="47"/>
  <c r="C93" i="47"/>
  <c r="E94" i="47"/>
  <c r="G95" i="47"/>
  <c r="D85" i="47"/>
  <c r="F86" i="47"/>
  <c r="D93" i="47"/>
  <c r="F94" i="47"/>
  <c r="C84" i="47"/>
  <c r="E85" i="47"/>
  <c r="G86" i="47"/>
  <c r="E93" i="47"/>
  <c r="G94" i="47"/>
  <c r="F456" i="47"/>
  <c r="F396" i="47"/>
  <c r="F426" i="47"/>
  <c r="F366" i="47"/>
  <c r="F306" i="47"/>
  <c r="F276" i="47"/>
  <c r="F216" i="47"/>
  <c r="F246" i="47"/>
  <c r="F156" i="47"/>
  <c r="F96" i="47"/>
  <c r="D463" i="47"/>
  <c r="D433" i="47"/>
  <c r="D403" i="47"/>
  <c r="D373" i="47"/>
  <c r="D313" i="47"/>
  <c r="D283" i="47"/>
  <c r="D223" i="47"/>
  <c r="D253" i="47"/>
  <c r="D163" i="47"/>
  <c r="D193" i="47"/>
  <c r="D103" i="47"/>
  <c r="F464" i="47"/>
  <c r="F404" i="47"/>
  <c r="F434" i="47"/>
  <c r="F374" i="47"/>
  <c r="F284" i="47"/>
  <c r="F314" i="47"/>
  <c r="F224" i="47"/>
  <c r="F164" i="47"/>
  <c r="F254" i="47"/>
  <c r="F194" i="47"/>
  <c r="F104" i="47"/>
  <c r="D471" i="47"/>
  <c r="D441" i="47"/>
  <c r="D411" i="47"/>
  <c r="D381" i="47"/>
  <c r="D321" i="47"/>
  <c r="D291" i="47"/>
  <c r="D231" i="47"/>
  <c r="D261" i="47"/>
  <c r="D171" i="47"/>
  <c r="D111" i="47"/>
  <c r="D201" i="47"/>
  <c r="F472" i="47"/>
  <c r="F442" i="47"/>
  <c r="F412" i="47"/>
  <c r="F382" i="47"/>
  <c r="F292" i="47"/>
  <c r="F322" i="47"/>
  <c r="F232" i="47"/>
  <c r="F262" i="47"/>
  <c r="F172" i="47"/>
  <c r="F202" i="47"/>
  <c r="F112" i="47"/>
  <c r="D479" i="47"/>
  <c r="D449" i="47"/>
  <c r="D419" i="47"/>
  <c r="D389" i="47"/>
  <c r="D329" i="47"/>
  <c r="D299" i="47"/>
  <c r="D239" i="47"/>
  <c r="D269" i="47"/>
  <c r="D209" i="47"/>
  <c r="D179" i="47"/>
  <c r="D119" i="47"/>
  <c r="F480" i="47"/>
  <c r="F450" i="47"/>
  <c r="F420" i="47"/>
  <c r="F390" i="47"/>
  <c r="F330" i="47"/>
  <c r="F300" i="47"/>
  <c r="F240" i="47"/>
  <c r="F270" i="47"/>
  <c r="F180" i="47"/>
  <c r="F210" i="47"/>
  <c r="F120" i="47"/>
  <c r="F69" i="47"/>
  <c r="E76" i="47"/>
  <c r="G457" i="47"/>
  <c r="G427" i="47"/>
  <c r="G397" i="47"/>
  <c r="G367" i="47"/>
  <c r="G307" i="47"/>
  <c r="G277" i="47"/>
  <c r="G217" i="47"/>
  <c r="G247" i="47"/>
  <c r="G187" i="47"/>
  <c r="G157" i="47"/>
  <c r="G97" i="47"/>
  <c r="C462" i="47"/>
  <c r="C432" i="47"/>
  <c r="C372" i="47"/>
  <c r="C402" i="47"/>
  <c r="C282" i="47"/>
  <c r="C222" i="47"/>
  <c r="C312" i="47"/>
  <c r="C252" i="47"/>
  <c r="C192" i="47"/>
  <c r="C162" i="47"/>
  <c r="C102" i="47"/>
  <c r="E463" i="47"/>
  <c r="E433" i="47"/>
  <c r="E373" i="47"/>
  <c r="E403" i="47"/>
  <c r="E313" i="47"/>
  <c r="E283" i="47"/>
  <c r="E223" i="47"/>
  <c r="E163" i="47"/>
  <c r="E193" i="47"/>
  <c r="E253" i="47"/>
  <c r="E103" i="47"/>
  <c r="G464" i="47"/>
  <c r="G434" i="47"/>
  <c r="G404" i="47"/>
  <c r="G374" i="47"/>
  <c r="G284" i="47"/>
  <c r="G314" i="47"/>
  <c r="G224" i="47"/>
  <c r="G164" i="47"/>
  <c r="G254" i="47"/>
  <c r="G194" i="47"/>
  <c r="G104" i="47"/>
  <c r="C470" i="47"/>
  <c r="C440" i="47"/>
  <c r="C410" i="47"/>
  <c r="C320" i="47"/>
  <c r="C290" i="47"/>
  <c r="C380" i="47"/>
  <c r="C230" i="47"/>
  <c r="C260" i="47"/>
  <c r="C170" i="47"/>
  <c r="C200" i="47"/>
  <c r="C110" i="47"/>
  <c r="E471" i="47"/>
  <c r="E441" i="47"/>
  <c r="E381" i="47"/>
  <c r="E411" i="47"/>
  <c r="E291" i="47"/>
  <c r="E231" i="47"/>
  <c r="E261" i="47"/>
  <c r="E321" i="47"/>
  <c r="E171" i="47"/>
  <c r="E111" i="47"/>
  <c r="E201" i="47"/>
  <c r="G472" i="47"/>
  <c r="G442" i="47"/>
  <c r="G382" i="47"/>
  <c r="G412" i="47"/>
  <c r="G292" i="47"/>
  <c r="G322" i="47"/>
  <c r="G232" i="47"/>
  <c r="G262" i="47"/>
  <c r="G172" i="47"/>
  <c r="G202" i="47"/>
  <c r="G112" i="47"/>
  <c r="C478" i="47"/>
  <c r="C448" i="47"/>
  <c r="C418" i="47"/>
  <c r="C388" i="47"/>
  <c r="C328" i="47"/>
  <c r="C298" i="47"/>
  <c r="C238" i="47"/>
  <c r="C178" i="47"/>
  <c r="C208" i="47"/>
  <c r="C268" i="47"/>
  <c r="C118" i="47"/>
  <c r="E479" i="47"/>
  <c r="E449" i="47"/>
  <c r="E419" i="47"/>
  <c r="E389" i="47"/>
  <c r="E299" i="47"/>
  <c r="E329" i="47"/>
  <c r="E239" i="47"/>
  <c r="E179" i="47"/>
  <c r="E269" i="47"/>
  <c r="E209" i="47"/>
  <c r="E119" i="47"/>
  <c r="G480" i="47"/>
  <c r="G450" i="47"/>
  <c r="G420" i="47"/>
  <c r="G390" i="47"/>
  <c r="G300" i="47"/>
  <c r="G330" i="47"/>
  <c r="G240" i="47"/>
  <c r="G180" i="47"/>
  <c r="G270" i="47"/>
  <c r="G210" i="47"/>
  <c r="G120" i="47"/>
  <c r="G69" i="47"/>
  <c r="D456" i="47"/>
  <c r="D396" i="47"/>
  <c r="D426" i="47"/>
  <c r="D366" i="47"/>
  <c r="D306" i="47"/>
  <c r="D276" i="47"/>
  <c r="D216" i="47"/>
  <c r="D186" i="47"/>
  <c r="D156" i="47"/>
  <c r="D246" i="47"/>
  <c r="D96" i="47"/>
  <c r="F465" i="47"/>
  <c r="F405" i="47"/>
  <c r="F435" i="47"/>
  <c r="F315" i="47"/>
  <c r="F375" i="47"/>
  <c r="F285" i="47"/>
  <c r="F255" i="47"/>
  <c r="F225" i="47"/>
  <c r="F165" i="47"/>
  <c r="F195" i="47"/>
  <c r="F105" i="47"/>
  <c r="E95" i="47"/>
  <c r="D432" i="47"/>
  <c r="D402" i="47"/>
  <c r="D462" i="47"/>
  <c r="D372" i="47"/>
  <c r="D282" i="47"/>
  <c r="D312" i="47"/>
  <c r="D222" i="47"/>
  <c r="D252" i="47"/>
  <c r="D192" i="47"/>
  <c r="D162" i="47"/>
  <c r="D102" i="47"/>
  <c r="F433" i="47"/>
  <c r="F463" i="47"/>
  <c r="F403" i="47"/>
  <c r="F373" i="47"/>
  <c r="F313" i="47"/>
  <c r="F283" i="47"/>
  <c r="F223" i="47"/>
  <c r="F253" i="47"/>
  <c r="F163" i="47"/>
  <c r="F193" i="47"/>
  <c r="F103" i="47"/>
  <c r="D440" i="47"/>
  <c r="D470" i="47"/>
  <c r="D410" i="47"/>
  <c r="D380" i="47"/>
  <c r="D320" i="47"/>
  <c r="D290" i="47"/>
  <c r="D230" i="47"/>
  <c r="D260" i="47"/>
  <c r="D170" i="47"/>
  <c r="D200" i="47"/>
  <c r="D110" i="47"/>
  <c r="F441" i="47"/>
  <c r="F471" i="47"/>
  <c r="F411" i="47"/>
  <c r="F381" i="47"/>
  <c r="F291" i="47"/>
  <c r="F321" i="47"/>
  <c r="F231" i="47"/>
  <c r="F261" i="47"/>
  <c r="F201" i="47"/>
  <c r="F171" i="47"/>
  <c r="F111" i="47"/>
  <c r="D448" i="47"/>
  <c r="D478" i="47"/>
  <c r="D418" i="47"/>
  <c r="D328" i="47"/>
  <c r="D388" i="47"/>
  <c r="D298" i="47"/>
  <c r="D238" i="47"/>
  <c r="D208" i="47"/>
  <c r="D178" i="47"/>
  <c r="D268" i="47"/>
  <c r="D118" i="47"/>
  <c r="F449" i="47"/>
  <c r="F419" i="47"/>
  <c r="F479" i="47"/>
  <c r="F389" i="47"/>
  <c r="F329" i="47"/>
  <c r="F299" i="47"/>
  <c r="F239" i="47"/>
  <c r="F209" i="47"/>
  <c r="F179" i="47"/>
  <c r="F269" i="47"/>
  <c r="F119" i="47"/>
  <c r="D36" i="47"/>
  <c r="F45" i="47"/>
  <c r="F52" i="47"/>
  <c r="D68" i="47"/>
  <c r="D76" i="47"/>
  <c r="C431" i="47"/>
  <c r="C461" i="47"/>
  <c r="C401" i="47"/>
  <c r="C371" i="47"/>
  <c r="C311" i="47"/>
  <c r="C221" i="47"/>
  <c r="C251" i="47"/>
  <c r="C161" i="47"/>
  <c r="C281" i="47"/>
  <c r="C101" i="47"/>
  <c r="C191" i="47"/>
  <c r="E432" i="47"/>
  <c r="E462" i="47"/>
  <c r="E402" i="47"/>
  <c r="E372" i="47"/>
  <c r="E312" i="47"/>
  <c r="E222" i="47"/>
  <c r="E252" i="47"/>
  <c r="E282" i="47"/>
  <c r="E192" i="47"/>
  <c r="E162" i="47"/>
  <c r="E102" i="47"/>
  <c r="G433" i="47"/>
  <c r="G463" i="47"/>
  <c r="G403" i="47"/>
  <c r="G373" i="47"/>
  <c r="G313" i="47"/>
  <c r="G223" i="47"/>
  <c r="G283" i="47"/>
  <c r="G253" i="47"/>
  <c r="G163" i="47"/>
  <c r="G193" i="47"/>
  <c r="G103" i="47"/>
  <c r="C439" i="47"/>
  <c r="C469" i="47"/>
  <c r="C409" i="47"/>
  <c r="C379" i="47"/>
  <c r="C319" i="47"/>
  <c r="C259" i="47"/>
  <c r="C289" i="47"/>
  <c r="C229" i="47"/>
  <c r="C169" i="47"/>
  <c r="C199" i="47"/>
  <c r="C109" i="47"/>
  <c r="E440" i="47"/>
  <c r="E470" i="47"/>
  <c r="E410" i="47"/>
  <c r="E380" i="47"/>
  <c r="E320" i="47"/>
  <c r="E260" i="47"/>
  <c r="E230" i="47"/>
  <c r="E290" i="47"/>
  <c r="E170" i="47"/>
  <c r="E200" i="47"/>
  <c r="E110" i="47"/>
  <c r="G441" i="47"/>
  <c r="G471" i="47"/>
  <c r="G411" i="47"/>
  <c r="G381" i="47"/>
  <c r="G291" i="47"/>
  <c r="G261" i="47"/>
  <c r="G321" i="47"/>
  <c r="G231" i="47"/>
  <c r="G171" i="47"/>
  <c r="G201" i="47"/>
  <c r="G111" i="47"/>
  <c r="C447" i="47"/>
  <c r="C477" i="47"/>
  <c r="C387" i="47"/>
  <c r="C417" i="47"/>
  <c r="C327" i="47"/>
  <c r="C297" i="47"/>
  <c r="C267" i="47"/>
  <c r="C237" i="47"/>
  <c r="C207" i="47"/>
  <c r="C177" i="47"/>
  <c r="C117" i="47"/>
  <c r="E448" i="47"/>
  <c r="E478" i="47"/>
  <c r="E388" i="47"/>
  <c r="E418" i="47"/>
  <c r="E328" i="47"/>
  <c r="E298" i="47"/>
  <c r="E268" i="47"/>
  <c r="E238" i="47"/>
  <c r="E208" i="47"/>
  <c r="E178" i="47"/>
  <c r="E118" i="47"/>
  <c r="G449" i="47"/>
  <c r="G479" i="47"/>
  <c r="G389" i="47"/>
  <c r="G419" i="47"/>
  <c r="G329" i="47"/>
  <c r="G299" i="47"/>
  <c r="G269" i="47"/>
  <c r="G239" i="47"/>
  <c r="G209" i="47"/>
  <c r="G179" i="47"/>
  <c r="G119" i="47"/>
  <c r="C455" i="47"/>
  <c r="C485" i="47"/>
  <c r="C395" i="47"/>
  <c r="C425" i="47"/>
  <c r="C335" i="47"/>
  <c r="C305" i="47"/>
  <c r="C275" i="47"/>
  <c r="C215" i="47"/>
  <c r="C245" i="47"/>
  <c r="C185" i="47"/>
  <c r="C125" i="47"/>
  <c r="G37" i="47"/>
  <c r="G52" i="47"/>
  <c r="F60" i="47"/>
  <c r="E68" i="47"/>
  <c r="D431" i="47"/>
  <c r="D371" i="47"/>
  <c r="D461" i="47"/>
  <c r="D401" i="47"/>
  <c r="D281" i="47"/>
  <c r="D311" i="47"/>
  <c r="D221" i="47"/>
  <c r="D251" i="47"/>
  <c r="D191" i="47"/>
  <c r="D161" i="47"/>
  <c r="F432" i="47"/>
  <c r="F372" i="47"/>
  <c r="F462" i="47"/>
  <c r="F402" i="47"/>
  <c r="F282" i="47"/>
  <c r="F312" i="47"/>
  <c r="F222" i="47"/>
  <c r="F252" i="47"/>
  <c r="F192" i="47"/>
  <c r="F162" i="47"/>
  <c r="D439" i="47"/>
  <c r="D379" i="47"/>
  <c r="D469" i="47"/>
  <c r="D409" i="47"/>
  <c r="D289" i="47"/>
  <c r="D319" i="47"/>
  <c r="D229" i="47"/>
  <c r="D259" i="47"/>
  <c r="D199" i="47"/>
  <c r="F440" i="47"/>
  <c r="F470" i="47"/>
  <c r="F380" i="47"/>
  <c r="F410" i="47"/>
  <c r="F320" i="47"/>
  <c r="F290" i="47"/>
  <c r="F230" i="47"/>
  <c r="F260" i="47"/>
  <c r="F200" i="47"/>
  <c r="F170" i="47"/>
  <c r="D447" i="47"/>
  <c r="D387" i="47"/>
  <c r="D477" i="47"/>
  <c r="D417" i="47"/>
  <c r="D327" i="47"/>
  <c r="D297" i="47"/>
  <c r="D267" i="47"/>
  <c r="D237" i="47"/>
  <c r="D207" i="47"/>
  <c r="F448" i="47"/>
  <c r="F388" i="47"/>
  <c r="F478" i="47"/>
  <c r="F418" i="47"/>
  <c r="F298" i="47"/>
  <c r="F328" i="47"/>
  <c r="F268" i="47"/>
  <c r="F238" i="47"/>
  <c r="F208" i="47"/>
  <c r="F178" i="47"/>
  <c r="D455" i="47"/>
  <c r="D395" i="47"/>
  <c r="D425" i="47"/>
  <c r="D485" i="47"/>
  <c r="D275" i="47"/>
  <c r="D335" i="47"/>
  <c r="D245" i="47"/>
  <c r="D305" i="47"/>
  <c r="D215" i="47"/>
  <c r="D185" i="47"/>
  <c r="F36" i="47"/>
  <c r="D43" i="47"/>
  <c r="F44" i="47"/>
  <c r="D51" i="47"/>
  <c r="G60" i="47"/>
  <c r="F102" i="47"/>
  <c r="E480" i="47"/>
  <c r="E450" i="47"/>
  <c r="E390" i="47"/>
  <c r="E420" i="47"/>
  <c r="E330" i="47"/>
  <c r="E240" i="47"/>
  <c r="E300" i="47"/>
  <c r="E270" i="47"/>
  <c r="E180" i="47"/>
  <c r="E210" i="47"/>
  <c r="E120" i="47"/>
  <c r="F139" i="47"/>
  <c r="G456" i="47"/>
  <c r="G426" i="47"/>
  <c r="G396" i="47"/>
  <c r="G366" i="47"/>
  <c r="G306" i="47"/>
  <c r="G276" i="47"/>
  <c r="G216" i="47"/>
  <c r="G246" i="47"/>
  <c r="G156" i="47"/>
  <c r="G96" i="47"/>
  <c r="G186" i="47"/>
  <c r="C460" i="47"/>
  <c r="C430" i="47"/>
  <c r="C310" i="47"/>
  <c r="C370" i="47"/>
  <c r="C280" i="47"/>
  <c r="C400" i="47"/>
  <c r="C220" i="47"/>
  <c r="C250" i="47"/>
  <c r="C190" i="47"/>
  <c r="C100" i="47"/>
  <c r="E461" i="47"/>
  <c r="E431" i="47"/>
  <c r="E311" i="47"/>
  <c r="E401" i="47"/>
  <c r="E371" i="47"/>
  <c r="E281" i="47"/>
  <c r="E251" i="47"/>
  <c r="E221" i="47"/>
  <c r="E191" i="47"/>
  <c r="E161" i="47"/>
  <c r="E101" i="47"/>
  <c r="G462" i="47"/>
  <c r="G432" i="47"/>
  <c r="G402" i="47"/>
  <c r="G312" i="47"/>
  <c r="G372" i="47"/>
  <c r="G282" i="47"/>
  <c r="G252" i="47"/>
  <c r="G222" i="47"/>
  <c r="G192" i="47"/>
  <c r="G162" i="47"/>
  <c r="G102" i="47"/>
  <c r="C468" i="47"/>
  <c r="C438" i="47"/>
  <c r="C408" i="47"/>
  <c r="C378" i="47"/>
  <c r="C318" i="47"/>
  <c r="C288" i="47"/>
  <c r="C258" i="47"/>
  <c r="C228" i="47"/>
  <c r="C198" i="47"/>
  <c r="C168" i="47"/>
  <c r="C108" i="47"/>
  <c r="E469" i="47"/>
  <c r="E439" i="47"/>
  <c r="E409" i="47"/>
  <c r="E319" i="47"/>
  <c r="E379" i="47"/>
  <c r="E289" i="47"/>
  <c r="E259" i="47"/>
  <c r="E229" i="47"/>
  <c r="E199" i="47"/>
  <c r="E169" i="47"/>
  <c r="E109" i="47"/>
  <c r="G470" i="47"/>
  <c r="G440" i="47"/>
  <c r="G410" i="47"/>
  <c r="G320" i="47"/>
  <c r="G380" i="47"/>
  <c r="G290" i="47"/>
  <c r="G260" i="47"/>
  <c r="G230" i="47"/>
  <c r="G200" i="47"/>
  <c r="G170" i="47"/>
  <c r="G110" i="47"/>
  <c r="C476" i="47"/>
  <c r="C416" i="47"/>
  <c r="C446" i="47"/>
  <c r="C386" i="47"/>
  <c r="C326" i="47"/>
  <c r="C296" i="47"/>
  <c r="C266" i="47"/>
  <c r="C236" i="47"/>
  <c r="C206" i="47"/>
  <c r="C176" i="47"/>
  <c r="C116" i="47"/>
  <c r="E477" i="47"/>
  <c r="E447" i="47"/>
  <c r="E417" i="47"/>
  <c r="E327" i="47"/>
  <c r="E387" i="47"/>
  <c r="E297" i="47"/>
  <c r="E267" i="47"/>
  <c r="E237" i="47"/>
  <c r="E207" i="47"/>
  <c r="E177" i="47"/>
  <c r="E117" i="47"/>
  <c r="G478" i="47"/>
  <c r="G448" i="47"/>
  <c r="G418" i="47"/>
  <c r="G328" i="47"/>
  <c r="G388" i="47"/>
  <c r="G298" i="47"/>
  <c r="G268" i="47"/>
  <c r="G238" i="47"/>
  <c r="G208" i="47"/>
  <c r="G178" i="47"/>
  <c r="G118" i="47"/>
  <c r="C454" i="47"/>
  <c r="C484" i="47"/>
  <c r="C394" i="47"/>
  <c r="C334" i="47"/>
  <c r="C424" i="47"/>
  <c r="C274" i="47"/>
  <c r="C304" i="47"/>
  <c r="C244" i="47"/>
  <c r="C214" i="47"/>
  <c r="C184" i="47"/>
  <c r="C124" i="47"/>
  <c r="E455" i="47"/>
  <c r="E485" i="47"/>
  <c r="E425" i="47"/>
  <c r="E395" i="47"/>
  <c r="E335" i="47"/>
  <c r="E275" i="47"/>
  <c r="E305" i="47"/>
  <c r="E215" i="47"/>
  <c r="E245" i="47"/>
  <c r="E185" i="47"/>
  <c r="E125" i="47"/>
  <c r="G36" i="47"/>
  <c r="C42" i="47"/>
  <c r="E43" i="47"/>
  <c r="G44" i="47"/>
  <c r="C50" i="47"/>
  <c r="E51" i="47"/>
  <c r="D59" i="47"/>
  <c r="C67" i="47"/>
  <c r="D169" i="47"/>
  <c r="C463" i="47"/>
  <c r="C433" i="47"/>
  <c r="C403" i="47"/>
  <c r="C373" i="47"/>
  <c r="C313" i="47"/>
  <c r="C283" i="47"/>
  <c r="C223" i="47"/>
  <c r="C253" i="47"/>
  <c r="C163" i="47"/>
  <c r="C193" i="47"/>
  <c r="C103" i="47"/>
  <c r="G473" i="47"/>
  <c r="G443" i="47"/>
  <c r="G413" i="47"/>
  <c r="G383" i="47"/>
  <c r="G293" i="47"/>
  <c r="G323" i="47"/>
  <c r="G233" i="47"/>
  <c r="G263" i="47"/>
  <c r="G173" i="47"/>
  <c r="G203" i="47"/>
  <c r="G113" i="47"/>
  <c r="G481" i="47"/>
  <c r="G451" i="47"/>
  <c r="G391" i="47"/>
  <c r="G421" i="47"/>
  <c r="G331" i="47"/>
  <c r="G241" i="47"/>
  <c r="G271" i="47"/>
  <c r="G301" i="47"/>
  <c r="G211" i="47"/>
  <c r="G181" i="47"/>
  <c r="G121" i="47"/>
  <c r="D460" i="47"/>
  <c r="D400" i="47"/>
  <c r="D430" i="47"/>
  <c r="D310" i="47"/>
  <c r="D370" i="47"/>
  <c r="D280" i="47"/>
  <c r="D220" i="47"/>
  <c r="D250" i="47"/>
  <c r="D190" i="47"/>
  <c r="D160" i="47"/>
  <c r="F461" i="47"/>
  <c r="F431" i="47"/>
  <c r="F401" i="47"/>
  <c r="F311" i="47"/>
  <c r="F371" i="47"/>
  <c r="F281" i="47"/>
  <c r="F251" i="47"/>
  <c r="F221" i="47"/>
  <c r="F191" i="47"/>
  <c r="F161" i="47"/>
  <c r="D468" i="47"/>
  <c r="D438" i="47"/>
  <c r="D408" i="47"/>
  <c r="D378" i="47"/>
  <c r="D318" i="47"/>
  <c r="D288" i="47"/>
  <c r="D258" i="47"/>
  <c r="D228" i="47"/>
  <c r="D198" i="47"/>
  <c r="D168" i="47"/>
  <c r="F469" i="47"/>
  <c r="F439" i="47"/>
  <c r="F409" i="47"/>
  <c r="F319" i="47"/>
  <c r="F379" i="47"/>
  <c r="F289" i="47"/>
  <c r="F259" i="47"/>
  <c r="F199" i="47"/>
  <c r="F229" i="47"/>
  <c r="F169" i="47"/>
  <c r="D416" i="47"/>
  <c r="D476" i="47"/>
  <c r="D446" i="47"/>
  <c r="D386" i="47"/>
  <c r="D326" i="47"/>
  <c r="D296" i="47"/>
  <c r="D266" i="47"/>
  <c r="D236" i="47"/>
  <c r="D206" i="47"/>
  <c r="D176" i="47"/>
  <c r="F417" i="47"/>
  <c r="F477" i="47"/>
  <c r="F447" i="47"/>
  <c r="F327" i="47"/>
  <c r="F387" i="47"/>
  <c r="F297" i="47"/>
  <c r="F207" i="47"/>
  <c r="F177" i="47"/>
  <c r="F267" i="47"/>
  <c r="F237" i="47"/>
  <c r="D424" i="47"/>
  <c r="D484" i="47"/>
  <c r="D454" i="47"/>
  <c r="D394" i="47"/>
  <c r="D334" i="47"/>
  <c r="D274" i="47"/>
  <c r="D304" i="47"/>
  <c r="D244" i="47"/>
  <c r="D214" i="47"/>
  <c r="D184" i="47"/>
  <c r="F425" i="47"/>
  <c r="F485" i="47"/>
  <c r="F455" i="47"/>
  <c r="F395" i="47"/>
  <c r="F335" i="47"/>
  <c r="F275" i="47"/>
  <c r="F305" i="47"/>
  <c r="F245" i="47"/>
  <c r="F215" i="47"/>
  <c r="F185" i="47"/>
  <c r="D42" i="47"/>
  <c r="F43" i="47"/>
  <c r="D50" i="47"/>
  <c r="F51" i="47"/>
  <c r="E59" i="47"/>
  <c r="C75" i="47"/>
  <c r="F457" i="47"/>
  <c r="F427" i="47"/>
  <c r="F397" i="47"/>
  <c r="F367" i="47"/>
  <c r="F307" i="47"/>
  <c r="F247" i="47"/>
  <c r="F217" i="47"/>
  <c r="F277" i="47"/>
  <c r="F187" i="47"/>
  <c r="F157" i="47"/>
  <c r="F97" i="47"/>
  <c r="F481" i="47"/>
  <c r="F451" i="47"/>
  <c r="F391" i="47"/>
  <c r="F421" i="47"/>
  <c r="F331" i="47"/>
  <c r="F301" i="47"/>
  <c r="F271" i="47"/>
  <c r="F241" i="47"/>
  <c r="F211" i="47"/>
  <c r="F181" i="47"/>
  <c r="F121" i="47"/>
  <c r="C471" i="47"/>
  <c r="C441" i="47"/>
  <c r="C411" i="47"/>
  <c r="C381" i="47"/>
  <c r="C321" i="47"/>
  <c r="C291" i="47"/>
  <c r="C231" i="47"/>
  <c r="C261" i="47"/>
  <c r="C201" i="47"/>
  <c r="C171" i="47"/>
  <c r="C111" i="47"/>
  <c r="C459" i="47"/>
  <c r="C429" i="47"/>
  <c r="C369" i="47"/>
  <c r="C399" i="47"/>
  <c r="C279" i="47"/>
  <c r="C309" i="47"/>
  <c r="C249" i="47"/>
  <c r="C219" i="47"/>
  <c r="C189" i="47"/>
  <c r="C159" i="47"/>
  <c r="C99" i="47"/>
  <c r="E460" i="47"/>
  <c r="E400" i="47"/>
  <c r="E430" i="47"/>
  <c r="E370" i="47"/>
  <c r="E280" i="47"/>
  <c r="E310" i="47"/>
  <c r="E250" i="47"/>
  <c r="E220" i="47"/>
  <c r="E190" i="47"/>
  <c r="E160" i="47"/>
  <c r="E100" i="47"/>
  <c r="G461" i="47"/>
  <c r="G431" i="47"/>
  <c r="G401" i="47"/>
  <c r="G371" i="47"/>
  <c r="G281" i="47"/>
  <c r="G311" i="47"/>
  <c r="G251" i="47"/>
  <c r="G221" i="47"/>
  <c r="G191" i="47"/>
  <c r="G161" i="47"/>
  <c r="G101" i="47"/>
  <c r="C437" i="47"/>
  <c r="C407" i="47"/>
  <c r="C317" i="47"/>
  <c r="C377" i="47"/>
  <c r="C287" i="47"/>
  <c r="C257" i="47"/>
  <c r="C197" i="47"/>
  <c r="C227" i="47"/>
  <c r="C167" i="47"/>
  <c r="C107" i="47"/>
  <c r="E468" i="47"/>
  <c r="E438" i="47"/>
  <c r="E408" i="47"/>
  <c r="E378" i="47"/>
  <c r="E318" i="47"/>
  <c r="E288" i="47"/>
  <c r="E198" i="47"/>
  <c r="E258" i="47"/>
  <c r="E228" i="47"/>
  <c r="E168" i="47"/>
  <c r="E108" i="47"/>
  <c r="G469" i="47"/>
  <c r="G439" i="47"/>
  <c r="G409" i="47"/>
  <c r="G319" i="47"/>
  <c r="G379" i="47"/>
  <c r="G289" i="47"/>
  <c r="G259" i="47"/>
  <c r="G199" i="47"/>
  <c r="G229" i="47"/>
  <c r="G169" i="47"/>
  <c r="G109" i="47"/>
  <c r="C475" i="47"/>
  <c r="C445" i="47"/>
  <c r="C415" i="47"/>
  <c r="C325" i="47"/>
  <c r="C385" i="47"/>
  <c r="C295" i="47"/>
  <c r="C265" i="47"/>
  <c r="C205" i="47"/>
  <c r="C235" i="47"/>
  <c r="C175" i="47"/>
  <c r="C115" i="47"/>
  <c r="E476" i="47"/>
  <c r="E416" i="47"/>
  <c r="E446" i="47"/>
  <c r="E386" i="47"/>
  <c r="E326" i="47"/>
  <c r="E296" i="47"/>
  <c r="E206" i="47"/>
  <c r="E266" i="47"/>
  <c r="E236" i="47"/>
  <c r="E176" i="47"/>
  <c r="E116" i="47"/>
  <c r="G477" i="47"/>
  <c r="G447" i="47"/>
  <c r="G417" i="47"/>
  <c r="G327" i="47"/>
  <c r="G387" i="47"/>
  <c r="G297" i="47"/>
  <c r="G207" i="47"/>
  <c r="G267" i="47"/>
  <c r="G177" i="47"/>
  <c r="G237" i="47"/>
  <c r="G117" i="47"/>
  <c r="C483" i="47"/>
  <c r="C423" i="47"/>
  <c r="C453" i="47"/>
  <c r="C333" i="47"/>
  <c r="C393" i="47"/>
  <c r="C303" i="47"/>
  <c r="C213" i="47"/>
  <c r="C243" i="47"/>
  <c r="C273" i="47"/>
  <c r="C183" i="47"/>
  <c r="C123" i="47"/>
  <c r="E484" i="47"/>
  <c r="E454" i="47"/>
  <c r="E424" i="47"/>
  <c r="E394" i="47"/>
  <c r="E334" i="47"/>
  <c r="E304" i="47"/>
  <c r="E214" i="47"/>
  <c r="E274" i="47"/>
  <c r="E244" i="47"/>
  <c r="E184" i="47"/>
  <c r="E124" i="47"/>
  <c r="G485" i="47"/>
  <c r="G425" i="47"/>
  <c r="G455" i="47"/>
  <c r="G395" i="47"/>
  <c r="G335" i="47"/>
  <c r="G305" i="47"/>
  <c r="G215" i="47"/>
  <c r="G245" i="47"/>
  <c r="G275" i="47"/>
  <c r="G185" i="47"/>
  <c r="G125" i="47"/>
  <c r="C41" i="47"/>
  <c r="E42" i="47"/>
  <c r="G43" i="47"/>
  <c r="C49" i="47"/>
  <c r="E50" i="47"/>
  <c r="G51" i="47"/>
  <c r="F59" i="47"/>
  <c r="D124" i="47"/>
  <c r="D472" i="47"/>
  <c r="D442" i="47"/>
  <c r="D412" i="47"/>
  <c r="D382" i="47"/>
  <c r="D292" i="47"/>
  <c r="D322" i="47"/>
  <c r="D232" i="47"/>
  <c r="D262" i="47"/>
  <c r="D172" i="47"/>
  <c r="D202" i="47"/>
  <c r="D112" i="47"/>
  <c r="D480" i="47"/>
  <c r="D450" i="47"/>
  <c r="D390" i="47"/>
  <c r="D420" i="47"/>
  <c r="D300" i="47"/>
  <c r="D330" i="47"/>
  <c r="D270" i="47"/>
  <c r="D240" i="47"/>
  <c r="D180" i="47"/>
  <c r="D210" i="47"/>
  <c r="D120" i="47"/>
  <c r="E456" i="47"/>
  <c r="E396" i="47"/>
  <c r="E426" i="47"/>
  <c r="E366" i="47"/>
  <c r="E306" i="47"/>
  <c r="E276" i="47"/>
  <c r="E216" i="47"/>
  <c r="E186" i="47"/>
  <c r="E156" i="47"/>
  <c r="E246" i="47"/>
  <c r="E96" i="47"/>
  <c r="G465" i="47"/>
  <c r="G405" i="47"/>
  <c r="G375" i="47"/>
  <c r="G435" i="47"/>
  <c r="G315" i="47"/>
  <c r="G285" i="47"/>
  <c r="G255" i="47"/>
  <c r="G225" i="47"/>
  <c r="G165" i="47"/>
  <c r="G195" i="47"/>
  <c r="G105" i="47"/>
  <c r="C479" i="47"/>
  <c r="C449" i="47"/>
  <c r="C419" i="47"/>
  <c r="C389" i="47"/>
  <c r="C329" i="47"/>
  <c r="C299" i="47"/>
  <c r="C269" i="47"/>
  <c r="C239" i="47"/>
  <c r="C209" i="47"/>
  <c r="C179" i="47"/>
  <c r="C119" i="47"/>
  <c r="D459" i="47"/>
  <c r="D429" i="47"/>
  <c r="D399" i="47"/>
  <c r="D369" i="47"/>
  <c r="D309" i="47"/>
  <c r="D279" i="47"/>
  <c r="D219" i="47"/>
  <c r="D189" i="47"/>
  <c r="D159" i="47"/>
  <c r="D99" i="47"/>
  <c r="D249" i="47"/>
  <c r="F460" i="47"/>
  <c r="F400" i="47"/>
  <c r="F430" i="47"/>
  <c r="F370" i="47"/>
  <c r="F310" i="47"/>
  <c r="F190" i="47"/>
  <c r="F280" i="47"/>
  <c r="F250" i="47"/>
  <c r="F220" i="47"/>
  <c r="F160" i="47"/>
  <c r="F100" i="47"/>
  <c r="D467" i="47"/>
  <c r="D437" i="47"/>
  <c r="D407" i="47"/>
  <c r="D317" i="47"/>
  <c r="D377" i="47"/>
  <c r="D257" i="47"/>
  <c r="D197" i="47"/>
  <c r="D287" i="47"/>
  <c r="D227" i="47"/>
  <c r="D167" i="47"/>
  <c r="D107" i="47"/>
  <c r="F468" i="47"/>
  <c r="F438" i="47"/>
  <c r="F408" i="47"/>
  <c r="F378" i="47"/>
  <c r="F318" i="47"/>
  <c r="F198" i="47"/>
  <c r="F288" i="47"/>
  <c r="F258" i="47"/>
  <c r="F228" i="47"/>
  <c r="F168" i="47"/>
  <c r="F108" i="47"/>
  <c r="D415" i="47"/>
  <c r="D475" i="47"/>
  <c r="D445" i="47"/>
  <c r="D325" i="47"/>
  <c r="D385" i="47"/>
  <c r="D265" i="47"/>
  <c r="D205" i="47"/>
  <c r="D295" i="47"/>
  <c r="D235" i="47"/>
  <c r="D175" i="47"/>
  <c r="D115" i="47"/>
  <c r="F416" i="47"/>
  <c r="F476" i="47"/>
  <c r="F446" i="47"/>
  <c r="F326" i="47"/>
  <c r="F266" i="47"/>
  <c r="F386" i="47"/>
  <c r="F206" i="47"/>
  <c r="F236" i="47"/>
  <c r="F296" i="47"/>
  <c r="F176" i="47"/>
  <c r="F116" i="47"/>
  <c r="D423" i="47"/>
  <c r="D483" i="47"/>
  <c r="D453" i="47"/>
  <c r="D333" i="47"/>
  <c r="D393" i="47"/>
  <c r="D273" i="47"/>
  <c r="D303" i="47"/>
  <c r="D213" i="47"/>
  <c r="D243" i="47"/>
  <c r="D183" i="47"/>
  <c r="D123" i="47"/>
  <c r="F424" i="47"/>
  <c r="F484" i="47"/>
  <c r="F454" i="47"/>
  <c r="F394" i="47"/>
  <c r="F334" i="47"/>
  <c r="F274" i="47"/>
  <c r="F304" i="47"/>
  <c r="F214" i="47"/>
  <c r="F244" i="47"/>
  <c r="F184" i="47"/>
  <c r="F124" i="47"/>
  <c r="D41" i="47"/>
  <c r="F42" i="47"/>
  <c r="D49" i="47"/>
  <c r="F50" i="47"/>
  <c r="C58" i="47"/>
  <c r="G59" i="47"/>
  <c r="F77" i="47"/>
  <c r="D177" i="47"/>
  <c r="C458" i="47"/>
  <c r="C398" i="47"/>
  <c r="C428" i="47"/>
  <c r="C308" i="47"/>
  <c r="C368" i="47"/>
  <c r="C278" i="47"/>
  <c r="C248" i="47"/>
  <c r="C218" i="47"/>
  <c r="C188" i="47"/>
  <c r="C158" i="47"/>
  <c r="C98" i="47"/>
  <c r="E459" i="47"/>
  <c r="E429" i="47"/>
  <c r="E399" i="47"/>
  <c r="E369" i="47"/>
  <c r="E309" i="47"/>
  <c r="E279" i="47"/>
  <c r="E249" i="47"/>
  <c r="E219" i="47"/>
  <c r="E189" i="47"/>
  <c r="E159" i="47"/>
  <c r="E99" i="47"/>
  <c r="G460" i="47"/>
  <c r="G400" i="47"/>
  <c r="G430" i="47"/>
  <c r="G310" i="47"/>
  <c r="G370" i="47"/>
  <c r="G280" i="47"/>
  <c r="G250" i="47"/>
  <c r="G220" i="47"/>
  <c r="G190" i="47"/>
  <c r="G100" i="47"/>
  <c r="G160" i="47"/>
  <c r="C466" i="47"/>
  <c r="C406" i="47"/>
  <c r="C436" i="47"/>
  <c r="C316" i="47"/>
  <c r="C376" i="47"/>
  <c r="C286" i="47"/>
  <c r="C256" i="47"/>
  <c r="C226" i="47"/>
  <c r="C196" i="47"/>
  <c r="C166" i="47"/>
  <c r="C106" i="47"/>
  <c r="E467" i="47"/>
  <c r="E407" i="47"/>
  <c r="E317" i="47"/>
  <c r="E437" i="47"/>
  <c r="E377" i="47"/>
  <c r="E287" i="47"/>
  <c r="E227" i="47"/>
  <c r="E257" i="47"/>
  <c r="E197" i="47"/>
  <c r="E167" i="47"/>
  <c r="E107" i="47"/>
  <c r="G468" i="47"/>
  <c r="G438" i="47"/>
  <c r="G408" i="47"/>
  <c r="G318" i="47"/>
  <c r="G288" i="47"/>
  <c r="G378" i="47"/>
  <c r="G258" i="47"/>
  <c r="G228" i="47"/>
  <c r="G168" i="47"/>
  <c r="G198" i="47"/>
  <c r="G108" i="47"/>
  <c r="C474" i="47"/>
  <c r="C444" i="47"/>
  <c r="C414" i="47"/>
  <c r="C324" i="47"/>
  <c r="C384" i="47"/>
  <c r="C264" i="47"/>
  <c r="C294" i="47"/>
  <c r="C234" i="47"/>
  <c r="C204" i="47"/>
  <c r="C174" i="47"/>
  <c r="C114" i="47"/>
  <c r="E475" i="47"/>
  <c r="E445" i="47"/>
  <c r="E415" i="47"/>
  <c r="E325" i="47"/>
  <c r="E385" i="47"/>
  <c r="E265" i="47"/>
  <c r="E295" i="47"/>
  <c r="E235" i="47"/>
  <c r="E175" i="47"/>
  <c r="E115" i="47"/>
  <c r="E205" i="47"/>
  <c r="G476" i="47"/>
  <c r="G446" i="47"/>
  <c r="G326" i="47"/>
  <c r="G416" i="47"/>
  <c r="G386" i="47"/>
  <c r="G266" i="47"/>
  <c r="G296" i="47"/>
  <c r="G236" i="47"/>
  <c r="G206" i="47"/>
  <c r="G176" i="47"/>
  <c r="G116" i="47"/>
  <c r="C482" i="47"/>
  <c r="C452" i="47"/>
  <c r="C422" i="47"/>
  <c r="C332" i="47"/>
  <c r="C392" i="47"/>
  <c r="C272" i="47"/>
  <c r="C302" i="47"/>
  <c r="C242" i="47"/>
  <c r="C212" i="47"/>
  <c r="C182" i="47"/>
  <c r="C122" i="47"/>
  <c r="E483" i="47"/>
  <c r="E423" i="47"/>
  <c r="E453" i="47"/>
  <c r="E333" i="47"/>
  <c r="E393" i="47"/>
  <c r="E273" i="47"/>
  <c r="E303" i="47"/>
  <c r="E243" i="47"/>
  <c r="E213" i="47"/>
  <c r="E183" i="47"/>
  <c r="E123" i="47"/>
  <c r="G484" i="47"/>
  <c r="G454" i="47"/>
  <c r="G424" i="47"/>
  <c r="G334" i="47"/>
  <c r="G274" i="47"/>
  <c r="G304" i="47"/>
  <c r="G394" i="47"/>
  <c r="G244" i="47"/>
  <c r="G214" i="47"/>
  <c r="G184" i="47"/>
  <c r="G124" i="47"/>
  <c r="C40" i="47"/>
  <c r="E41" i="47"/>
  <c r="G42" i="47"/>
  <c r="C48" i="47"/>
  <c r="E49" i="47"/>
  <c r="G50" i="47"/>
  <c r="D58" i="47"/>
  <c r="C62" i="47"/>
  <c r="G77" i="47"/>
  <c r="D116" i="47"/>
  <c r="E472" i="47"/>
  <c r="E442" i="47"/>
  <c r="E412" i="47"/>
  <c r="E382" i="47"/>
  <c r="E292" i="47"/>
  <c r="E322" i="47"/>
  <c r="E232" i="47"/>
  <c r="E262" i="47"/>
  <c r="E172" i="47"/>
  <c r="E202" i="47"/>
  <c r="E112" i="47"/>
  <c r="F459" i="47"/>
  <c r="F429" i="47"/>
  <c r="F399" i="47"/>
  <c r="F309" i="47"/>
  <c r="F369" i="47"/>
  <c r="F279" i="47"/>
  <c r="F249" i="47"/>
  <c r="F219" i="47"/>
  <c r="F189" i="47"/>
  <c r="F159" i="47"/>
  <c r="F99" i="47"/>
  <c r="D466" i="47"/>
  <c r="D406" i="47"/>
  <c r="D436" i="47"/>
  <c r="D376" i="47"/>
  <c r="D256" i="47"/>
  <c r="D316" i="47"/>
  <c r="D286" i="47"/>
  <c r="D226" i="47"/>
  <c r="D196" i="47"/>
  <c r="D166" i="47"/>
  <c r="D106" i="47"/>
  <c r="F467" i="47"/>
  <c r="F407" i="47"/>
  <c r="F437" i="47"/>
  <c r="F377" i="47"/>
  <c r="F257" i="47"/>
  <c r="F287" i="47"/>
  <c r="F227" i="47"/>
  <c r="F317" i="47"/>
  <c r="F197" i="47"/>
  <c r="F167" i="47"/>
  <c r="F107" i="47"/>
  <c r="D474" i="47"/>
  <c r="D444" i="47"/>
  <c r="D414" i="47"/>
  <c r="D384" i="47"/>
  <c r="D264" i="47"/>
  <c r="D324" i="47"/>
  <c r="D294" i="47"/>
  <c r="D234" i="47"/>
  <c r="D204" i="47"/>
  <c r="D174" i="47"/>
  <c r="D114" i="47"/>
  <c r="F475" i="47"/>
  <c r="F445" i="47"/>
  <c r="F415" i="47"/>
  <c r="F385" i="47"/>
  <c r="F265" i="47"/>
  <c r="F325" i="47"/>
  <c r="F295" i="47"/>
  <c r="F235" i="47"/>
  <c r="F175" i="47"/>
  <c r="F205" i="47"/>
  <c r="F115" i="47"/>
  <c r="D482" i="47"/>
  <c r="D452" i="47"/>
  <c r="D422" i="47"/>
  <c r="D302" i="47"/>
  <c r="D392" i="47"/>
  <c r="D272" i="47"/>
  <c r="D332" i="47"/>
  <c r="D242" i="47"/>
  <c r="D182" i="47"/>
  <c r="D212" i="47"/>
  <c r="D122" i="47"/>
  <c r="F483" i="47"/>
  <c r="F453" i="47"/>
  <c r="F423" i="47"/>
  <c r="F393" i="47"/>
  <c r="F303" i="47"/>
  <c r="F273" i="47"/>
  <c r="F333" i="47"/>
  <c r="F243" i="47"/>
  <c r="F213" i="47"/>
  <c r="F183" i="47"/>
  <c r="F123" i="47"/>
  <c r="D40" i="47"/>
  <c r="F41" i="47"/>
  <c r="D48" i="47"/>
  <c r="F49" i="47"/>
  <c r="E58" i="47"/>
  <c r="D62" i="47"/>
  <c r="D125" i="47"/>
  <c r="E464" i="47"/>
  <c r="E404" i="47"/>
  <c r="E374" i="47"/>
  <c r="E434" i="47"/>
  <c r="E284" i="47"/>
  <c r="E314" i="47"/>
  <c r="E224" i="47"/>
  <c r="E254" i="47"/>
  <c r="E164" i="47"/>
  <c r="E194" i="47"/>
  <c r="E104" i="47"/>
  <c r="C457" i="47"/>
  <c r="C427" i="47"/>
  <c r="C397" i="47"/>
  <c r="C247" i="47"/>
  <c r="C307" i="47"/>
  <c r="C277" i="47"/>
  <c r="C217" i="47"/>
  <c r="C187" i="47"/>
  <c r="C97" i="47"/>
  <c r="E458" i="47"/>
  <c r="E398" i="47"/>
  <c r="E428" i="47"/>
  <c r="E368" i="47"/>
  <c r="E308" i="47"/>
  <c r="E248" i="47"/>
  <c r="E278" i="47"/>
  <c r="E218" i="47"/>
  <c r="E188" i="47"/>
  <c r="E158" i="47"/>
  <c r="E98" i="47"/>
  <c r="G459" i="47"/>
  <c r="G429" i="47"/>
  <c r="G399" i="47"/>
  <c r="G249" i="47"/>
  <c r="G309" i="47"/>
  <c r="G369" i="47"/>
  <c r="G279" i="47"/>
  <c r="G219" i="47"/>
  <c r="G189" i="47"/>
  <c r="G159" i="47"/>
  <c r="G99" i="47"/>
  <c r="C465" i="47"/>
  <c r="C435" i="47"/>
  <c r="C405" i="47"/>
  <c r="C375" i="47"/>
  <c r="C255" i="47"/>
  <c r="C315" i="47"/>
  <c r="C285" i="47"/>
  <c r="C225" i="47"/>
  <c r="C165" i="47"/>
  <c r="C105" i="47"/>
  <c r="C195" i="47"/>
  <c r="E466" i="47"/>
  <c r="E406" i="47"/>
  <c r="E436" i="47"/>
  <c r="E376" i="47"/>
  <c r="E256" i="47"/>
  <c r="E316" i="47"/>
  <c r="E286" i="47"/>
  <c r="E196" i="47"/>
  <c r="E166" i="47"/>
  <c r="E226" i="47"/>
  <c r="E106" i="47"/>
  <c r="G467" i="47"/>
  <c r="G407" i="47"/>
  <c r="G437" i="47"/>
  <c r="G377" i="47"/>
  <c r="G257" i="47"/>
  <c r="G287" i="47"/>
  <c r="G317" i="47"/>
  <c r="G197" i="47"/>
  <c r="G227" i="47"/>
  <c r="G167" i="47"/>
  <c r="G107" i="47"/>
  <c r="C473" i="47"/>
  <c r="C443" i="47"/>
  <c r="C413" i="47"/>
  <c r="C263" i="47"/>
  <c r="C323" i="47"/>
  <c r="C293" i="47"/>
  <c r="C383" i="47"/>
  <c r="C203" i="47"/>
  <c r="C233" i="47"/>
  <c r="C173" i="47"/>
  <c r="C113" i="47"/>
  <c r="E474" i="47"/>
  <c r="E444" i="47"/>
  <c r="E414" i="47"/>
  <c r="E384" i="47"/>
  <c r="E264" i="47"/>
  <c r="E324" i="47"/>
  <c r="E294" i="47"/>
  <c r="E204" i="47"/>
  <c r="E174" i="47"/>
  <c r="E54" i="47"/>
  <c r="E114" i="47"/>
  <c r="E234" i="47"/>
  <c r="G475" i="47"/>
  <c r="G445" i="47"/>
  <c r="G415" i="47"/>
  <c r="G385" i="47"/>
  <c r="G265" i="47"/>
  <c r="G325" i="47"/>
  <c r="G295" i="47"/>
  <c r="G175" i="47"/>
  <c r="G235" i="47"/>
  <c r="G205" i="47"/>
  <c r="G55" i="47"/>
  <c r="G115" i="47"/>
  <c r="C481" i="47"/>
  <c r="C451" i="47"/>
  <c r="C421" i="47"/>
  <c r="C391" i="47"/>
  <c r="C271" i="47"/>
  <c r="C301" i="47"/>
  <c r="C331" i="47"/>
  <c r="C241" i="47"/>
  <c r="C211" i="47"/>
  <c r="C181" i="47"/>
  <c r="C61" i="47"/>
  <c r="C121" i="47"/>
  <c r="E482" i="47"/>
  <c r="E452" i="47"/>
  <c r="E422" i="47"/>
  <c r="E392" i="47"/>
  <c r="E272" i="47"/>
  <c r="E302" i="47"/>
  <c r="E332" i="47"/>
  <c r="E242" i="47"/>
  <c r="E182" i="47"/>
  <c r="E62" i="47"/>
  <c r="E212" i="47"/>
  <c r="E122" i="47"/>
  <c r="G483" i="47"/>
  <c r="G453" i="47"/>
  <c r="G423" i="47"/>
  <c r="G393" i="47"/>
  <c r="G273" i="47"/>
  <c r="G303" i="47"/>
  <c r="G333" i="47"/>
  <c r="G243" i="47"/>
  <c r="G213" i="47"/>
  <c r="G183" i="47"/>
  <c r="G63" i="47"/>
  <c r="G123" i="47"/>
  <c r="E40" i="47"/>
  <c r="G41" i="47"/>
  <c r="C47" i="47"/>
  <c r="E48" i="47"/>
  <c r="G49" i="47"/>
  <c r="F58" i="47"/>
  <c r="D108" i="47"/>
  <c r="F125" i="47"/>
  <c r="D464" i="47"/>
  <c r="D404" i="47"/>
  <c r="D434" i="47"/>
  <c r="D374" i="47"/>
  <c r="D284" i="47"/>
  <c r="D254" i="47"/>
  <c r="D314" i="47"/>
  <c r="D224" i="47"/>
  <c r="D164" i="47"/>
  <c r="D194" i="47"/>
  <c r="D104" i="47"/>
  <c r="E91" i="47"/>
  <c r="D139" i="47"/>
  <c r="D458" i="47"/>
  <c r="D398" i="47"/>
  <c r="D428" i="47"/>
  <c r="D368" i="47"/>
  <c r="D308" i="47"/>
  <c r="D248" i="47"/>
  <c r="D278" i="47"/>
  <c r="D218" i="47"/>
  <c r="D188" i="47"/>
  <c r="D158" i="47"/>
  <c r="D98" i="47"/>
  <c r="D457" i="47"/>
  <c r="D427" i="47"/>
  <c r="D397" i="47"/>
  <c r="D367" i="47"/>
  <c r="D307" i="47"/>
  <c r="D247" i="47"/>
  <c r="D277" i="47"/>
  <c r="D217" i="47"/>
  <c r="D187" i="47"/>
  <c r="D157" i="47"/>
  <c r="D97" i="47"/>
  <c r="F458" i="47"/>
  <c r="F398" i="47"/>
  <c r="F428" i="47"/>
  <c r="F368" i="47"/>
  <c r="F248" i="47"/>
  <c r="F308" i="47"/>
  <c r="F218" i="47"/>
  <c r="F188" i="47"/>
  <c r="F278" i="47"/>
  <c r="F158" i="47"/>
  <c r="F98" i="47"/>
  <c r="D465" i="47"/>
  <c r="D435" i="47"/>
  <c r="D405" i="47"/>
  <c r="D375" i="47"/>
  <c r="D315" i="47"/>
  <c r="D285" i="47"/>
  <c r="D255" i="47"/>
  <c r="D225" i="47"/>
  <c r="D165" i="47"/>
  <c r="D195" i="47"/>
  <c r="D105" i="47"/>
  <c r="F466" i="47"/>
  <c r="F406" i="47"/>
  <c r="F436" i="47"/>
  <c r="F376" i="47"/>
  <c r="F316" i="47"/>
  <c r="F286" i="47"/>
  <c r="F226" i="47"/>
  <c r="F256" i="47"/>
  <c r="F196" i="47"/>
  <c r="F166" i="47"/>
  <c r="F106" i="47"/>
  <c r="D473" i="47"/>
  <c r="D443" i="47"/>
  <c r="D413" i="47"/>
  <c r="D323" i="47"/>
  <c r="D293" i="47"/>
  <c r="D383" i="47"/>
  <c r="D233" i="47"/>
  <c r="D173" i="47"/>
  <c r="D263" i="47"/>
  <c r="D203" i="47"/>
  <c r="D113" i="47"/>
  <c r="F474" i="47"/>
  <c r="F444" i="47"/>
  <c r="F414" i="47"/>
  <c r="F384" i="47"/>
  <c r="F324" i="47"/>
  <c r="F294" i="47"/>
  <c r="F264" i="47"/>
  <c r="F234" i="47"/>
  <c r="F204" i="47"/>
  <c r="F174" i="47"/>
  <c r="F114" i="47"/>
  <c r="D481" i="47"/>
  <c r="D451" i="47"/>
  <c r="D421" i="47"/>
  <c r="D391" i="47"/>
  <c r="D301" i="47"/>
  <c r="D331" i="47"/>
  <c r="D271" i="47"/>
  <c r="D241" i="47"/>
  <c r="D211" i="47"/>
  <c r="D181" i="47"/>
  <c r="D121" i="47"/>
  <c r="F482" i="47"/>
  <c r="F452" i="47"/>
  <c r="F422" i="47"/>
  <c r="F392" i="47"/>
  <c r="F302" i="47"/>
  <c r="F332" i="47"/>
  <c r="F272" i="47"/>
  <c r="F242" i="47"/>
  <c r="F182" i="47"/>
  <c r="F212" i="47"/>
  <c r="F122" i="47"/>
  <c r="D39" i="47"/>
  <c r="F40" i="47"/>
  <c r="D47" i="47"/>
  <c r="F48" i="47"/>
  <c r="D53" i="47"/>
  <c r="C57" i="47"/>
  <c r="G58" i="47"/>
  <c r="D117" i="47"/>
  <c r="F473" i="47"/>
  <c r="F443" i="47"/>
  <c r="F413" i="47"/>
  <c r="F383" i="47"/>
  <c r="F293" i="47"/>
  <c r="F323" i="47"/>
  <c r="F233" i="47"/>
  <c r="F263" i="47"/>
  <c r="F173" i="47"/>
  <c r="F203" i="47"/>
  <c r="F113" i="47"/>
  <c r="E87" i="47"/>
  <c r="D95" i="47"/>
  <c r="F87" i="47"/>
  <c r="F61" i="47"/>
  <c r="C456" i="47"/>
  <c r="C426" i="47"/>
  <c r="C396" i="47"/>
  <c r="C366" i="47"/>
  <c r="C306" i="47"/>
  <c r="C276" i="47"/>
  <c r="C216" i="47"/>
  <c r="C186" i="47"/>
  <c r="C96" i="47"/>
  <c r="E457" i="47"/>
  <c r="E427" i="47"/>
  <c r="E397" i="47"/>
  <c r="E367" i="47"/>
  <c r="E307" i="47"/>
  <c r="E277" i="47"/>
  <c r="E247" i="47"/>
  <c r="E217" i="47"/>
  <c r="E187" i="47"/>
  <c r="E157" i="47"/>
  <c r="E97" i="47"/>
  <c r="G458" i="47"/>
  <c r="G428" i="47"/>
  <c r="G398" i="47"/>
  <c r="G368" i="47"/>
  <c r="G278" i="47"/>
  <c r="G308" i="47"/>
  <c r="G248" i="47"/>
  <c r="G218" i="47"/>
  <c r="G188" i="47"/>
  <c r="G158" i="47"/>
  <c r="G98" i="47"/>
  <c r="C464" i="47"/>
  <c r="C434" i="47"/>
  <c r="C404" i="47"/>
  <c r="C374" i="47"/>
  <c r="C314" i="47"/>
  <c r="C284" i="47"/>
  <c r="C254" i="47"/>
  <c r="C224" i="47"/>
  <c r="C164" i="47"/>
  <c r="C194" i="47"/>
  <c r="C104" i="47"/>
  <c r="E465" i="47"/>
  <c r="E405" i="47"/>
  <c r="E435" i="47"/>
  <c r="E315" i="47"/>
  <c r="E375" i="47"/>
  <c r="E285" i="47"/>
  <c r="E255" i="47"/>
  <c r="E225" i="47"/>
  <c r="E165" i="47"/>
  <c r="E195" i="47"/>
  <c r="E105" i="47"/>
  <c r="G466" i="47"/>
  <c r="G436" i="47"/>
  <c r="G406" i="47"/>
  <c r="G376" i="47"/>
  <c r="G316" i="47"/>
  <c r="G286" i="47"/>
  <c r="G226" i="47"/>
  <c r="G166" i="47"/>
  <c r="G256" i="47"/>
  <c r="G106" i="47"/>
  <c r="G196" i="47"/>
  <c r="C472" i="47"/>
  <c r="C442" i="47"/>
  <c r="C382" i="47"/>
  <c r="C412" i="47"/>
  <c r="C322" i="47"/>
  <c r="C292" i="47"/>
  <c r="C262" i="47"/>
  <c r="C232" i="47"/>
  <c r="C172" i="47"/>
  <c r="C202" i="47"/>
  <c r="C112" i="47"/>
  <c r="E473" i="47"/>
  <c r="E443" i="47"/>
  <c r="E413" i="47"/>
  <c r="E323" i="47"/>
  <c r="E383" i="47"/>
  <c r="E293" i="47"/>
  <c r="E233" i="47"/>
  <c r="E263" i="47"/>
  <c r="E173" i="47"/>
  <c r="E203" i="47"/>
  <c r="E113" i="47"/>
  <c r="G474" i="47"/>
  <c r="G444" i="47"/>
  <c r="G384" i="47"/>
  <c r="G414" i="47"/>
  <c r="G324" i="47"/>
  <c r="G294" i="47"/>
  <c r="G264" i="47"/>
  <c r="G234" i="47"/>
  <c r="G204" i="47"/>
  <c r="G174" i="47"/>
  <c r="G114" i="47"/>
  <c r="C480" i="47"/>
  <c r="C450" i="47"/>
  <c r="C420" i="47"/>
  <c r="C390" i="47"/>
  <c r="C330" i="47"/>
  <c r="C300" i="47"/>
  <c r="C270" i="47"/>
  <c r="C240" i="47"/>
  <c r="C180" i="47"/>
  <c r="C210" i="47"/>
  <c r="C120" i="47"/>
  <c r="E481" i="47"/>
  <c r="E451" i="47"/>
  <c r="E421" i="47"/>
  <c r="E391" i="47"/>
  <c r="E331" i="47"/>
  <c r="E271" i="47"/>
  <c r="E301" i="47"/>
  <c r="E211" i="47"/>
  <c r="E181" i="47"/>
  <c r="E241" i="47"/>
  <c r="E121" i="47"/>
  <c r="G482" i="47"/>
  <c r="G452" i="47"/>
  <c r="G422" i="47"/>
  <c r="G392" i="47"/>
  <c r="G332" i="47"/>
  <c r="G302" i="47"/>
  <c r="G272" i="47"/>
  <c r="G242" i="47"/>
  <c r="G182" i="47"/>
  <c r="G212" i="47"/>
  <c r="G122" i="47"/>
  <c r="E39" i="47"/>
  <c r="G40" i="47"/>
  <c r="C46" i="47"/>
  <c r="E47" i="47"/>
  <c r="G48" i="47"/>
  <c r="E53" i="47"/>
  <c r="D57" i="47"/>
  <c r="D61" i="47"/>
  <c r="C65" i="47"/>
  <c r="D100" i="47"/>
  <c r="F117" i="47"/>
  <c r="F186" i="47"/>
  <c r="C147" i="47" l="1"/>
  <c r="D126" i="47"/>
  <c r="C127" i="47"/>
  <c r="E355" i="47"/>
  <c r="F138" i="47"/>
  <c r="F151" i="47"/>
  <c r="F90" i="47"/>
  <c r="E342" i="47"/>
  <c r="F142" i="47"/>
  <c r="F149" i="47"/>
  <c r="F127" i="47"/>
  <c r="D364" i="47"/>
  <c r="D89" i="47"/>
  <c r="F155" i="47"/>
  <c r="G363" i="47"/>
  <c r="G145" i="47"/>
  <c r="G339" i="47"/>
  <c r="C337" i="47"/>
  <c r="E145" i="47"/>
  <c r="E340" i="47"/>
  <c r="F357" i="47"/>
  <c r="G361" i="47"/>
  <c r="E357" i="47"/>
  <c r="G359" i="47"/>
  <c r="C357" i="47"/>
  <c r="D342" i="47"/>
  <c r="G142" i="47"/>
  <c r="C140" i="47"/>
  <c r="F352" i="47"/>
  <c r="D153" i="47"/>
  <c r="G88" i="47"/>
  <c r="F70" i="47"/>
  <c r="F144" i="47"/>
  <c r="D127" i="47"/>
  <c r="D134" i="47"/>
  <c r="C151" i="47"/>
  <c r="G85" i="47"/>
  <c r="D152" i="47"/>
  <c r="F137" i="47"/>
  <c r="G135" i="47"/>
  <c r="C355" i="47"/>
  <c r="F361" i="47"/>
  <c r="F337" i="47"/>
  <c r="F73" i="47"/>
  <c r="G141" i="47"/>
  <c r="C139" i="47"/>
  <c r="F359" i="47"/>
  <c r="D336" i="47"/>
  <c r="G352" i="47"/>
  <c r="C350" i="47"/>
  <c r="C338" i="47"/>
  <c r="G365" i="47"/>
  <c r="G149" i="47"/>
  <c r="G71" i="47"/>
  <c r="C91" i="47"/>
  <c r="G355" i="47"/>
  <c r="D362" i="47"/>
  <c r="E137" i="47"/>
  <c r="D363" i="47"/>
  <c r="G345" i="47"/>
  <c r="G73" i="47"/>
  <c r="E154" i="47"/>
  <c r="G357" i="47"/>
  <c r="G139" i="47"/>
  <c r="C137" i="47"/>
  <c r="F81" i="47"/>
  <c r="G74" i="47"/>
  <c r="C154" i="47"/>
  <c r="E139" i="47"/>
  <c r="C130" i="47"/>
  <c r="F358" i="47"/>
  <c r="G351" i="47"/>
  <c r="C349" i="47"/>
  <c r="F141" i="47"/>
  <c r="F135" i="47"/>
  <c r="F362" i="47"/>
  <c r="C352" i="47"/>
  <c r="F78" i="47"/>
  <c r="E337" i="47"/>
  <c r="C87" i="47"/>
  <c r="D69" i="47"/>
  <c r="F354" i="47"/>
  <c r="D337" i="47"/>
  <c r="G79" i="47"/>
  <c r="E136" i="47"/>
  <c r="D155" i="47"/>
  <c r="F71" i="47"/>
  <c r="F347" i="47"/>
  <c r="D145" i="47"/>
  <c r="F130" i="47"/>
  <c r="G81" i="47"/>
  <c r="D72" i="47"/>
  <c r="F349" i="47"/>
  <c r="C340" i="47"/>
  <c r="F350" i="47"/>
  <c r="F345" i="47"/>
  <c r="G127" i="47"/>
  <c r="D149" i="47"/>
  <c r="F134" i="47"/>
  <c r="D339" i="47"/>
  <c r="G144" i="47"/>
  <c r="G78" i="47"/>
  <c r="D138" i="47"/>
  <c r="E70" i="47"/>
  <c r="C361" i="47"/>
  <c r="C143" i="47"/>
  <c r="F79" i="47"/>
  <c r="F129" i="47"/>
  <c r="E142" i="47"/>
  <c r="G154" i="47"/>
  <c r="C152" i="47"/>
  <c r="E347" i="47"/>
  <c r="E129" i="47"/>
  <c r="F348" i="47"/>
  <c r="E72" i="47"/>
  <c r="D80" i="47"/>
  <c r="D356" i="47"/>
  <c r="E73" i="47"/>
  <c r="C364" i="47"/>
  <c r="E349" i="47"/>
  <c r="G336" i="47"/>
  <c r="E150" i="47"/>
  <c r="F342" i="47"/>
  <c r="G82" i="47"/>
  <c r="F351" i="47"/>
  <c r="E149" i="47"/>
  <c r="G134" i="47"/>
  <c r="C132" i="47"/>
  <c r="F344" i="47"/>
  <c r="C360" i="47"/>
  <c r="E348" i="47"/>
  <c r="C358" i="47"/>
  <c r="D338" i="47"/>
  <c r="D87" i="47"/>
  <c r="E69" i="47"/>
  <c r="D77" i="47"/>
  <c r="C95" i="47"/>
  <c r="E77" i="47"/>
  <c r="G346" i="47"/>
  <c r="C134" i="47"/>
  <c r="D151" i="47"/>
  <c r="F136" i="47"/>
  <c r="F88" i="47"/>
  <c r="E78" i="47"/>
  <c r="C83" i="47"/>
  <c r="D70" i="47"/>
  <c r="D144" i="47"/>
  <c r="E352" i="47"/>
  <c r="C92" i="47"/>
  <c r="G72" i="47"/>
  <c r="E80" i="47"/>
  <c r="G349" i="47"/>
  <c r="C347" i="47"/>
  <c r="F341" i="47"/>
  <c r="E81" i="47"/>
  <c r="G126" i="47"/>
  <c r="E360" i="47"/>
  <c r="D365" i="47"/>
  <c r="G133" i="47"/>
  <c r="C341" i="47"/>
  <c r="E359" i="47"/>
  <c r="G344" i="47"/>
  <c r="G337" i="47"/>
  <c r="D359" i="47"/>
  <c r="E147" i="47"/>
  <c r="C142" i="47"/>
  <c r="E127" i="47"/>
  <c r="C344" i="47"/>
  <c r="C69" i="47"/>
  <c r="E346" i="47"/>
  <c r="E128" i="47"/>
  <c r="E88" i="47"/>
  <c r="D78" i="47"/>
  <c r="F339" i="47"/>
  <c r="G80" i="47"/>
  <c r="G364" i="47"/>
  <c r="C362" i="47"/>
  <c r="E339" i="47"/>
  <c r="D142" i="47"/>
  <c r="C71" i="47"/>
  <c r="E364" i="47"/>
  <c r="E146" i="47"/>
  <c r="G131" i="47"/>
  <c r="C129" i="47"/>
  <c r="G143" i="47"/>
  <c r="C72" i="47"/>
  <c r="G148" i="47"/>
  <c r="C146" i="47"/>
  <c r="E131" i="47"/>
  <c r="D357" i="47"/>
  <c r="E148" i="47"/>
  <c r="G343" i="47"/>
  <c r="C131" i="47"/>
  <c r="D148" i="47"/>
  <c r="F133" i="47"/>
  <c r="C342" i="47"/>
  <c r="F126" i="47"/>
  <c r="G129" i="47"/>
  <c r="E151" i="47"/>
  <c r="F336" i="47"/>
  <c r="F91" i="47"/>
  <c r="D361" i="47"/>
  <c r="F346" i="47"/>
  <c r="C77" i="47"/>
  <c r="E152" i="47"/>
  <c r="D354" i="47"/>
  <c r="E71" i="47"/>
  <c r="G146" i="47"/>
  <c r="C144" i="47"/>
  <c r="F72" i="47"/>
  <c r="F154" i="47"/>
  <c r="D355" i="47"/>
  <c r="D137" i="47"/>
  <c r="D352" i="47"/>
  <c r="C79" i="47"/>
  <c r="D348" i="47"/>
  <c r="G353" i="47"/>
  <c r="C80" i="47"/>
  <c r="G90" i="47"/>
  <c r="F343" i="47"/>
  <c r="D351" i="47"/>
  <c r="G152" i="47"/>
  <c r="E363" i="47"/>
  <c r="C359" i="47"/>
  <c r="G70" i="47"/>
  <c r="D344" i="47"/>
  <c r="G354" i="47"/>
  <c r="C68" i="47"/>
  <c r="G136" i="47"/>
  <c r="C76" i="47"/>
  <c r="E362" i="47"/>
  <c r="C353" i="47"/>
  <c r="E338" i="47"/>
  <c r="E79" i="47"/>
  <c r="F80" i="47"/>
  <c r="F340" i="47"/>
  <c r="G341" i="47"/>
  <c r="C339" i="47"/>
  <c r="G358" i="47"/>
  <c r="C356" i="47"/>
  <c r="E341" i="47"/>
  <c r="D349" i="47"/>
  <c r="E358" i="47"/>
  <c r="F82" i="47"/>
  <c r="E351" i="47"/>
  <c r="D141" i="47"/>
  <c r="F353" i="47"/>
  <c r="G93" i="47"/>
  <c r="G147" i="47"/>
  <c r="D132" i="47"/>
  <c r="E361" i="47"/>
  <c r="G128" i="47"/>
  <c r="D83" i="47"/>
  <c r="D143" i="47"/>
  <c r="F128" i="47"/>
  <c r="E92" i="47"/>
  <c r="E134" i="47"/>
  <c r="F153" i="47"/>
  <c r="D136" i="47"/>
  <c r="D146" i="47"/>
  <c r="C70" i="47"/>
  <c r="G356" i="47"/>
  <c r="C354" i="47"/>
  <c r="D71" i="47"/>
  <c r="E126" i="47"/>
  <c r="F365" i="47"/>
  <c r="F66" i="47"/>
  <c r="D341" i="47"/>
  <c r="E140" i="47"/>
  <c r="D358" i="47"/>
  <c r="E141" i="47"/>
  <c r="E345" i="47"/>
  <c r="F356" i="47"/>
  <c r="E344" i="47"/>
  <c r="C78" i="47"/>
  <c r="G138" i="47"/>
  <c r="C136" i="47"/>
  <c r="D79" i="47"/>
  <c r="F364" i="47"/>
  <c r="D150" i="47"/>
  <c r="G155" i="47"/>
  <c r="C153" i="47"/>
  <c r="E356" i="47"/>
  <c r="E138" i="47"/>
  <c r="C133" i="47"/>
  <c r="E155" i="47"/>
  <c r="G140" i="47"/>
  <c r="C138" i="47"/>
  <c r="G132" i="47"/>
  <c r="F74" i="47"/>
  <c r="C155" i="47"/>
  <c r="E350" i="47"/>
  <c r="D140" i="47"/>
  <c r="F355" i="47"/>
  <c r="C363" i="47"/>
  <c r="C145" i="47"/>
  <c r="E343" i="47"/>
  <c r="D92" i="47"/>
  <c r="E353" i="47"/>
  <c r="F147" i="47"/>
  <c r="G338" i="47"/>
  <c r="E144" i="47"/>
  <c r="G137" i="47"/>
  <c r="C345" i="47"/>
  <c r="F363" i="47"/>
  <c r="D346" i="47"/>
  <c r="G348" i="47"/>
  <c r="F146" i="47"/>
  <c r="D347" i="47"/>
  <c r="D360" i="47"/>
  <c r="D154" i="47"/>
  <c r="C141" i="47"/>
  <c r="E89" i="47"/>
  <c r="D340" i="47"/>
  <c r="C343" i="47"/>
  <c r="F132" i="47"/>
  <c r="F75" i="47"/>
  <c r="D350" i="47"/>
  <c r="F150" i="47"/>
  <c r="D133" i="47"/>
  <c r="E354" i="47"/>
  <c r="G340" i="47"/>
  <c r="D130" i="47"/>
  <c r="E143" i="47"/>
  <c r="C126" i="47"/>
  <c r="C336" i="47"/>
  <c r="F338" i="47"/>
  <c r="E84" i="47"/>
  <c r="C135" i="47"/>
  <c r="D88" i="47"/>
  <c r="E153" i="47"/>
  <c r="C346" i="47"/>
  <c r="C128" i="47"/>
  <c r="G89" i="47"/>
  <c r="D129" i="47"/>
  <c r="E336" i="47"/>
  <c r="F89" i="47"/>
  <c r="G350" i="47"/>
  <c r="C348" i="47"/>
  <c r="G342" i="47"/>
  <c r="D73" i="47"/>
  <c r="G150" i="47"/>
  <c r="C148" i="47"/>
  <c r="E133" i="47"/>
  <c r="F360" i="47"/>
  <c r="D343" i="47"/>
  <c r="D345" i="47"/>
  <c r="G347" i="47"/>
  <c r="C88" i="47"/>
  <c r="E130" i="47"/>
  <c r="G151" i="47"/>
  <c r="G362" i="47"/>
  <c r="E83" i="47"/>
  <c r="D147" i="47"/>
  <c r="D353" i="47"/>
  <c r="D91" i="47"/>
  <c r="C150" i="47"/>
  <c r="E135" i="47"/>
  <c r="F143" i="47"/>
  <c r="F152" i="47"/>
  <c r="D135" i="47"/>
  <c r="D128" i="47"/>
  <c r="G153" i="47"/>
  <c r="F145" i="47"/>
  <c r="G130" i="47"/>
  <c r="C149" i="47"/>
  <c r="C351" i="47"/>
  <c r="G66" i="47"/>
  <c r="E365" i="47"/>
  <c r="D81" i="47"/>
  <c r="G67" i="47"/>
  <c r="C365" i="47"/>
  <c r="E132" i="47"/>
  <c r="D66" i="47"/>
  <c r="G360" i="47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  <c r="K27" i="66" l="1"/>
</calcChain>
</file>

<file path=xl/sharedStrings.xml><?xml version="1.0" encoding="utf-8"?>
<sst xmlns="http://schemas.openxmlformats.org/spreadsheetml/2006/main" count="6190" uniqueCount="516">
  <si>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</si>
  <si>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</si>
  <si>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</si>
  <si>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</si>
  <si>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</si>
  <si>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</si>
  <si>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</si>
  <si>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</si>
  <si>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</si>
  <si>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</si>
  <si>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</si>
  <si>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</si>
  <si>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</si>
  <si>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</si>
  <si>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</si>
  <si>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</si>
  <si>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</si>
  <si>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</si>
  <si>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</si>
  <si>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</si>
  <si>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</si>
  <si>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</si>
  <si>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</si>
  <si>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</si>
  <si>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</si>
  <si>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</si>
  <si>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</si>
  <si>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</si>
  <si>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</si>
  <si>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</si>
  <si>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</si>
  <si>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</si>
  <si>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</si>
  <si>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</si>
  <si>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</si>
  <si>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</si>
  <si>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</si>
  <si>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</si>
  <si>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</si>
  <si>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</si>
  <si>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</si>
  <si>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</si>
  <si>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</si>
  <si>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</si>
  <si>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</si>
  <si>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</si>
  <si>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</si>
  <si>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</si>
  <si>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MT_FRT_SHIP_RE</t>
  </si>
  <si>
    <t>MT_PSNG_ROAD_CONV</t>
  </si>
  <si>
    <t>MT_PSNG_RAIL_CONV</t>
  </si>
  <si>
    <t>MT_PSNG_AIR_CONV</t>
  </si>
  <si>
    <t>MT_FRT_ROAD_CONV</t>
  </si>
  <si>
    <t>MT_FRT_RAIL_CONV</t>
  </si>
  <si>
    <t>MT_FRT_SHIP_CONV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</si>
  <si>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</si>
  <si>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</si>
  <si>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</si>
  <si>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</si>
  <si>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FRT_Ship_Conv</t>
  </si>
  <si>
    <t>FRT_Ship_Bio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</si>
  <si>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</si>
  <si>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</si>
  <si>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</si>
  <si>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</si>
  <si>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</si>
  <si>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</si>
  <si>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</si>
  <si>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</si>
  <si>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</si>
  <si>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</si>
  <si>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</si>
  <si>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</si>
  <si>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</si>
  <si>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</si>
  <si>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</si>
  <si>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</si>
  <si>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</si>
  <si>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</si>
  <si>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</si>
  <si>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</si>
  <si>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</si>
  <si>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</si>
  <si>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</si>
  <si>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</si>
  <si>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</si>
  <si>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</si>
  <si>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</si>
  <si>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</si>
  <si>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</si>
  <si>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</si>
  <si>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</si>
  <si>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</si>
  <si>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</si>
  <si>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</si>
  <si>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</si>
  <si>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</si>
  <si>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</si>
  <si>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</si>
  <si>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</si>
  <si>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</si>
  <si>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</si>
  <si>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</si>
  <si>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</si>
  <si>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</si>
  <si>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</si>
  <si>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</si>
  <si>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</si>
  <si>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</si>
  <si>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</si>
  <si>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</si>
  <si>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</si>
  <si>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</si>
  <si>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</si>
  <si>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</si>
  <si>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</si>
  <si>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</si>
  <si>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</si>
  <si>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</si>
  <si>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</si>
  <si>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</si>
  <si>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</si>
  <si>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</si>
  <si>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</si>
  <si>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</si>
  <si>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</si>
  <si>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</si>
  <si>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</si>
  <si>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</si>
  <si>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</si>
  <si>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</si>
  <si>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</si>
  <si>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</si>
  <si>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</si>
  <si>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</si>
  <si>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</si>
  <si>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FRT_Ship_H2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</si>
  <si>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</si>
  <si>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</si>
  <si>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</si>
  <si>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</si>
  <si>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</si>
  <si>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</si>
  <si>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</si>
  <si>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</si>
  <si>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</si>
  <si>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</si>
  <si>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</si>
  <si>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</si>
  <si>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</si>
  <si>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</si>
  <si>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</si>
  <si>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</si>
  <si>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</si>
  <si>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</si>
  <si>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</si>
  <si>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</si>
  <si>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</si>
  <si>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</si>
  <si>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</si>
  <si>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</si>
  <si>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</si>
  <si>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</si>
  <si>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</si>
  <si>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</si>
  <si>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</si>
  <si>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</si>
  <si>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</si>
  <si>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</si>
  <si>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</si>
  <si>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</si>
  <si>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</si>
  <si>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</si>
  <si>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</si>
  <si>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</si>
  <si>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</si>
  <si>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</si>
  <si>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</si>
  <si>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</si>
  <si>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</si>
  <si>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</si>
  <si>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</si>
  <si>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</si>
  <si>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</si>
  <si>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</si>
  <si>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</si>
  <si>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</si>
  <si>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</si>
  <si>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</si>
  <si>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</si>
  <si>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</si>
  <si>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</si>
  <si>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</si>
  <si>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</si>
  <si>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</si>
  <si>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</si>
  <si>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</si>
  <si>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</si>
  <si>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</si>
  <si>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</si>
  <si>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</si>
  <si>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</si>
  <si>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</si>
  <si>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</si>
  <si>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</si>
  <si>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</si>
  <si>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</si>
  <si>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</si>
  <si>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</si>
  <si>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</si>
  <si>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</si>
  <si>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</si>
  <si>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</si>
  <si>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</si>
  <si>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</si>
  <si>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</si>
  <si>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</si>
  <si>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</si>
  <si>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</si>
  <si>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</si>
  <si>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</si>
  <si>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</si>
  <si>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</si>
  <si>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</si>
  <si>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</si>
  <si>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</si>
  <si>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</si>
  <si>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</si>
  <si>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</si>
  <si>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</si>
  <si>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</si>
  <si>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</si>
  <si>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</si>
  <si>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</si>
  <si>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</si>
  <si>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</si>
  <si>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</si>
  <si>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</si>
  <si>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</si>
  <si>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</si>
  <si>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</si>
  <si>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</si>
  <si>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</si>
  <si>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</si>
  <si>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</si>
  <si>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</si>
  <si>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</si>
  <si>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</si>
  <si>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</si>
  <si>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</si>
  <si>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</si>
  <si>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</si>
  <si>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</si>
  <si>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</si>
  <si>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</si>
  <si>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</si>
  <si>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</si>
  <si>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</si>
  <si>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</si>
  <si>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</si>
  <si>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</si>
  <si>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</si>
  <si>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</si>
  <si>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</si>
  <si>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</si>
  <si>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</si>
  <si>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</si>
  <si>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</si>
  <si>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</si>
  <si>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</si>
  <si>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</si>
  <si>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</si>
  <si>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</si>
  <si>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</si>
  <si>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</si>
  <si>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</si>
  <si>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</si>
  <si>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AL</t>
  </si>
  <si>
    <t>AT</t>
  </si>
  <si>
    <t>BA</t>
  </si>
  <si>
    <t>BE</t>
  </si>
  <si>
    <t>BG</t>
  </si>
  <si>
    <t>CH</t>
  </si>
  <si>
    <t>CZ</t>
  </si>
  <si>
    <t>DK</t>
  </si>
  <si>
    <t>ES</t>
  </si>
  <si>
    <t>FI</t>
  </si>
  <si>
    <t>FR</t>
  </si>
  <si>
    <t>GR</t>
  </si>
  <si>
    <t>HR</t>
  </si>
  <si>
    <t>HU</t>
  </si>
  <si>
    <t>IE</t>
  </si>
  <si>
    <t>IT</t>
  </si>
  <si>
    <t>LU</t>
  </si>
  <si>
    <t>ME</t>
  </si>
  <si>
    <t>MK</t>
  </si>
  <si>
    <t>NL</t>
  </si>
  <si>
    <t>NO</t>
  </si>
  <si>
    <t>PL</t>
  </si>
  <si>
    <t>PT</t>
  </si>
  <si>
    <t>RO</t>
  </si>
  <si>
    <t>RS</t>
  </si>
  <si>
    <t>SE</t>
  </si>
  <si>
    <t>SI</t>
  </si>
  <si>
    <t>SK</t>
  </si>
  <si>
    <t>UA</t>
  </si>
  <si>
    <t>UK</t>
  </si>
  <si>
    <t>EE</t>
  </si>
  <si>
    <t>LT</t>
  </si>
  <si>
    <t>LV</t>
  </si>
  <si>
    <t>RU</t>
  </si>
  <si>
    <t>BY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</si>
  <si>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</si>
  <si>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</si>
  <si>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</si>
  <si>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</si>
  <si>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</si>
  <si>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</si>
  <si>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</si>
  <si>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</si>
  <si>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</si>
  <si>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</si>
  <si>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</si>
  <si>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</si>
  <si>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</si>
  <si>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</si>
  <si>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</si>
  <si>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</si>
  <si>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</si>
  <si>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</si>
  <si>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</si>
  <si>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</si>
  <si>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</si>
  <si>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</si>
  <si>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</si>
  <si>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</si>
  <si>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</si>
  <si>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</si>
  <si>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</si>
  <si>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</si>
  <si>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</si>
  <si>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</si>
  <si>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</si>
  <si>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</si>
  <si>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</si>
  <si>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FRT_Ship_LNG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</si>
  <si>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</si>
  <si>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</si>
  <si>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</si>
  <si>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</si>
  <si>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</si>
  <si>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</si>
  <si>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</si>
  <si>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</si>
  <si>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</si>
  <si>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NONEU_Balkan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</si>
  <si>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</si>
  <si>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</si>
  <si>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</si>
  <si>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</si>
  <si>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</si>
  <si>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</si>
  <si>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</si>
  <si>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</si>
  <si>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</si>
  <si>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</si>
  <si>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</si>
  <si>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</si>
  <si>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</si>
  <si>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</si>
  <si>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</si>
  <si>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</si>
  <si>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</si>
  <si>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</si>
  <si>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</si>
  <si>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</si>
  <si>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</si>
  <si>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</si>
  <si>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</si>
  <si>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</si>
  <si>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</si>
  <si>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</si>
  <si>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</si>
  <si>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</si>
  <si>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</si>
  <si>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</si>
  <si>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</si>
  <si>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</si>
  <si>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</si>
  <si>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</si>
  <si>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</si>
  <si>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</si>
  <si>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</si>
  <si>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</si>
  <si>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</si>
  <si>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</si>
  <si>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</si>
  <si>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</si>
  <si>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</si>
  <si>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</si>
  <si>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</si>
  <si>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</si>
  <si>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</si>
  <si>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</si>
  <si>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</si>
  <si>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</si>
  <si>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</si>
  <si>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</si>
  <si>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</si>
  <si>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</si>
  <si>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</si>
  <si>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</si>
  <si>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</si>
  <si>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</si>
  <si>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</si>
  <si>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</si>
  <si>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</si>
  <si>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</si>
  <si>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</si>
  <si>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</si>
  <si>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</si>
  <si>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</si>
  <si>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</si>
  <si>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</si>
  <si>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</si>
  <si>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</si>
  <si>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</si>
  <si>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</si>
  <si>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</si>
  <si>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</si>
  <si>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</si>
  <si>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</si>
  <si>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</si>
  <si>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</si>
  <si>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</si>
  <si>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</si>
  <si>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</si>
  <si>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</si>
  <si>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</si>
  <si>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</si>
  <si>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</si>
  <si>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</si>
  <si>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</si>
  <si>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</si>
  <si>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</si>
  <si>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</si>
  <si>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</si>
  <si>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</si>
  <si>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</si>
  <si>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</si>
  <si>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</si>
  <si>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</si>
  <si>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</si>
  <si>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</si>
  <si>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</si>
  <si>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</si>
  <si>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</si>
  <si>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</si>
  <si>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</si>
  <si>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</si>
  <si>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</si>
  <si>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</si>
  <si>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</si>
  <si>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</si>
  <si>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</si>
  <si>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</si>
  <si>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</si>
  <si>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</si>
  <si>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</si>
  <si>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</si>
  <si>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</si>
  <si>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</si>
  <si>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</si>
  <si>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</si>
  <si>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</si>
  <si>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</si>
  <si>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</si>
  <si>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</si>
  <si>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</si>
  <si>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</si>
  <si>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</si>
  <si>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</si>
  <si>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</si>
  <si>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</si>
  <si>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</si>
  <si>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</si>
  <si>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</si>
  <si>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</si>
  <si>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</si>
  <si>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</si>
  <si>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</si>
  <si>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</si>
  <si>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</si>
  <si>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</si>
  <si>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</si>
  <si>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</si>
  <si>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</si>
  <si>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</si>
  <si>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</si>
  <si>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</si>
  <si>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</si>
  <si>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</si>
  <si>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</si>
  <si>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</si>
  <si>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</si>
  <si>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</si>
  <si>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</si>
  <si>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</si>
  <si>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</si>
  <si>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GrandeTerre</t>
  </si>
  <si>
    <t>BasseTerre</t>
  </si>
  <si>
    <t>MarieGalante</t>
  </si>
  <si>
    <t>LaDesirade</t>
  </si>
  <si>
    <t>MinorIslands</t>
  </si>
  <si>
    <t>most likely just 0 for guadeloupe</t>
  </si>
  <si>
    <t>RES_Wind_Avg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</si>
</sst>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59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32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0" fillId="37" borderId="0" xfId="0" applyFill="1"/>
    <xf numFmtId="0" fontId="11" fillId="37" borderId="0" xfId="0" applyFont="1" applyFill="1"/>
    <xf numFmtId="0" fontId="0" fillId="37" borderId="0" xfId="0" applyFill="1" applyAlignment="1">
      <alignment horizontal="left" vertical="center"/>
    </xf>
    <xf numFmtId="0" fontId="0" fillId="37" borderId="0" xfId="0" applyFill="1" applyAlignment="1">
      <alignment horizontal="center"/>
    </xf>
    <xf numFmtId="0" fontId="0" fillId="37" borderId="0" xfId="0" applyFill="1" applyAlignment="1">
      <alignment horizontal="center" vertical="center"/>
    </xf>
    <xf numFmtId="0" fontId="0" fillId="34" borderId="0" xfId="0" applyFill="1" applyAlignment="1">
      <alignment horizontal="left"/>
    </xf>
    <xf numFmtId="165" fontId="0" fillId="37" borderId="0" xfId="0" applyNumberFormat="1" applyFill="1"/>
    <xf numFmtId="166" fontId="0" fillId="37" borderId="0" xfId="0" applyNumberFormat="1" applyFill="1"/>
    <xf numFmtId="2" fontId="0" fillId="37" borderId="0" xfId="0" applyNumberFormat="1" applyFill="1"/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116416</xdr:colOff>
      <xdr:row>8</xdr:row>
      <xdr:rowOff>42333</xdr:rowOff>
    </xdr:from>
    <xdr:to>
      <xdr:col>13</xdr:col>
      <xdr:colOff>317500</xdr:colOff>
      <xdr:row>12</xdr:row>
      <xdr:rowOff>21167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5C6EF3D-B29B-F9BC-3470-5A697EC4413B}"/>
            </a:ext>
          </a:extLst>
        </xdr:cNvPr>
        <xdr:cNvSpPr txBox="1"/>
      </xdr:nvSpPr>
      <xdr:spPr>
        <a:xfrm>
          <a:off x="10562166" y="1534583"/>
          <a:ext cx="2465917" cy="105833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There is</a:t>
          </a:r>
          <a:r>
            <a:rPr lang="en-US" sz="1100" baseline="0"/>
            <a:t> a slight problem for the estimation of residues on Grande Terre - 59 MW is combined installed capacity for both Bagasse and Coal, maybe utilization time can be adjusted to be lower for residues instead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hb\Documents\genesys-mod\Inputdata\Data_Global_v20_jk_15-09-1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hb\Documents\genesys-mod\Inputdata\Data_India_Legacy_v01_kl_11-07-2017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hb\Documents\genesys-mod\Inputdata\data_sectors_v61_kh_29-05-2017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Karlo\Documents\Uni\OR-Studienprojekt\Modell\OR-RES\Inputdata\Data_Supply_2050_V16_kh_27-06-1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Data_Europe_openENTRANCE_SocietalCommitment_oE_v42_kl_09_05_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eckblatt"/>
      <sheetName val="Data"/>
      <sheetName val="Par_ReserveMargin"/>
      <sheetName val="Par_TradeRoute_2015"/>
      <sheetName val="Par_TradeRoute_2050"/>
      <sheetName val="Par_TransportCosts"/>
      <sheetName val="Par_EmissionsPenalty"/>
      <sheetName val="Par_AnnualExogenousEmission"/>
      <sheetName val="Par_AnnualEmissionLimit"/>
      <sheetName val="Par_ReserveMarginTagFuel"/>
      <sheetName val="Par_ReserveMarginTagTechnology"/>
      <sheetName val="GDP_Population"/>
      <sheetName val="Changelog"/>
    </sheetNames>
    <sheetDataSet>
      <sheetData sheetId="0"/>
      <sheetData sheetId="1"/>
      <sheetData sheetId="2">
        <row r="2">
          <cell r="C2" t="str">
            <v>Power</v>
          </cell>
          <cell r="G2" t="str">
            <v>Europe</v>
          </cell>
        </row>
        <row r="3">
          <cell r="C3" t="str">
            <v>Heat_low</v>
          </cell>
          <cell r="G3" t="str">
            <v>Africa</v>
          </cell>
        </row>
        <row r="4">
          <cell r="C4" t="str">
            <v>Heat_high</v>
          </cell>
          <cell r="G4" t="str">
            <v>North_America</v>
          </cell>
        </row>
        <row r="5">
          <cell r="C5" t="str">
            <v>Mob_pass</v>
          </cell>
          <cell r="G5" t="str">
            <v>South_America</v>
          </cell>
        </row>
        <row r="6">
          <cell r="C6" t="str">
            <v>Mob_freight</v>
          </cell>
          <cell r="G6" t="str">
            <v>Oceania</v>
          </cell>
        </row>
        <row r="7">
          <cell r="C7" t="str">
            <v>Conv_oil</v>
          </cell>
          <cell r="G7" t="str">
            <v>China</v>
          </cell>
        </row>
        <row r="8">
          <cell r="C8" t="str">
            <v>Conv_coal</v>
          </cell>
          <cell r="G8" t="str">
            <v>India</v>
          </cell>
        </row>
        <row r="9">
          <cell r="C9" t="str">
            <v>Conv_uranium</v>
          </cell>
          <cell r="G9" t="str">
            <v>Middle_East</v>
          </cell>
        </row>
        <row r="10">
          <cell r="C10" t="str">
            <v>Conv_lignite</v>
          </cell>
          <cell r="G10" t="str">
            <v>FSU</v>
          </cell>
        </row>
        <row r="11">
          <cell r="C11" t="str">
            <v>Conv_gas</v>
          </cell>
          <cell r="G11" t="str">
            <v>Asia_Rest</v>
          </cell>
        </row>
        <row r="12">
          <cell r="C12" t="str">
            <v>Conv_gasoline</v>
          </cell>
        </row>
        <row r="13">
          <cell r="C13" t="str">
            <v>Conv_diesel</v>
          </cell>
        </row>
        <row r="14">
          <cell r="C14" t="str">
            <v>Bio_m</v>
          </cell>
        </row>
        <row r="15">
          <cell r="C15" t="str">
            <v>Bio_f</v>
          </cell>
        </row>
        <row r="16">
          <cell r="C16" t="str">
            <v>H2G</v>
          </cell>
        </row>
        <row r="17">
          <cell r="C17" t="str">
            <v>H2L</v>
          </cell>
        </row>
        <row r="18">
          <cell r="C18" t="str">
            <v>Area_roofs</v>
          </cell>
        </row>
        <row r="19">
          <cell r="C19" t="str">
            <v>Area_windon</v>
          </cell>
        </row>
        <row r="20">
          <cell r="C20" t="str">
            <v>River</v>
          </cell>
        </row>
        <row r="21">
          <cell r="C21" t="str">
            <v>Area_Biofuels</v>
          </cell>
        </row>
        <row r="22">
          <cell r="C22" t="str">
            <v>area_pv</v>
          </cell>
        </row>
        <row r="23">
          <cell r="C23" t="str">
            <v>Area_windoff</v>
          </cell>
        </row>
        <row r="24">
          <cell r="C24" t="str">
            <v>Area_Geo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ata"/>
      <sheetName val="Par_TradeRoute"/>
      <sheetName val="Par_TradeCapacity"/>
      <sheetName val="Par_AccumulatedAnnualDemand"/>
      <sheetName val="Par_SpecifiedAnnualDemand"/>
      <sheetName val="Par_SpecifiedDemandProfile"/>
      <sheetName val="Par_ReserveMarginTagFuel"/>
      <sheetName val="Par_ReserveMarginTagTechnology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OperationalLife"/>
      <sheetName val="Par_TotalAnnualMaxActivity"/>
      <sheetName val="Par_TotalAnnualMaxCapacity"/>
      <sheetName val="Par_TotalAnnualMinCapacity"/>
      <sheetName val="Par_ModalSplitByFuel"/>
      <sheetName val="Par_TagTechnology"/>
      <sheetName val="Change_log"/>
    </sheetNames>
    <sheetDataSet>
      <sheetData sheetId="0" refreshError="1"/>
      <sheetData sheetId="1">
        <row r="2">
          <cell r="C2" t="str">
            <v>Bio_F</v>
          </cell>
          <cell r="E2" t="str">
            <v>ID</v>
          </cell>
          <cell r="G2" t="str">
            <v>India_E</v>
          </cell>
        </row>
        <row r="3">
          <cell r="C3" t="str">
            <v>Bio_M</v>
          </cell>
          <cell r="E3" t="str">
            <v>IN</v>
          </cell>
          <cell r="G3" t="str">
            <v>India_CE</v>
          </cell>
        </row>
        <row r="4">
          <cell r="C4" t="str">
            <v>Conv_Coal</v>
          </cell>
          <cell r="E4" t="str">
            <v>SD</v>
          </cell>
          <cell r="G4" t="str">
            <v>India_W</v>
          </cell>
        </row>
        <row r="5">
          <cell r="C5" t="str">
            <v>Conv_Fueloil</v>
          </cell>
          <cell r="E5" t="str">
            <v>SN</v>
          </cell>
          <cell r="G5" t="str">
            <v>India_CW</v>
          </cell>
        </row>
        <row r="6">
          <cell r="C6" t="str">
            <v>Conv_Gas</v>
          </cell>
          <cell r="E6" t="str">
            <v>WD</v>
          </cell>
          <cell r="G6" t="str">
            <v>India_N</v>
          </cell>
        </row>
        <row r="7">
          <cell r="C7" t="str">
            <v>Conv_Nuclear</v>
          </cell>
          <cell r="E7" t="str">
            <v>WN</v>
          </cell>
          <cell r="G7" t="str">
            <v>India_NW</v>
          </cell>
        </row>
        <row r="8">
          <cell r="C8" t="str">
            <v>Conv_Oil</v>
          </cell>
          <cell r="G8" t="str">
            <v>India_UP</v>
          </cell>
        </row>
        <row r="9">
          <cell r="C9" t="str">
            <v>Conv_Petrofuel</v>
          </cell>
          <cell r="G9" t="str">
            <v>India_S</v>
          </cell>
        </row>
        <row r="10">
          <cell r="C10" t="str">
            <v>H2G</v>
          </cell>
          <cell r="G10" t="str">
            <v>India_CS</v>
          </cell>
        </row>
        <row r="11">
          <cell r="C11" t="str">
            <v>H2L</v>
          </cell>
          <cell r="G11" t="str">
            <v>India_NE</v>
          </cell>
        </row>
        <row r="12">
          <cell r="C12" t="str">
            <v>Heat_High</v>
          </cell>
        </row>
        <row r="13">
          <cell r="C13" t="str">
            <v>Heat_Low</v>
          </cell>
        </row>
        <row r="14">
          <cell r="C14" t="str">
            <v>Landuse_Biofuels</v>
          </cell>
        </row>
        <row r="15">
          <cell r="C15" t="str">
            <v>Landuse_CSP</v>
          </cell>
        </row>
        <row r="16">
          <cell r="C16" t="str">
            <v>Landuse_CSP_Storage</v>
          </cell>
        </row>
        <row r="17">
          <cell r="C17" t="str">
            <v>Landuse_Hydro_Large</v>
          </cell>
        </row>
        <row r="18">
          <cell r="C18" t="str">
            <v>Landuse_Hydro_Small</v>
          </cell>
        </row>
        <row r="19">
          <cell r="C19" t="str">
            <v>Landuse_PV_Commercial</v>
          </cell>
        </row>
        <row r="20">
          <cell r="C20" t="str">
            <v>Landuse_PV_Utility_avg</v>
          </cell>
        </row>
        <row r="21">
          <cell r="C21" t="str">
            <v>Landuse_PV_Utility_inf</v>
          </cell>
        </row>
        <row r="22">
          <cell r="C22" t="str">
            <v>Landuse_PV_Utility_opt</v>
          </cell>
        </row>
        <row r="23">
          <cell r="C23" t="str">
            <v>Landuse_Solar_Roof</v>
          </cell>
        </row>
        <row r="24">
          <cell r="C24" t="str">
            <v>Landuse_Thermal_Geo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ngelog"/>
      <sheetName val="Data"/>
      <sheetName val="Parameter"/>
      <sheetName val="Par_TWCNToMPTS"/>
      <sheetName val="Par_InputActivityRatio"/>
      <sheetName val="Par_OutputActivityRatio"/>
      <sheetName val="Par_CapitalCost"/>
      <sheetName val="Par_Fixed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  <sheetName val="Par_TotalAnnualMinActivity"/>
    </sheetNames>
    <sheetDataSet>
      <sheetData sheetId="0" refreshError="1"/>
      <sheetData sheetId="1">
        <row r="2">
          <cell r="B2" t="str">
            <v>Area_Biofuels</v>
          </cell>
          <cell r="C2" t="str">
            <v>Power</v>
          </cell>
          <cell r="G2" t="str">
            <v>Europe</v>
          </cell>
        </row>
        <row r="3">
          <cell r="B3" t="str">
            <v>Area_CSP</v>
          </cell>
          <cell r="C3" t="str">
            <v>Heat_low</v>
          </cell>
          <cell r="G3" t="str">
            <v>Africa</v>
          </cell>
        </row>
        <row r="4">
          <cell r="B4" t="str">
            <v>Area_CSP_Storage</v>
          </cell>
          <cell r="C4" t="str">
            <v>Heat_high</v>
          </cell>
          <cell r="G4" t="str">
            <v>North_America</v>
          </cell>
        </row>
        <row r="5">
          <cell r="B5" t="str">
            <v>Area_Hydro_Large</v>
          </cell>
          <cell r="C5" t="str">
            <v>Mob_pass</v>
          </cell>
          <cell r="G5" t="str">
            <v>South_America</v>
          </cell>
        </row>
        <row r="6">
          <cell r="B6" t="str">
            <v>Area_Hydro_Small</v>
          </cell>
          <cell r="C6" t="str">
            <v>Mob_freight</v>
          </cell>
          <cell r="G6" t="str">
            <v>Oceania</v>
          </cell>
        </row>
        <row r="7">
          <cell r="B7" t="str">
            <v>Area_PV_Commercial</v>
          </cell>
          <cell r="C7" t="str">
            <v>Conv_oil</v>
          </cell>
          <cell r="G7" t="str">
            <v>China</v>
          </cell>
        </row>
        <row r="8">
          <cell r="B8" t="str">
            <v>Area_PV_Utility</v>
          </cell>
          <cell r="C8" t="str">
            <v>Conv_coal</v>
          </cell>
          <cell r="G8" t="str">
            <v>India</v>
          </cell>
        </row>
        <row r="9">
          <cell r="B9" t="str">
            <v>Area_Solar_Roof</v>
          </cell>
          <cell r="C9" t="str">
            <v>Conv_uranium</v>
          </cell>
          <cell r="G9" t="str">
            <v>Middle_East</v>
          </cell>
        </row>
        <row r="10">
          <cell r="B10" t="str">
            <v>Area_Thermal_Geo</v>
          </cell>
          <cell r="C10" t="str">
            <v>Conv_lignite</v>
          </cell>
          <cell r="G10" t="str">
            <v>FSU</v>
          </cell>
        </row>
        <row r="11">
          <cell r="B11" t="str">
            <v>Area_Tidal</v>
          </cell>
          <cell r="C11" t="str">
            <v>Conv_gas</v>
          </cell>
          <cell r="G11" t="str">
            <v>Asia_Rest</v>
          </cell>
        </row>
        <row r="12">
          <cell r="B12" t="str">
            <v>Area_Wave</v>
          </cell>
          <cell r="C12" t="str">
            <v>conv_fueloil</v>
          </cell>
        </row>
        <row r="13">
          <cell r="B13" t="str">
            <v>Area_Wind_Offshore</v>
          </cell>
          <cell r="C13" t="str">
            <v>conv_petrofuel</v>
          </cell>
        </row>
        <row r="14">
          <cell r="B14" t="str">
            <v>Area_Wind_Onshore</v>
          </cell>
          <cell r="C14" t="str">
            <v>Bio_m</v>
          </cell>
        </row>
        <row r="15">
          <cell r="B15" t="str">
            <v>BIOFLREFINERY</v>
          </cell>
          <cell r="C15" t="str">
            <v>Bio_f</v>
          </cell>
        </row>
        <row r="16">
          <cell r="B16" t="str">
            <v>C_Coal</v>
          </cell>
          <cell r="C16" t="str">
            <v>H2G</v>
          </cell>
        </row>
        <row r="17">
          <cell r="B17" t="str">
            <v>C_Gas</v>
          </cell>
          <cell r="C17" t="str">
            <v>H2L</v>
          </cell>
        </row>
        <row r="18">
          <cell r="B18" t="str">
            <v>C_Nuclear</v>
          </cell>
          <cell r="C18" t="str">
            <v>Area_roofs</v>
          </cell>
        </row>
        <row r="19">
          <cell r="B19" t="str">
            <v>C_Oil</v>
          </cell>
          <cell r="C19" t="str">
            <v>Area_windon</v>
          </cell>
        </row>
        <row r="20">
          <cell r="B20" t="str">
            <v>ELYSER</v>
          </cell>
          <cell r="C20" t="str">
            <v>River</v>
          </cell>
        </row>
        <row r="21">
          <cell r="B21" t="str">
            <v>FRT_Rail_ELC</v>
          </cell>
          <cell r="C21" t="str">
            <v>Area_Biofuels</v>
          </cell>
        </row>
        <row r="22">
          <cell r="B22" t="str">
            <v>FRT_Rail_Petro</v>
          </cell>
          <cell r="C22" t="str">
            <v>area_pv</v>
          </cell>
        </row>
        <row r="23">
          <cell r="B23" t="str">
            <v>FRT_Road_Bio</v>
          </cell>
          <cell r="C23" t="str">
            <v>Area_windoff</v>
          </cell>
        </row>
        <row r="24">
          <cell r="B24" t="str">
            <v>FRT_Road_Conv</v>
          </cell>
          <cell r="C24" t="str">
            <v>Area_Geo</v>
          </cell>
        </row>
        <row r="25">
          <cell r="B25" t="str">
            <v>FRT_Road_H2</v>
          </cell>
        </row>
        <row r="26">
          <cell r="B26" t="str">
            <v>FRT_Ship_Bio</v>
          </cell>
        </row>
        <row r="27">
          <cell r="B27" t="str">
            <v>FRT_Ship_Conv</v>
          </cell>
        </row>
        <row r="28">
          <cell r="B28" t="str">
            <v>FUEL_CELL</v>
          </cell>
        </row>
        <row r="29">
          <cell r="B29" t="str">
            <v>H2TL</v>
          </cell>
        </row>
        <row r="30">
          <cell r="B30" t="str">
            <v>P_Coal</v>
          </cell>
        </row>
        <row r="31">
          <cell r="B31" t="str">
            <v>P_Gas</v>
          </cell>
        </row>
        <row r="32">
          <cell r="B32" t="str">
            <v>P_Nuclear</v>
          </cell>
        </row>
        <row r="33">
          <cell r="B33" t="str">
            <v>P_Oil</v>
          </cell>
        </row>
        <row r="34">
          <cell r="B34" t="str">
            <v>PSNG_Air_Conv</v>
          </cell>
        </row>
        <row r="35">
          <cell r="B35" t="str">
            <v>PSNG_Air_H2L</v>
          </cell>
        </row>
        <row r="36">
          <cell r="B36" t="str">
            <v>PSNG_Rail_ELC</v>
          </cell>
        </row>
        <row r="37">
          <cell r="B37" t="str">
            <v>PSNG_Rail_Petro</v>
          </cell>
        </row>
        <row r="38">
          <cell r="B38" t="str">
            <v>PSNG_Road_BEV</v>
          </cell>
        </row>
        <row r="39">
          <cell r="B39" t="str">
            <v>PSNG_Road_Bio</v>
          </cell>
        </row>
        <row r="40">
          <cell r="B40" t="str">
            <v>PSNG_Road_FCEV</v>
          </cell>
        </row>
        <row r="41">
          <cell r="B41" t="str">
            <v>PSNG_Road_ICE</v>
          </cell>
        </row>
        <row r="42">
          <cell r="B42" t="str">
            <v>Res_BioMass</v>
          </cell>
        </row>
        <row r="43">
          <cell r="B43" t="str">
            <v>Res_CSP</v>
          </cell>
        </row>
        <row r="44">
          <cell r="B44" t="str">
            <v>Res_CSP_Storage</v>
          </cell>
        </row>
        <row r="45">
          <cell r="B45" t="str">
            <v>Res_Hydro_Large</v>
          </cell>
        </row>
        <row r="46">
          <cell r="B46" t="str">
            <v>Res_Hydro_Small</v>
          </cell>
        </row>
        <row r="47">
          <cell r="B47" t="str">
            <v>Res_PV_Commercial</v>
          </cell>
        </row>
        <row r="48">
          <cell r="B48" t="str">
            <v>Res_PV_Residential</v>
          </cell>
        </row>
        <row r="49">
          <cell r="B49" t="str">
            <v>Res_PV_Utility</v>
          </cell>
        </row>
        <row r="50">
          <cell r="B50" t="str">
            <v>Res_Thermal_Geo</v>
          </cell>
        </row>
        <row r="51">
          <cell r="B51" t="str">
            <v>Res_Thermal_Solar</v>
          </cell>
        </row>
        <row r="52">
          <cell r="B52" t="str">
            <v>Res_Tidal</v>
          </cell>
        </row>
        <row r="53">
          <cell r="B53" t="str">
            <v>Res_Wave</v>
          </cell>
        </row>
        <row r="54">
          <cell r="B54" t="str">
            <v>Res_Wind_Offshore</v>
          </cell>
        </row>
        <row r="55">
          <cell r="B55" t="str">
            <v>Res_Wind_Onshore</v>
          </cell>
        </row>
        <row r="56">
          <cell r="B56" t="str">
            <v>ST_Battery_Lion</v>
          </cell>
        </row>
        <row r="57">
          <cell r="B57" t="str">
            <v>ST_H2</v>
          </cell>
        </row>
        <row r="58">
          <cell r="B58" t="str">
            <v>ST_Heat_dec</v>
          </cell>
        </row>
        <row r="59">
          <cell r="B59" t="str">
            <v>ST_Heat_cen</v>
          </cell>
        </row>
        <row r="60">
          <cell r="B60" t="str">
            <v>ST_PSP</v>
          </cell>
        </row>
        <row r="61">
          <cell r="B61" t="str">
            <v>T_heat_low_heatpump</v>
          </cell>
        </row>
        <row r="62">
          <cell r="B62" t="str">
            <v>T_heat_low_elfur</v>
          </cell>
        </row>
        <row r="63">
          <cell r="B63" t="str">
            <v>T_heat_low_bio_chp</v>
          </cell>
        </row>
        <row r="64">
          <cell r="B64" t="str">
            <v>T_heat_low_bio</v>
          </cell>
        </row>
        <row r="65">
          <cell r="B65" t="str">
            <v>T_heat_low_solartherm</v>
          </cell>
        </row>
        <row r="66">
          <cell r="B66" t="str">
            <v>T_heat_low_res-gas</v>
          </cell>
        </row>
        <row r="67">
          <cell r="B67" t="str">
            <v>T_heat_low_res-gas_chp</v>
          </cell>
        </row>
        <row r="68">
          <cell r="B68" t="str">
            <v>T_heat_low_gas</v>
          </cell>
        </row>
        <row r="69">
          <cell r="B69" t="str">
            <v>T_heat_low_oil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ata"/>
      <sheetName val="Par_TWCNToMPTS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</sheetNames>
    <sheetDataSet>
      <sheetData sheetId="0"/>
      <sheetData sheetId="1">
        <row r="2">
          <cell r="B2" t="str">
            <v>Res_Wind_Offshore</v>
          </cell>
        </row>
        <row r="3">
          <cell r="B3" t="str">
            <v>Res_Wind_Onshore</v>
          </cell>
        </row>
        <row r="4">
          <cell r="B4" t="str">
            <v>Res_PV_residential</v>
          </cell>
        </row>
        <row r="5">
          <cell r="B5" t="str">
            <v>Res_PV_commercial</v>
          </cell>
        </row>
        <row r="6">
          <cell r="B6" t="str">
            <v>Res_PV_utility</v>
          </cell>
        </row>
        <row r="7">
          <cell r="B7" t="str">
            <v>Res_CSP_Storage</v>
          </cell>
        </row>
        <row r="8">
          <cell r="B8" t="str">
            <v>Res_CSP</v>
          </cell>
        </row>
        <row r="9">
          <cell r="B9" t="str">
            <v>Res_Thermal_Solar</v>
          </cell>
        </row>
        <row r="10">
          <cell r="B10" t="str">
            <v>Res_Thermal_Geo</v>
          </cell>
        </row>
        <row r="11">
          <cell r="B11" t="str">
            <v>Res_Hydro_Small</v>
          </cell>
        </row>
        <row r="12">
          <cell r="B12" t="str">
            <v>Res_Hydro_Large</v>
          </cell>
        </row>
        <row r="13">
          <cell r="B13" t="str">
            <v>Res_Wave</v>
          </cell>
        </row>
        <row r="14">
          <cell r="B14" t="str">
            <v>Res_Tidal</v>
          </cell>
        </row>
        <row r="15">
          <cell r="B15" t="str">
            <v>BIOFLREFINERY</v>
          </cell>
        </row>
        <row r="16">
          <cell r="B16" t="str">
            <v>BioFuels</v>
          </cell>
        </row>
        <row r="17">
          <cell r="B17" t="str">
            <v>ELYSER</v>
          </cell>
        </row>
        <row r="18">
          <cell r="B18" t="str">
            <v>H2TL</v>
          </cell>
        </row>
        <row r="19">
          <cell r="B19" t="str">
            <v>BIOFPLANT</v>
          </cell>
        </row>
        <row r="20">
          <cell r="B20" t="str">
            <v>HEATP</v>
          </cell>
        </row>
        <row r="21">
          <cell r="B21" t="str">
            <v>ELFUR</v>
          </cell>
        </row>
        <row r="22">
          <cell r="B22" t="str">
            <v>CHP</v>
          </cell>
        </row>
        <row r="23">
          <cell r="B23" t="str">
            <v>PSNG-ROAD-BEV</v>
          </cell>
        </row>
        <row r="24">
          <cell r="B24" t="str">
            <v>PSNG-ROAD-FCEV</v>
          </cell>
        </row>
        <row r="25">
          <cell r="B25" t="str">
            <v>PSNG-RAIL-ELC</v>
          </cell>
        </row>
        <row r="26">
          <cell r="B26" t="str">
            <v>PSNG-AIR-BIO</v>
          </cell>
        </row>
        <row r="27">
          <cell r="B27" t="str">
            <v>FRT-ROAD-H2</v>
          </cell>
        </row>
        <row r="28">
          <cell r="B28" t="str">
            <v>FRT-RAIL-ELC</v>
          </cell>
        </row>
        <row r="29">
          <cell r="B29" t="str">
            <v>FRT-SHIP-BIO</v>
          </cell>
        </row>
        <row r="30">
          <cell r="B30" t="str">
            <v>PV_area</v>
          </cell>
        </row>
        <row r="31">
          <cell r="B31" t="str">
            <v>available_roofs</v>
          </cell>
        </row>
        <row r="32">
          <cell r="B32" t="str">
            <v>Windon_area</v>
          </cell>
        </row>
        <row r="33">
          <cell r="B33" t="str">
            <v>Bio_area</v>
          </cell>
        </row>
        <row r="34">
          <cell r="B34" t="str">
            <v>river_area</v>
          </cell>
        </row>
        <row r="35">
          <cell r="B35" t="str">
            <v>Windoff_area</v>
          </cell>
        </row>
        <row r="36">
          <cell r="B36" t="str">
            <v>Geo_Area</v>
          </cell>
        </row>
        <row r="37">
          <cell r="B37" t="str">
            <v>_T_heat_big</v>
          </cell>
        </row>
        <row r="38">
          <cell r="B38" t="str">
            <v>_T_heat_small</v>
          </cell>
        </row>
        <row r="39">
          <cell r="B39" t="str">
            <v>_CAS</v>
          </cell>
        </row>
        <row r="40">
          <cell r="B40" t="str">
            <v>_H2</v>
          </cell>
        </row>
        <row r="41">
          <cell r="B41" t="str">
            <v>_PSP</v>
          </cell>
        </row>
        <row r="42">
          <cell r="B42" t="str">
            <v>_Lithium_Ion</v>
          </cell>
        </row>
        <row r="43">
          <cell r="B43" t="str">
            <v>PSNG_ROAD_BEV</v>
          </cell>
        </row>
        <row r="44">
          <cell r="B44" t="str">
            <v>PSNG_AIR_H2L</v>
          </cell>
        </row>
        <row r="45">
          <cell r="B45" t="str">
            <v>FRT_SHIP_BIO</v>
          </cell>
        </row>
        <row r="46">
          <cell r="B46" t="str">
            <v>PSNG_ROAD_ICE</v>
          </cell>
        </row>
        <row r="47">
          <cell r="B47" t="str">
            <v>PSNG_AIR_CONV</v>
          </cell>
        </row>
        <row r="48">
          <cell r="B48" t="str">
            <v>FRT_ROAD_CONV</v>
          </cell>
        </row>
        <row r="49">
          <cell r="B49" t="str">
            <v>FRT_SHIP_CONV</v>
          </cell>
        </row>
        <row r="50">
          <cell r="B50" t="str">
            <v>FUEL_CELL</v>
          </cell>
        </row>
        <row r="51">
          <cell r="B51" t="str">
            <v>PSNG_ROAD_FCEV</v>
          </cell>
        </row>
        <row r="52">
          <cell r="B52" t="str">
            <v>PSNG_RAIL_ELC</v>
          </cell>
        </row>
        <row r="53">
          <cell r="B53" t="str">
            <v>PSNG_RAIL_PETRO</v>
          </cell>
        </row>
        <row r="54">
          <cell r="B54" t="str">
            <v>FRT_ROAD_H2</v>
          </cell>
        </row>
        <row r="55">
          <cell r="B55" t="str">
            <v>FRT_RAIL_ELC</v>
          </cell>
        </row>
        <row r="56">
          <cell r="B56" t="str">
            <v>FRT_RAIL_PETRO</v>
          </cell>
        </row>
        <row r="57">
          <cell r="B57" t="str">
            <v>_CAS_CONV</v>
          </cell>
        </row>
        <row r="58">
          <cell r="B58" t="str">
            <v>Battery_Lion</v>
          </cell>
        </row>
        <row r="59">
          <cell r="B59" t="str">
            <v>REFINERY</v>
          </cell>
        </row>
        <row r="60">
          <cell r="B60" t="str">
            <v>gas_heating</v>
          </cell>
        </row>
        <row r="61">
          <cell r="B61" t="str">
            <v>oil_heating</v>
          </cell>
        </row>
        <row r="62">
          <cell r="B62" t="str">
            <v>coal_heating</v>
          </cell>
        </row>
        <row r="63">
          <cell r="B63" t="str">
            <v>bio_heating</v>
          </cell>
        </row>
        <row r="64">
          <cell r="B64" t="str">
            <v>chp_coal</v>
          </cell>
        </row>
        <row r="65">
          <cell r="B65" t="str">
            <v>chp_gas</v>
          </cell>
        </row>
        <row r="66">
          <cell r="B66" t="str">
            <v>chp_lignite</v>
          </cell>
        </row>
        <row r="67">
          <cell r="B67" t="str">
            <v>chp_fueloil</v>
          </cell>
        </row>
        <row r="68">
          <cell r="B68" t="str">
            <v>CHP_biom</v>
          </cell>
        </row>
        <row r="69">
          <cell r="B69" t="str">
            <v>Area_Wind_Offshore</v>
          </cell>
        </row>
        <row r="70">
          <cell r="B70" t="str">
            <v>Area_Wind_Onshore</v>
          </cell>
        </row>
        <row r="71">
          <cell r="B71" t="str">
            <v>Area_Solar_Roof</v>
          </cell>
        </row>
        <row r="72">
          <cell r="B72" t="str">
            <v>Area_PV_commercial</v>
          </cell>
        </row>
        <row r="73">
          <cell r="B73" t="str">
            <v>Area_PV_utility</v>
          </cell>
        </row>
        <row r="74">
          <cell r="B74" t="str">
            <v>Area_CSP_Storage</v>
          </cell>
        </row>
        <row r="75">
          <cell r="B75" t="str">
            <v>Area_CSP</v>
          </cell>
        </row>
        <row r="76">
          <cell r="B76" t="str">
            <v>Area_Solar_Roof</v>
          </cell>
        </row>
        <row r="77">
          <cell r="B77" t="str">
            <v>Area_Thermal_Geo</v>
          </cell>
        </row>
        <row r="78">
          <cell r="B78" t="str">
            <v>Area_Hydro_Small</v>
          </cell>
        </row>
        <row r="79">
          <cell r="B79" t="str">
            <v>Area_Hydro_Large</v>
          </cell>
        </row>
        <row r="80">
          <cell r="B80" t="str">
            <v>Area_Wave</v>
          </cell>
        </row>
        <row r="81">
          <cell r="B81" t="str">
            <v>Area_Tidal</v>
          </cell>
        </row>
        <row r="82">
          <cell r="B82" t="str">
            <v>Area_Biofuels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s"/>
      <sheetName val="Par_DaySplit"/>
      <sheetName val="Par_YearSplit"/>
      <sheetName val="Par_TagTechnologyToSector"/>
      <sheetName val="Par_CapacityToActivityUnit"/>
      <sheetName val="Par_Conversionls"/>
      <sheetName val="Par_Conversionld"/>
      <sheetName val="Par_Conversionlh"/>
      <sheetName val="Par_TradeRoute"/>
      <sheetName val="Par_TradeCosts"/>
      <sheetName val="Par_TradeCapacity"/>
      <sheetName val="Par_TradeCapacityGrowthCosts"/>
      <sheetName val="Par_GrowthRateTradeCapacity"/>
      <sheetName val="Par_AnnualExogenousEmission"/>
      <sheetName val="Par_AnnualEmissionLimit"/>
      <sheetName val="Par_AnnualSectoralEmissionLimit"/>
      <sheetName val="Par_RegionalAnnualEmissionLimit"/>
      <sheetName val="Par_EmissionActivityRatio"/>
      <sheetName val="Par_EmissionPenaltyTagTech"/>
      <sheetName val="Par_EmissionContentPerFuel"/>
      <sheetName val="Par_EmissionsPenalty"/>
      <sheetName val="Par_SpecifiedAnnualDemand"/>
      <sheetName val="Par_ReserveMargin"/>
      <sheetName val="Par_ReserveMarginTagFuel"/>
      <sheetName val="Par_ReserveMarginTagTechnology"/>
      <sheetName val="Par_InputActivityRatio"/>
      <sheetName val="Par_OutputActivityRatio"/>
      <sheetName val="Par_CapitalCost"/>
      <sheetName val="Par_VariableCost"/>
      <sheetName val="Par_FixedCost"/>
      <sheetName val="Par_ResidualCapacity"/>
      <sheetName val="Par_AvailabilityFactor"/>
      <sheetName val="Par_CapacityFactor"/>
      <sheetName val="Par_OperationalLife"/>
      <sheetName val="Par_TotalAnnualMinActivity"/>
      <sheetName val="Par_TotalAnnualMaxActivity"/>
      <sheetName val="Par_TotalAnnualMaxCapacity"/>
      <sheetName val="Par_ModelPeriodActivityMaxLimit"/>
      <sheetName val="Par_TotalAnnualMinCapacity"/>
      <sheetName val="Par_TagTechnologyToModalType"/>
      <sheetName val="Par_RegionalCCSLimit"/>
      <sheetName val="Par_RegionalBaseYearProduction"/>
      <sheetName val="Par_BaseYearProduction"/>
      <sheetName val="Par_ModalSplitByFuel"/>
      <sheetName val="Par_TechnologyToStorage"/>
      <sheetName val="Par_TechnologyFromStorage"/>
      <sheetName val="Par_StorageLevelStart"/>
      <sheetName val="Par_StorageMaxChargeRate"/>
      <sheetName val="Par_StorageMaxDischargeRate"/>
      <sheetName val="Par_MinStorageCharge"/>
      <sheetName val="Par_OperationalLifeStorage"/>
      <sheetName val="Par_CapitalCostStorage"/>
      <sheetName val="Par_ResidualStorageCapacit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>
        <row r="6">
          <cell r="C6">
            <v>947</v>
          </cell>
          <cell r="D6">
            <v>947</v>
          </cell>
          <cell r="E6">
            <v>947</v>
          </cell>
          <cell r="F6">
            <v>947</v>
          </cell>
          <cell r="G6">
            <v>947</v>
          </cell>
          <cell r="H6">
            <v>852.3</v>
          </cell>
          <cell r="I6">
            <v>852.3</v>
          </cell>
          <cell r="J6">
            <v>852.3</v>
          </cell>
        </row>
        <row r="12">
          <cell r="C12">
            <v>771</v>
          </cell>
          <cell r="D12">
            <v>731</v>
          </cell>
          <cell r="E12">
            <v>706</v>
          </cell>
          <cell r="F12">
            <v>680</v>
          </cell>
          <cell r="G12">
            <v>653</v>
          </cell>
          <cell r="H12">
            <v>632</v>
          </cell>
          <cell r="I12">
            <v>609</v>
          </cell>
          <cell r="J12">
            <v>589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workbookViewId="0">
      <selection activeCell="G2" sqref="G2:G6"/>
    </sheetView>
  </sheetViews>
  <sheetFormatPr defaultColWidth="9.140625" defaultRowHeight="15"/>
  <cols>
    <col min="1" max="1" width="18.5703125" customWidth="1"/>
    <col min="2" max="2" width="28.42578125" bestFit="1" customWidth="1"/>
    <col min="3" max="3" width="25.140625" bestFit="1" customWidth="1"/>
    <col min="6" max="6" width="19.5703125" bestFit="1" customWidth="1"/>
    <col min="7" max="7" width="15" bestFit="1" customWidth="1"/>
    <col min="10" max="10" width="15" customWidth="1"/>
    <col min="11" max="11" width="16.140625" bestFit="1" customWidth="1"/>
    <col min="12" max="13" width="22.425781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57</v>
      </c>
      <c r="M1" s="9" t="s">
        <v>205</v>
      </c>
      <c r="N1" s="9" t="s">
        <v>352</v>
      </c>
    </row>
    <row r="2" spans="1:14">
      <c r="A2" t="s">
        <v>0</v>
      </c>
      <c r="B2" s="2" t="s">
        <v>270</v>
      </c>
      <c r="C2" t="s">
        <v>174</v>
      </c>
      <c r="D2">
        <v>2018</v>
      </c>
      <c r="E2" t="s">
        <v>70</v>
      </c>
      <c r="F2">
        <v>1</v>
      </c>
      <c r="G2" s="7" t="s">
        <v>509</v>
      </c>
      <c r="H2">
        <v>1</v>
      </c>
      <c r="I2">
        <v>1</v>
      </c>
      <c r="J2">
        <v>1</v>
      </c>
      <c r="K2" t="s">
        <v>147</v>
      </c>
      <c r="L2" t="s">
        <v>37</v>
      </c>
      <c r="M2" t="s">
        <v>112</v>
      </c>
      <c r="N2" t="s">
        <v>24</v>
      </c>
    </row>
    <row r="3" spans="1:14">
      <c r="B3" t="s">
        <v>175</v>
      </c>
      <c r="C3" t="s">
        <v>173</v>
      </c>
      <c r="D3">
        <v>2025</v>
      </c>
      <c r="E3" t="s">
        <v>71</v>
      </c>
      <c r="F3">
        <v>2</v>
      </c>
      <c r="G3" s="7" t="s">
        <v>510</v>
      </c>
      <c r="H3">
        <v>2</v>
      </c>
      <c r="J3">
        <v>2</v>
      </c>
      <c r="K3" t="s">
        <v>154</v>
      </c>
      <c r="L3" t="s">
        <v>38</v>
      </c>
      <c r="M3" t="s">
        <v>113</v>
      </c>
      <c r="N3" t="s">
        <v>312</v>
      </c>
    </row>
    <row r="4" spans="1:14">
      <c r="B4" t="s">
        <v>176</v>
      </c>
      <c r="C4" t="s">
        <v>146</v>
      </c>
      <c r="D4">
        <v>2030</v>
      </c>
      <c r="E4" t="s">
        <v>68</v>
      </c>
      <c r="F4">
        <v>3</v>
      </c>
      <c r="G4" s="7" t="s">
        <v>511</v>
      </c>
      <c r="H4">
        <v>3</v>
      </c>
      <c r="J4">
        <v>3</v>
      </c>
      <c r="K4" t="s">
        <v>148</v>
      </c>
      <c r="L4" t="s">
        <v>39</v>
      </c>
      <c r="M4" t="s">
        <v>114</v>
      </c>
      <c r="N4" t="s">
        <v>347</v>
      </c>
    </row>
    <row r="5" spans="1:14">
      <c r="B5" t="s">
        <v>466</v>
      </c>
      <c r="C5" t="s">
        <v>156</v>
      </c>
      <c r="D5">
        <v>2035</v>
      </c>
      <c r="E5" t="s">
        <v>69</v>
      </c>
      <c r="F5">
        <v>4</v>
      </c>
      <c r="G5" s="7" t="s">
        <v>512</v>
      </c>
      <c r="H5">
        <v>4</v>
      </c>
      <c r="J5">
        <v>4</v>
      </c>
      <c r="K5" t="s">
        <v>149</v>
      </c>
      <c r="L5" t="s">
        <v>43</v>
      </c>
      <c r="M5" t="s">
        <v>115</v>
      </c>
      <c r="N5" t="s">
        <v>348</v>
      </c>
    </row>
    <row r="6" spans="1:14">
      <c r="B6" t="s">
        <v>467</v>
      </c>
      <c r="C6" t="s">
        <v>145</v>
      </c>
      <c r="D6">
        <v>2040</v>
      </c>
      <c r="E6" t="s">
        <v>73</v>
      </c>
      <c r="G6" s="7" t="s">
        <v>513</v>
      </c>
      <c r="K6" t="s">
        <v>253</v>
      </c>
      <c r="L6" t="s">
        <v>44</v>
      </c>
      <c r="M6" t="s">
        <v>116</v>
      </c>
      <c r="N6" t="s">
        <v>349</v>
      </c>
    </row>
    <row r="7" spans="1:14">
      <c r="B7" t="s">
        <v>108</v>
      </c>
      <c r="C7" t="s">
        <v>202</v>
      </c>
      <c r="D7">
        <v>2045</v>
      </c>
      <c r="E7" t="s">
        <v>74</v>
      </c>
      <c r="K7" t="s">
        <v>251</v>
      </c>
      <c r="L7" t="s">
        <v>45</v>
      </c>
      <c r="M7" t="s">
        <v>117</v>
      </c>
      <c r="N7" t="s">
        <v>350</v>
      </c>
    </row>
    <row r="8" spans="1:14">
      <c r="B8" t="s">
        <v>468</v>
      </c>
      <c r="C8" t="s">
        <v>144</v>
      </c>
      <c r="D8">
        <v>2050</v>
      </c>
      <c r="E8" t="s">
        <v>75</v>
      </c>
      <c r="K8" t="s">
        <v>197</v>
      </c>
      <c r="L8" t="s">
        <v>49</v>
      </c>
      <c r="M8" t="s">
        <v>161</v>
      </c>
      <c r="N8" t="s">
        <v>351</v>
      </c>
    </row>
    <row r="9" spans="1:14">
      <c r="B9" t="s">
        <v>109</v>
      </c>
      <c r="C9" t="s">
        <v>143</v>
      </c>
      <c r="E9" t="s">
        <v>72</v>
      </c>
      <c r="K9" t="s">
        <v>155</v>
      </c>
      <c r="L9" t="s">
        <v>50</v>
      </c>
      <c r="M9" t="s">
        <v>195</v>
      </c>
      <c r="N9" t="s">
        <v>465</v>
      </c>
    </row>
    <row r="10" spans="1:14">
      <c r="B10" t="s">
        <v>469</v>
      </c>
      <c r="C10" t="s">
        <v>24</v>
      </c>
      <c r="E10" t="s">
        <v>77</v>
      </c>
      <c r="L10" t="s">
        <v>51</v>
      </c>
      <c r="M10" t="s">
        <v>118</v>
      </c>
    </row>
    <row r="11" spans="1:14">
      <c r="B11" t="s">
        <v>470</v>
      </c>
      <c r="C11" t="s">
        <v>150</v>
      </c>
      <c r="E11" t="s">
        <v>78</v>
      </c>
      <c r="L11" t="s">
        <v>40</v>
      </c>
      <c r="M11" t="s">
        <v>119</v>
      </c>
    </row>
    <row r="12" spans="1:14">
      <c r="B12" t="s">
        <v>471</v>
      </c>
      <c r="C12" t="s">
        <v>151</v>
      </c>
      <c r="E12" t="s">
        <v>79</v>
      </c>
      <c r="L12" t="s">
        <v>41</v>
      </c>
      <c r="M12" t="s">
        <v>120</v>
      </c>
    </row>
    <row r="13" spans="1:14">
      <c r="B13" t="s">
        <v>472</v>
      </c>
      <c r="C13" t="s">
        <v>157</v>
      </c>
      <c r="E13" t="s">
        <v>76</v>
      </c>
      <c r="L13" t="s">
        <v>46</v>
      </c>
      <c r="M13" t="s">
        <v>121</v>
      </c>
    </row>
    <row r="14" spans="1:14">
      <c r="B14" t="s">
        <v>473</v>
      </c>
      <c r="C14" t="s">
        <v>203</v>
      </c>
      <c r="E14" t="s">
        <v>81</v>
      </c>
      <c r="L14" t="s">
        <v>52</v>
      </c>
      <c r="M14" t="s">
        <v>122</v>
      </c>
    </row>
    <row r="15" spans="1:14">
      <c r="B15" t="s">
        <v>474</v>
      </c>
      <c r="C15" t="s">
        <v>204</v>
      </c>
      <c r="E15" t="s">
        <v>82</v>
      </c>
      <c r="L15" t="s">
        <v>47</v>
      </c>
      <c r="M15" t="s">
        <v>123</v>
      </c>
    </row>
    <row r="16" spans="1:14">
      <c r="B16" t="s">
        <v>475</v>
      </c>
      <c r="C16" t="s">
        <v>276</v>
      </c>
      <c r="E16" t="s">
        <v>83</v>
      </c>
      <c r="L16" t="s">
        <v>53</v>
      </c>
      <c r="M16" t="s">
        <v>124</v>
      </c>
    </row>
    <row r="17" spans="2:13">
      <c r="B17" t="s">
        <v>476</v>
      </c>
      <c r="C17" t="s">
        <v>212</v>
      </c>
      <c r="E17" t="s">
        <v>80</v>
      </c>
      <c r="L17" t="s">
        <v>42</v>
      </c>
      <c r="M17" t="s">
        <v>160</v>
      </c>
    </row>
    <row r="18" spans="2:13">
      <c r="B18" t="s">
        <v>140</v>
      </c>
      <c r="C18" t="s">
        <v>213</v>
      </c>
      <c r="L18" t="s">
        <v>54</v>
      </c>
      <c r="M18" t="s">
        <v>179</v>
      </c>
    </row>
    <row r="19" spans="2:13">
      <c r="B19" t="s">
        <v>141</v>
      </c>
      <c r="C19" t="s">
        <v>214</v>
      </c>
      <c r="L19" t="s">
        <v>48</v>
      </c>
      <c r="M19" t="s">
        <v>180</v>
      </c>
    </row>
    <row r="20" spans="2:13">
      <c r="B20" t="s">
        <v>196</v>
      </c>
      <c r="C20" t="s">
        <v>275</v>
      </c>
      <c r="M20" t="s">
        <v>111</v>
      </c>
    </row>
    <row r="21" spans="2:13">
      <c r="B21" t="s">
        <v>152</v>
      </c>
      <c r="C21" t="s">
        <v>327</v>
      </c>
      <c r="M21" t="s">
        <v>159</v>
      </c>
    </row>
    <row r="22" spans="2:13">
      <c r="B22" t="s">
        <v>153</v>
      </c>
      <c r="C22" t="s">
        <v>340</v>
      </c>
      <c r="M22" t="s">
        <v>108</v>
      </c>
    </row>
    <row r="23" spans="2:13">
      <c r="B23" t="s">
        <v>250</v>
      </c>
      <c r="C23" t="s">
        <v>341</v>
      </c>
      <c r="M23" t="s">
        <v>109</v>
      </c>
    </row>
    <row r="24" spans="2:13">
      <c r="B24" t="s">
        <v>252</v>
      </c>
      <c r="C24" t="s">
        <v>343</v>
      </c>
      <c r="M24" t="s">
        <v>110</v>
      </c>
    </row>
    <row r="25" spans="2:13">
      <c r="B25" t="s">
        <v>139</v>
      </c>
      <c r="C25" t="s">
        <v>342</v>
      </c>
    </row>
    <row r="26" spans="2:13">
      <c r="B26" t="s">
        <v>142</v>
      </c>
      <c r="C26" t="s">
        <v>271</v>
      </c>
    </row>
    <row r="27" spans="2:13">
      <c r="B27" s="2" t="s">
        <v>134</v>
      </c>
      <c r="C27" t="s">
        <v>327</v>
      </c>
    </row>
    <row r="28" spans="2:13">
      <c r="B28" s="2" t="s">
        <v>135</v>
      </c>
      <c r="C28" t="s">
        <v>358</v>
      </c>
    </row>
    <row r="29" spans="2:13">
      <c r="B29" s="2" t="s">
        <v>129</v>
      </c>
      <c r="C29" t="s">
        <v>364</v>
      </c>
    </row>
    <row r="30" spans="2:13">
      <c r="B30" s="2" t="s">
        <v>61</v>
      </c>
      <c r="C30" t="s">
        <v>365</v>
      </c>
    </row>
    <row r="31" spans="2:13">
      <c r="B31" s="2" t="s">
        <v>130</v>
      </c>
      <c r="C31" t="s">
        <v>464</v>
      </c>
    </row>
    <row r="32" spans="2:13">
      <c r="B32" s="2" t="s">
        <v>344</v>
      </c>
    </row>
    <row r="33" spans="2:2">
      <c r="B33" s="2" t="s">
        <v>181</v>
      </c>
    </row>
    <row r="34" spans="2:2">
      <c r="B34" s="2" t="s">
        <v>131</v>
      </c>
    </row>
    <row r="35" spans="2:2">
      <c r="B35" s="2" t="s">
        <v>60</v>
      </c>
    </row>
    <row r="36" spans="2:2">
      <c r="B36" s="2" t="s">
        <v>59</v>
      </c>
    </row>
    <row r="37" spans="2:2">
      <c r="B37" s="2" t="s">
        <v>345</v>
      </c>
    </row>
    <row r="38" spans="2:2">
      <c r="B38" t="s">
        <v>477</v>
      </c>
    </row>
    <row r="39" spans="2:2">
      <c r="B39" t="s">
        <v>478</v>
      </c>
    </row>
    <row r="40" spans="2:2">
      <c r="B40" t="s">
        <v>243</v>
      </c>
    </row>
    <row r="41" spans="2:2">
      <c r="B41" t="s">
        <v>254</v>
      </c>
    </row>
    <row r="42" spans="2:2">
      <c r="B42" t="s">
        <v>248</v>
      </c>
    </row>
    <row r="43" spans="2:2">
      <c r="B43" t="s">
        <v>244</v>
      </c>
    </row>
    <row r="44" spans="2:2">
      <c r="B44" t="s">
        <v>255</v>
      </c>
    </row>
    <row r="45" spans="2:2">
      <c r="B45" t="s">
        <v>246</v>
      </c>
    </row>
    <row r="46" spans="2:2">
      <c r="B46" t="s">
        <v>247</v>
      </c>
    </row>
    <row r="47" spans="2:2">
      <c r="B47" t="s">
        <v>245</v>
      </c>
    </row>
    <row r="48" spans="2:2">
      <c r="B48" t="s">
        <v>217</v>
      </c>
    </row>
    <row r="49" spans="2:2">
      <c r="B49" t="s">
        <v>237</v>
      </c>
    </row>
    <row r="50" spans="2:2">
      <c r="B50" t="s">
        <v>239</v>
      </c>
    </row>
    <row r="51" spans="2:2">
      <c r="B51" t="s">
        <v>226</v>
      </c>
    </row>
    <row r="52" spans="2:2">
      <c r="B52" t="s">
        <v>222</v>
      </c>
    </row>
    <row r="53" spans="2:2">
      <c r="B53" t="s">
        <v>273</v>
      </c>
    </row>
    <row r="54" spans="2:2">
      <c r="B54" t="s">
        <v>219</v>
      </c>
    </row>
    <row r="55" spans="2:2">
      <c r="B55" t="s">
        <v>220</v>
      </c>
    </row>
    <row r="56" spans="2:2">
      <c r="B56" t="s">
        <v>227</v>
      </c>
    </row>
    <row r="57" spans="2:2">
      <c r="B57" t="s">
        <v>238</v>
      </c>
    </row>
    <row r="58" spans="2:2">
      <c r="B58" t="s">
        <v>206</v>
      </c>
    </row>
    <row r="59" spans="2:2">
      <c r="B59" t="s">
        <v>233</v>
      </c>
    </row>
    <row r="60" spans="2:2">
      <c r="B60" t="s">
        <v>224</v>
      </c>
    </row>
    <row r="61" spans="2:2">
      <c r="B61" t="s">
        <v>215</v>
      </c>
    </row>
    <row r="62" spans="2:2">
      <c r="B62" t="s">
        <v>272</v>
      </c>
    </row>
    <row r="63" spans="2:2">
      <c r="B63" t="s">
        <v>207</v>
      </c>
    </row>
    <row r="64" spans="2:2">
      <c r="B64" t="s">
        <v>235</v>
      </c>
    </row>
    <row r="65" spans="2:2">
      <c r="B65" t="s">
        <v>236</v>
      </c>
    </row>
    <row r="66" spans="2:2">
      <c r="B66" t="s">
        <v>208</v>
      </c>
    </row>
    <row r="67" spans="2:2">
      <c r="B67" t="s">
        <v>225</v>
      </c>
    </row>
    <row r="68" spans="2:2">
      <c r="B68" t="s">
        <v>234</v>
      </c>
    </row>
    <row r="69" spans="2:2">
      <c r="B69" t="s">
        <v>228</v>
      </c>
    </row>
    <row r="70" spans="2:2">
      <c r="B70" t="s">
        <v>241</v>
      </c>
    </row>
    <row r="71" spans="2:2">
      <c r="B71" t="s">
        <v>230</v>
      </c>
    </row>
    <row r="72" spans="2:2">
      <c r="B72" t="s">
        <v>263</v>
      </c>
    </row>
    <row r="73" spans="2:2">
      <c r="B73" t="s">
        <v>229</v>
      </c>
    </row>
    <row r="74" spans="2:2">
      <c r="B74" t="s">
        <v>264</v>
      </c>
    </row>
    <row r="75" spans="2:2">
      <c r="B75" t="s">
        <v>231</v>
      </c>
    </row>
    <row r="76" spans="2:2">
      <c r="B76" t="s">
        <v>240</v>
      </c>
    </row>
    <row r="77" spans="2:2">
      <c r="B77" t="s">
        <v>163</v>
      </c>
    </row>
    <row r="78" spans="2:2">
      <c r="B78" t="s">
        <v>199</v>
      </c>
    </row>
    <row r="79" spans="2:2">
      <c r="B79" t="s">
        <v>107</v>
      </c>
    </row>
    <row r="80" spans="2:2">
      <c r="B80" t="s">
        <v>256</v>
      </c>
    </row>
    <row r="81" spans="2:2">
      <c r="B81" t="s">
        <v>106</v>
      </c>
    </row>
    <row r="82" spans="2:2">
      <c r="B82" t="s">
        <v>257</v>
      </c>
    </row>
    <row r="83" spans="2:2">
      <c r="B83" t="s">
        <v>479</v>
      </c>
    </row>
    <row r="84" spans="2:2">
      <c r="B84" t="s">
        <v>480</v>
      </c>
    </row>
    <row r="85" spans="2:2">
      <c r="B85" t="s">
        <v>481</v>
      </c>
    </row>
    <row r="86" spans="2:2">
      <c r="B86" t="s">
        <v>258</v>
      </c>
    </row>
    <row r="87" spans="2:2">
      <c r="B87" t="s">
        <v>357</v>
      </c>
    </row>
    <row r="88" spans="2:2">
      <c r="B88" t="s">
        <v>23</v>
      </c>
    </row>
    <row r="89" spans="2:2">
      <c r="B89" t="s">
        <v>58</v>
      </c>
    </row>
    <row r="90" spans="2:2">
      <c r="B90" s="2" t="s">
        <v>137</v>
      </c>
    </row>
    <row r="91" spans="2:2">
      <c r="B91" s="2" t="s">
        <v>62</v>
      </c>
    </row>
    <row r="92" spans="2:2">
      <c r="B92" s="2" t="s">
        <v>138</v>
      </c>
    </row>
    <row r="93" spans="2:2">
      <c r="B93" s="2" t="s">
        <v>132</v>
      </c>
    </row>
    <row r="94" spans="2:2">
      <c r="B94" s="2" t="s">
        <v>133</v>
      </c>
    </row>
    <row r="95" spans="2:2">
      <c r="B95" s="2" t="s">
        <v>64</v>
      </c>
    </row>
    <row r="96" spans="2:2">
      <c r="B96" s="2" t="s">
        <v>127</v>
      </c>
    </row>
    <row r="97" spans="2:2">
      <c r="B97" s="2" t="s">
        <v>63</v>
      </c>
    </row>
    <row r="98" spans="2:2">
      <c r="B98" s="2" t="s">
        <v>346</v>
      </c>
    </row>
    <row r="99" spans="2:2">
      <c r="B99" s="2" t="s">
        <v>128</v>
      </c>
    </row>
    <row r="100" spans="2:2">
      <c r="B100" t="s">
        <v>90</v>
      </c>
    </row>
    <row r="101" spans="2:2">
      <c r="B101" t="s">
        <v>89</v>
      </c>
    </row>
    <row r="102" spans="2:2">
      <c r="B102" t="s">
        <v>88</v>
      </c>
    </row>
    <row r="103" spans="2:2">
      <c r="B103" t="s">
        <v>91</v>
      </c>
    </row>
    <row r="104" spans="2:2">
      <c r="B104" t="s">
        <v>92</v>
      </c>
    </row>
    <row r="105" spans="2:2">
      <c r="B105" t="s">
        <v>334</v>
      </c>
    </row>
    <row r="106" spans="2:2">
      <c r="B106" t="s">
        <v>100</v>
      </c>
    </row>
    <row r="107" spans="2:2">
      <c r="B107" t="s">
        <v>105</v>
      </c>
    </row>
    <row r="108" spans="2:2">
      <c r="B108" t="s">
        <v>329</v>
      </c>
    </row>
    <row r="109" spans="2:2">
      <c r="B109" t="s">
        <v>102</v>
      </c>
    </row>
    <row r="110" spans="2:2">
      <c r="B110" t="s">
        <v>103</v>
      </c>
    </row>
    <row r="111" spans="2:2">
      <c r="B111" t="s">
        <v>104</v>
      </c>
    </row>
    <row r="112" spans="2:2">
      <c r="B112" t="s">
        <v>332</v>
      </c>
    </row>
    <row r="113" spans="2:2">
      <c r="B113" t="s">
        <v>177</v>
      </c>
    </row>
    <row r="114" spans="2:2">
      <c r="B114" t="s">
        <v>178</v>
      </c>
    </row>
    <row r="115" spans="2:2">
      <c r="B115" t="s">
        <v>94</v>
      </c>
    </row>
    <row r="116" spans="2:2">
      <c r="B116" t="s">
        <v>93</v>
      </c>
    </row>
    <row r="117" spans="2:2">
      <c r="B117" t="s">
        <v>95</v>
      </c>
    </row>
    <row r="118" spans="2:2">
      <c r="B118" t="s">
        <v>490</v>
      </c>
    </row>
    <row r="119" spans="2:2">
      <c r="B119" t="s">
        <v>331</v>
      </c>
    </row>
    <row r="120" spans="2:2">
      <c r="B120" t="s">
        <v>333</v>
      </c>
    </row>
    <row r="121" spans="2:2">
      <c r="B121" t="s">
        <v>172</v>
      </c>
    </row>
    <row r="122" spans="2:2">
      <c r="B122" t="s">
        <v>171</v>
      </c>
    </row>
    <row r="123" spans="2:2">
      <c r="B123" t="s">
        <v>170</v>
      </c>
    </row>
    <row r="124" spans="2:2">
      <c r="B124" t="s">
        <v>97</v>
      </c>
    </row>
    <row r="125" spans="2:2">
      <c r="B125" t="s">
        <v>96</v>
      </c>
    </row>
    <row r="126" spans="2:2">
      <c r="B126" t="s">
        <v>98</v>
      </c>
    </row>
    <row r="127" spans="2:2">
      <c r="B127" t="s">
        <v>330</v>
      </c>
    </row>
    <row r="128" spans="2:2">
      <c r="B128" t="s">
        <v>274</v>
      </c>
    </row>
    <row r="129" spans="2:2">
      <c r="B129" s="2" t="s">
        <v>360</v>
      </c>
    </row>
    <row r="130" spans="2:2">
      <c r="B130" s="2" t="s">
        <v>359</v>
      </c>
    </row>
    <row r="131" spans="2:2">
      <c r="B131" t="s">
        <v>125</v>
      </c>
    </row>
    <row r="132" spans="2:2">
      <c r="B132" t="s">
        <v>126</v>
      </c>
    </row>
    <row r="133" spans="2:2">
      <c r="B133" s="2" t="s">
        <v>338</v>
      </c>
    </row>
    <row r="134" spans="2:2">
      <c r="B134" s="2" t="s">
        <v>339</v>
      </c>
    </row>
    <row r="135" spans="2:2">
      <c r="B135" t="s">
        <v>162</v>
      </c>
    </row>
    <row r="136" spans="2:2">
      <c r="B136" t="s">
        <v>328</v>
      </c>
    </row>
    <row r="137" spans="2:2">
      <c r="B137" t="s">
        <v>265</v>
      </c>
    </row>
    <row r="138" spans="2:2">
      <c r="B138" t="s">
        <v>266</v>
      </c>
    </row>
    <row r="139" spans="2:2">
      <c r="B139" t="s">
        <v>362</v>
      </c>
    </row>
    <row r="140" spans="2:2">
      <c r="B140" t="s">
        <v>363</v>
      </c>
    </row>
    <row r="141" spans="2:2">
      <c r="B141" t="s">
        <v>185</v>
      </c>
    </row>
    <row r="142" spans="2:2">
      <c r="B142" s="2" t="s">
        <v>361</v>
      </c>
    </row>
    <row r="143" spans="2:2">
      <c r="B143" t="s">
        <v>186</v>
      </c>
    </row>
    <row r="144" spans="2:2">
      <c r="B144" t="s">
        <v>337</v>
      </c>
    </row>
    <row r="145" spans="2:2">
      <c r="B145" t="s">
        <v>187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2578125" defaultRowHeight="15"/>
  <cols>
    <col min="7" max="7" width="13.425781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391</v>
      </c>
    </row>
    <row r="5" spans="1:17">
      <c r="A5" t="s">
        <v>27</v>
      </c>
      <c r="B5" t="s">
        <v>69</v>
      </c>
      <c r="C5" t="s">
        <v>70</v>
      </c>
      <c r="D5" t="s">
        <v>71</v>
      </c>
      <c r="E5" t="s">
        <v>68</v>
      </c>
      <c r="F5" t="s">
        <v>72</v>
      </c>
      <c r="G5" t="s">
        <v>73</v>
      </c>
      <c r="H5" t="s">
        <v>74</v>
      </c>
      <c r="I5" t="s">
        <v>75</v>
      </c>
      <c r="J5" t="s">
        <v>76</v>
      </c>
      <c r="K5" t="s">
        <v>77</v>
      </c>
      <c r="L5" t="s">
        <v>78</v>
      </c>
      <c r="M5" t="s">
        <v>79</v>
      </c>
      <c r="N5" t="s">
        <v>80</v>
      </c>
      <c r="O5" t="s">
        <v>81</v>
      </c>
      <c r="P5" t="s">
        <v>82</v>
      </c>
      <c r="Q5" t="s">
        <v>83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2020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A4" sqref="A4"/>
    </sheetView>
  </sheetViews>
  <sheetFormatPr defaultColWidth="11.42578125" defaultRowHeight="15"/>
  <cols>
    <col min="8" max="8" width="13.42578125" customWidth="1"/>
  </cols>
  <sheetData>
    <row r="1" spans="1:9">
      <c r="A1" t="s">
        <v>386</v>
      </c>
    </row>
    <row r="2" spans="1:9">
      <c r="A2" t="s">
        <v>2</v>
      </c>
    </row>
    <row r="3" spans="1:9">
      <c r="A3" t="s">
        <v>391</v>
      </c>
    </row>
    <row r="5" spans="1:9">
      <c r="A5" t="s">
        <v>28</v>
      </c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69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70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71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68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72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73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74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75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76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77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78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79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80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81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82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83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4" sqref="K14"/>
    </sheetView>
  </sheetViews>
  <sheetFormatPr defaultColWidth="11.42578125" defaultRowHeight="15"/>
  <cols>
    <col min="1" max="1" width="40.42578125" bestFit="1" customWidth="1"/>
    <col min="5" max="5" width="14" bestFit="1" customWidth="1"/>
    <col min="8" max="8" width="14.5703125" bestFit="1" customWidth="1"/>
  </cols>
  <sheetData>
    <row r="1" spans="1:9">
      <c r="A1" t="s">
        <v>415</v>
      </c>
    </row>
    <row r="2" spans="1:9">
      <c r="A2" t="s">
        <v>387</v>
      </c>
    </row>
    <row r="3" spans="1:9">
      <c r="A3" t="s">
        <v>412</v>
      </c>
    </row>
    <row r="5" spans="1:9">
      <c r="A5" t="s">
        <v>26</v>
      </c>
      <c r="B5" t="s">
        <v>24</v>
      </c>
      <c r="C5" t="s">
        <v>312</v>
      </c>
      <c r="D5" t="s">
        <v>347</v>
      </c>
      <c r="E5" t="s">
        <v>348</v>
      </c>
      <c r="F5" t="s">
        <v>349</v>
      </c>
      <c r="G5" t="s">
        <v>350</v>
      </c>
      <c r="H5" t="s">
        <v>351</v>
      </c>
      <c r="I5" t="s">
        <v>465</v>
      </c>
    </row>
    <row r="6" spans="1:9">
      <c r="A6" t="s">
        <v>175</v>
      </c>
      <c r="F6">
        <v>1</v>
      </c>
    </row>
    <row r="7" spans="1:9">
      <c r="A7" t="s">
        <v>176</v>
      </c>
      <c r="F7">
        <v>1</v>
      </c>
    </row>
    <row r="8" spans="1:9">
      <c r="A8" t="s">
        <v>140</v>
      </c>
      <c r="G8">
        <v>1</v>
      </c>
    </row>
    <row r="9" spans="1:9">
      <c r="A9" t="s">
        <v>141</v>
      </c>
      <c r="G9">
        <v>1</v>
      </c>
    </row>
    <row r="10" spans="1:9">
      <c r="A10" t="s">
        <v>152</v>
      </c>
      <c r="G10">
        <v>1</v>
      </c>
    </row>
    <row r="11" spans="1:9">
      <c r="A11" t="s">
        <v>252</v>
      </c>
      <c r="G11">
        <v>1</v>
      </c>
    </row>
    <row r="12" spans="1:9">
      <c r="A12" t="s">
        <v>250</v>
      </c>
      <c r="G12">
        <v>1</v>
      </c>
    </row>
    <row r="13" spans="1:9">
      <c r="A13" t="s">
        <v>139</v>
      </c>
      <c r="G13">
        <v>1</v>
      </c>
    </row>
    <row r="14" spans="1:9">
      <c r="A14" t="s">
        <v>196</v>
      </c>
      <c r="G14">
        <v>1</v>
      </c>
    </row>
    <row r="15" spans="1:9">
      <c r="A15" s="2" t="s">
        <v>134</v>
      </c>
      <c r="E15">
        <v>1</v>
      </c>
    </row>
    <row r="16" spans="1:9">
      <c r="A16" s="2" t="s">
        <v>135</v>
      </c>
      <c r="E16">
        <v>1</v>
      </c>
    </row>
    <row r="17" spans="1:5">
      <c r="A17" s="2" t="s">
        <v>129</v>
      </c>
      <c r="E17">
        <v>1</v>
      </c>
    </row>
    <row r="18" spans="1:5">
      <c r="A18" s="2" t="s">
        <v>61</v>
      </c>
      <c r="E18">
        <v>1</v>
      </c>
    </row>
    <row r="19" spans="1:5">
      <c r="A19" s="2" t="s">
        <v>130</v>
      </c>
      <c r="E19">
        <v>1</v>
      </c>
    </row>
    <row r="20" spans="1:5">
      <c r="A20" s="2" t="s">
        <v>131</v>
      </c>
      <c r="E20">
        <v>1</v>
      </c>
    </row>
    <row r="21" spans="1:5">
      <c r="A21" s="2" t="s">
        <v>181</v>
      </c>
      <c r="E21">
        <v>1</v>
      </c>
    </row>
    <row r="22" spans="1:5">
      <c r="A22" s="2" t="s">
        <v>60</v>
      </c>
      <c r="E22">
        <v>1</v>
      </c>
    </row>
    <row r="23" spans="1:5">
      <c r="A23" s="2" t="s">
        <v>59</v>
      </c>
      <c r="E23">
        <v>1</v>
      </c>
    </row>
    <row r="24" spans="1:5">
      <c r="A24" t="s">
        <v>163</v>
      </c>
      <c r="B24">
        <v>1</v>
      </c>
    </row>
    <row r="25" spans="1:5">
      <c r="A25" t="s">
        <v>107</v>
      </c>
      <c r="B25">
        <v>1</v>
      </c>
    </row>
    <row r="26" spans="1:5">
      <c r="A26" t="s">
        <v>106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58</v>
      </c>
      <c r="B29">
        <v>1</v>
      </c>
    </row>
    <row r="30" spans="1:5">
      <c r="A30" s="2" t="s">
        <v>137</v>
      </c>
      <c r="E30">
        <v>1</v>
      </c>
    </row>
    <row r="31" spans="1:5">
      <c r="A31" s="2" t="s">
        <v>62</v>
      </c>
      <c r="E31">
        <v>1</v>
      </c>
    </row>
    <row r="32" spans="1:5">
      <c r="A32" s="2" t="s">
        <v>138</v>
      </c>
      <c r="E32">
        <v>1</v>
      </c>
    </row>
    <row r="33" spans="1:6">
      <c r="A33" s="2" t="s">
        <v>132</v>
      </c>
      <c r="E33">
        <v>1</v>
      </c>
    </row>
    <row r="34" spans="1:6">
      <c r="A34" s="2" t="s">
        <v>133</v>
      </c>
      <c r="E34">
        <v>1</v>
      </c>
    </row>
    <row r="35" spans="1:6">
      <c r="A35" s="2" t="s">
        <v>64</v>
      </c>
      <c r="E35">
        <v>1</v>
      </c>
    </row>
    <row r="36" spans="1:6">
      <c r="A36" s="2" t="s">
        <v>127</v>
      </c>
      <c r="E36">
        <v>1</v>
      </c>
    </row>
    <row r="37" spans="1:6">
      <c r="A37" s="2" t="s">
        <v>63</v>
      </c>
      <c r="E37">
        <v>1</v>
      </c>
    </row>
    <row r="38" spans="1:6">
      <c r="A38" s="2" t="s">
        <v>128</v>
      </c>
      <c r="E38">
        <v>1</v>
      </c>
    </row>
    <row r="39" spans="1:6">
      <c r="A39" t="s">
        <v>90</v>
      </c>
      <c r="F39">
        <v>1</v>
      </c>
    </row>
    <row r="40" spans="1:6">
      <c r="A40" t="s">
        <v>89</v>
      </c>
      <c r="F40">
        <v>1</v>
      </c>
    </row>
    <row r="41" spans="1:6">
      <c r="A41" t="s">
        <v>88</v>
      </c>
      <c r="F41">
        <v>1</v>
      </c>
    </row>
    <row r="42" spans="1:6">
      <c r="A42" t="s">
        <v>91</v>
      </c>
      <c r="F42">
        <v>1</v>
      </c>
    </row>
    <row r="43" spans="1:6">
      <c r="A43" t="s">
        <v>92</v>
      </c>
      <c r="F43">
        <v>1</v>
      </c>
    </row>
    <row r="44" spans="1:6">
      <c r="A44" t="s">
        <v>100</v>
      </c>
      <c r="B44">
        <v>1</v>
      </c>
    </row>
    <row r="45" spans="1:6">
      <c r="A45" t="s">
        <v>105</v>
      </c>
      <c r="B45">
        <v>1</v>
      </c>
    </row>
    <row r="46" spans="1:6">
      <c r="A46" t="s">
        <v>102</v>
      </c>
      <c r="B46">
        <v>1</v>
      </c>
    </row>
    <row r="47" spans="1:6">
      <c r="A47" t="s">
        <v>103</v>
      </c>
      <c r="B47">
        <v>1</v>
      </c>
    </row>
    <row r="48" spans="1:6">
      <c r="A48" t="s">
        <v>104</v>
      </c>
      <c r="B48">
        <v>1</v>
      </c>
    </row>
    <row r="49" spans="1:8">
      <c r="A49" t="s">
        <v>177</v>
      </c>
      <c r="B49">
        <v>1</v>
      </c>
    </row>
    <row r="50" spans="1:8">
      <c r="A50" t="s">
        <v>178</v>
      </c>
      <c r="B50">
        <v>1</v>
      </c>
    </row>
    <row r="51" spans="1:8">
      <c r="A51" t="s">
        <v>94</v>
      </c>
      <c r="B51">
        <v>1</v>
      </c>
    </row>
    <row r="52" spans="1:8">
      <c r="A52" t="s">
        <v>93</v>
      </c>
      <c r="B52">
        <v>1</v>
      </c>
    </row>
    <row r="53" spans="1:8">
      <c r="A53" t="s">
        <v>95</v>
      </c>
      <c r="B53">
        <v>1</v>
      </c>
    </row>
    <row r="54" spans="1:8">
      <c r="A54" t="s">
        <v>170</v>
      </c>
      <c r="B54">
        <v>1</v>
      </c>
    </row>
    <row r="55" spans="1:8">
      <c r="A55" t="s">
        <v>171</v>
      </c>
      <c r="B55">
        <v>1</v>
      </c>
    </row>
    <row r="56" spans="1:8">
      <c r="A56" t="s">
        <v>172</v>
      </c>
      <c r="B56">
        <v>1</v>
      </c>
    </row>
    <row r="57" spans="1:8">
      <c r="A57" t="s">
        <v>97</v>
      </c>
      <c r="B57">
        <v>1</v>
      </c>
    </row>
    <row r="58" spans="1:8">
      <c r="A58" t="s">
        <v>96</v>
      </c>
      <c r="B58">
        <v>1</v>
      </c>
    </row>
    <row r="59" spans="1:8">
      <c r="A59" t="s">
        <v>98</v>
      </c>
      <c r="B59">
        <v>1</v>
      </c>
    </row>
    <row r="60" spans="1:8">
      <c r="A60" t="s">
        <v>125</v>
      </c>
      <c r="H60">
        <v>1</v>
      </c>
    </row>
    <row r="61" spans="1:8">
      <c r="A61" t="s">
        <v>126</v>
      </c>
      <c r="H61">
        <v>1</v>
      </c>
    </row>
    <row r="62" spans="1:8">
      <c r="A62" t="s">
        <v>162</v>
      </c>
      <c r="H62">
        <v>1</v>
      </c>
    </row>
    <row r="63" spans="1:8">
      <c r="A63" t="s">
        <v>186</v>
      </c>
      <c r="F63">
        <v>1</v>
      </c>
    </row>
    <row r="64" spans="1:8">
      <c r="A64" t="s">
        <v>185</v>
      </c>
      <c r="F64">
        <v>1</v>
      </c>
    </row>
    <row r="65" spans="1:7">
      <c r="A65" t="s">
        <v>187</v>
      </c>
      <c r="F65">
        <v>1</v>
      </c>
    </row>
    <row r="66" spans="1:7">
      <c r="A66" t="s">
        <v>199</v>
      </c>
      <c r="B66">
        <v>1</v>
      </c>
    </row>
    <row r="67" spans="1:7">
      <c r="A67" t="s">
        <v>200</v>
      </c>
      <c r="F67">
        <v>1</v>
      </c>
    </row>
    <row r="68" spans="1:7">
      <c r="A68" t="s">
        <v>153</v>
      </c>
      <c r="G68">
        <v>1</v>
      </c>
    </row>
    <row r="69" spans="1:7">
      <c r="A69" t="s">
        <v>224</v>
      </c>
      <c r="D69">
        <v>1</v>
      </c>
    </row>
    <row r="70" spans="1:7">
      <c r="A70" t="s">
        <v>211</v>
      </c>
      <c r="B70">
        <v>1</v>
      </c>
      <c r="D70">
        <v>0</v>
      </c>
    </row>
    <row r="71" spans="1:7">
      <c r="A71" t="s">
        <v>206</v>
      </c>
      <c r="D71">
        <v>1</v>
      </c>
    </row>
    <row r="72" spans="1:7">
      <c r="A72" t="s">
        <v>210</v>
      </c>
      <c r="D72">
        <v>1</v>
      </c>
    </row>
    <row r="73" spans="1:7">
      <c r="A73" t="s">
        <v>207</v>
      </c>
      <c r="D73">
        <v>1</v>
      </c>
    </row>
    <row r="74" spans="1:7">
      <c r="A74" t="s">
        <v>208</v>
      </c>
      <c r="D74">
        <v>1</v>
      </c>
    </row>
    <row r="75" spans="1:7">
      <c r="A75" t="s">
        <v>209</v>
      </c>
      <c r="B75">
        <v>1</v>
      </c>
      <c r="D75">
        <v>0</v>
      </c>
    </row>
    <row r="76" spans="1:7">
      <c r="A76" t="s">
        <v>232</v>
      </c>
      <c r="B76">
        <v>1</v>
      </c>
      <c r="D76">
        <v>0</v>
      </c>
    </row>
    <row r="77" spans="1:7">
      <c r="A77" t="s">
        <v>233</v>
      </c>
      <c r="D77">
        <v>1</v>
      </c>
    </row>
    <row r="78" spans="1:7">
      <c r="A78" t="s">
        <v>234</v>
      </c>
      <c r="D78">
        <v>1</v>
      </c>
    </row>
    <row r="79" spans="1:7">
      <c r="A79" t="s">
        <v>235</v>
      </c>
      <c r="D79">
        <v>1</v>
      </c>
    </row>
    <row r="80" spans="1:7">
      <c r="A80" t="s">
        <v>236</v>
      </c>
      <c r="D80">
        <v>1</v>
      </c>
    </row>
    <row r="81" spans="1:4">
      <c r="A81" t="s">
        <v>215</v>
      </c>
      <c r="D81">
        <v>1</v>
      </c>
    </row>
    <row r="82" spans="1:4">
      <c r="A82" t="s">
        <v>225</v>
      </c>
      <c r="D82">
        <v>1</v>
      </c>
    </row>
    <row r="83" spans="1:4">
      <c r="A83" t="s">
        <v>226</v>
      </c>
      <c r="C83">
        <v>1</v>
      </c>
    </row>
    <row r="84" spans="1:4">
      <c r="A84" t="s">
        <v>216</v>
      </c>
      <c r="B84">
        <v>1</v>
      </c>
      <c r="C84">
        <v>0</v>
      </c>
    </row>
    <row r="85" spans="1:4">
      <c r="A85" t="s">
        <v>217</v>
      </c>
      <c r="C85">
        <v>1</v>
      </c>
    </row>
    <row r="86" spans="1:4">
      <c r="A86" t="s">
        <v>218</v>
      </c>
      <c r="B86">
        <v>1</v>
      </c>
      <c r="C86">
        <v>0</v>
      </c>
    </row>
    <row r="87" spans="1:4">
      <c r="A87" t="s">
        <v>219</v>
      </c>
      <c r="C87">
        <v>1</v>
      </c>
    </row>
    <row r="88" spans="1:4">
      <c r="A88" t="s">
        <v>220</v>
      </c>
      <c r="C88">
        <v>1</v>
      </c>
    </row>
    <row r="89" spans="1:4">
      <c r="A89" t="s">
        <v>221</v>
      </c>
      <c r="B89">
        <v>1</v>
      </c>
      <c r="C89">
        <v>0</v>
      </c>
    </row>
    <row r="90" spans="1:4">
      <c r="A90" t="s">
        <v>249</v>
      </c>
      <c r="B90">
        <v>1</v>
      </c>
      <c r="C90">
        <v>0</v>
      </c>
    </row>
    <row r="91" spans="1:4">
      <c r="A91" t="s">
        <v>237</v>
      </c>
      <c r="C91">
        <v>1</v>
      </c>
    </row>
    <row r="92" spans="1:4">
      <c r="A92" t="s">
        <v>238</v>
      </c>
      <c r="C92">
        <v>1</v>
      </c>
    </row>
    <row r="93" spans="1:4">
      <c r="A93" t="s">
        <v>239</v>
      </c>
      <c r="C93">
        <v>1</v>
      </c>
    </row>
    <row r="94" spans="1:4">
      <c r="A94" t="s">
        <v>222</v>
      </c>
      <c r="C94">
        <v>1</v>
      </c>
    </row>
    <row r="95" spans="1:4">
      <c r="A95" t="s">
        <v>227</v>
      </c>
      <c r="C95">
        <v>1</v>
      </c>
    </row>
    <row r="96" spans="1:4">
      <c r="A96" t="s">
        <v>223</v>
      </c>
      <c r="B96">
        <v>1</v>
      </c>
      <c r="C96">
        <v>0</v>
      </c>
    </row>
    <row r="97" spans="1:3">
      <c r="A97" t="s">
        <v>230</v>
      </c>
      <c r="C97">
        <v>1</v>
      </c>
    </row>
    <row r="98" spans="1:3">
      <c r="A98" t="s">
        <v>228</v>
      </c>
      <c r="C98">
        <v>1</v>
      </c>
    </row>
    <row r="99" spans="1:3">
      <c r="A99" t="s">
        <v>229</v>
      </c>
      <c r="C99">
        <v>1</v>
      </c>
    </row>
    <row r="100" spans="1:3">
      <c r="A100" t="s">
        <v>240</v>
      </c>
      <c r="C100">
        <v>1</v>
      </c>
    </row>
    <row r="101" spans="1:3">
      <c r="A101" t="s">
        <v>231</v>
      </c>
      <c r="C101">
        <v>1</v>
      </c>
    </row>
    <row r="102" spans="1:3">
      <c r="A102" t="s">
        <v>243</v>
      </c>
      <c r="C102">
        <v>1</v>
      </c>
    </row>
    <row r="103" spans="1:3">
      <c r="A103" t="s">
        <v>244</v>
      </c>
      <c r="C103">
        <v>1</v>
      </c>
    </row>
    <row r="104" spans="1:3">
      <c r="A104" t="s">
        <v>245</v>
      </c>
      <c r="C104">
        <v>1</v>
      </c>
    </row>
    <row r="105" spans="1:3">
      <c r="A105" t="s">
        <v>246</v>
      </c>
      <c r="C105">
        <v>1</v>
      </c>
    </row>
    <row r="106" spans="1:3">
      <c r="A106" t="s">
        <v>247</v>
      </c>
      <c r="C106">
        <v>1</v>
      </c>
    </row>
    <row r="107" spans="1:3">
      <c r="A107" t="s">
        <v>248</v>
      </c>
      <c r="C107">
        <v>1</v>
      </c>
    </row>
    <row r="108" spans="1:3">
      <c r="A108" t="s">
        <v>254</v>
      </c>
      <c r="C108">
        <v>1</v>
      </c>
    </row>
    <row r="109" spans="1:3">
      <c r="A109" t="s">
        <v>255</v>
      </c>
      <c r="C109">
        <v>1</v>
      </c>
    </row>
    <row r="110" spans="1:3">
      <c r="A110" t="s">
        <v>267</v>
      </c>
      <c r="B110">
        <v>1</v>
      </c>
      <c r="C110">
        <v>0</v>
      </c>
    </row>
    <row r="111" spans="1:3">
      <c r="A111" t="s">
        <v>261</v>
      </c>
      <c r="B111">
        <v>1</v>
      </c>
      <c r="C111">
        <v>0</v>
      </c>
    </row>
    <row r="112" spans="1:3">
      <c r="A112" t="s">
        <v>262</v>
      </c>
      <c r="B112">
        <v>1</v>
      </c>
      <c r="C112">
        <v>0</v>
      </c>
    </row>
    <row r="113" spans="1:8">
      <c r="A113" t="s">
        <v>268</v>
      </c>
      <c r="B113">
        <v>1</v>
      </c>
      <c r="D113">
        <v>0</v>
      </c>
    </row>
    <row r="114" spans="1:8">
      <c r="A114" t="s">
        <v>259</v>
      </c>
      <c r="B114">
        <v>1</v>
      </c>
      <c r="D114">
        <v>0</v>
      </c>
    </row>
    <row r="115" spans="1:8">
      <c r="A115" t="s">
        <v>260</v>
      </c>
      <c r="B115">
        <v>1</v>
      </c>
      <c r="D115">
        <v>0</v>
      </c>
    </row>
    <row r="116" spans="1:8">
      <c r="A116" t="s">
        <v>263</v>
      </c>
      <c r="C116">
        <v>1</v>
      </c>
    </row>
    <row r="117" spans="1:8">
      <c r="A117" t="s">
        <v>264</v>
      </c>
      <c r="C117">
        <v>1</v>
      </c>
    </row>
    <row r="118" spans="1:8">
      <c r="A118" t="s">
        <v>256</v>
      </c>
      <c r="B118">
        <v>1</v>
      </c>
    </row>
    <row r="119" spans="1:8">
      <c r="A119" t="s">
        <v>257</v>
      </c>
      <c r="B119">
        <v>1</v>
      </c>
    </row>
    <row r="120" spans="1:8">
      <c r="A120" t="s">
        <v>258</v>
      </c>
      <c r="B120">
        <v>1</v>
      </c>
    </row>
    <row r="121" spans="1:8">
      <c r="A121" t="s">
        <v>265</v>
      </c>
      <c r="H121">
        <v>1</v>
      </c>
    </row>
    <row r="122" spans="1:8">
      <c r="A122" t="s">
        <v>266</v>
      </c>
      <c r="H122">
        <v>1</v>
      </c>
    </row>
    <row r="123" spans="1:8">
      <c r="A123" t="s">
        <v>269</v>
      </c>
      <c r="H123">
        <v>1</v>
      </c>
    </row>
    <row r="124" spans="1:8">
      <c r="A124" t="s">
        <v>272</v>
      </c>
      <c r="D124">
        <v>1</v>
      </c>
    </row>
    <row r="125" spans="1:8">
      <c r="A125" t="s">
        <v>273</v>
      </c>
      <c r="C125">
        <v>1</v>
      </c>
    </row>
    <row r="126" spans="1:8">
      <c r="A126" t="s">
        <v>274</v>
      </c>
      <c r="H126">
        <v>1</v>
      </c>
    </row>
    <row r="127" spans="1:8">
      <c r="A127" t="s">
        <v>328</v>
      </c>
      <c r="H127">
        <v>1</v>
      </c>
    </row>
    <row r="128" spans="1:8">
      <c r="A128" t="s">
        <v>329</v>
      </c>
      <c r="F128">
        <v>1</v>
      </c>
    </row>
    <row r="129" spans="1:8">
      <c r="A129" t="s">
        <v>330</v>
      </c>
      <c r="F129">
        <v>1</v>
      </c>
    </row>
    <row r="130" spans="1:8">
      <c r="A130" t="s">
        <v>331</v>
      </c>
      <c r="F130">
        <v>1</v>
      </c>
    </row>
    <row r="131" spans="1:8">
      <c r="A131" t="s">
        <v>332</v>
      </c>
      <c r="F131">
        <v>1</v>
      </c>
    </row>
    <row r="132" spans="1:8">
      <c r="A132" t="s">
        <v>333</v>
      </c>
      <c r="F132">
        <v>1</v>
      </c>
    </row>
    <row r="133" spans="1:8">
      <c r="A133" t="s">
        <v>334</v>
      </c>
      <c r="F133">
        <v>1</v>
      </c>
    </row>
    <row r="134" spans="1:8">
      <c r="A134" s="2" t="s">
        <v>338</v>
      </c>
      <c r="H134">
        <v>1</v>
      </c>
    </row>
    <row r="135" spans="1:8">
      <c r="A135" s="2" t="s">
        <v>339</v>
      </c>
      <c r="H135">
        <v>1</v>
      </c>
    </row>
    <row r="136" spans="1:8">
      <c r="A136" t="s">
        <v>337</v>
      </c>
      <c r="F136">
        <v>1</v>
      </c>
    </row>
    <row r="137" spans="1:8">
      <c r="A137" s="2" t="s">
        <v>344</v>
      </c>
      <c r="E137">
        <v>1</v>
      </c>
    </row>
    <row r="138" spans="1:8">
      <c r="A138" s="2" t="s">
        <v>345</v>
      </c>
      <c r="E138">
        <v>1</v>
      </c>
    </row>
    <row r="139" spans="1:8">
      <c r="A139" s="2" t="s">
        <v>346</v>
      </c>
      <c r="E139">
        <v>1</v>
      </c>
    </row>
    <row r="140" spans="1:8">
      <c r="A140" t="s">
        <v>357</v>
      </c>
      <c r="B140">
        <v>1</v>
      </c>
    </row>
    <row r="141" spans="1:8">
      <c r="A141" t="s">
        <v>270</v>
      </c>
      <c r="F141">
        <v>1</v>
      </c>
    </row>
    <row r="142" spans="1:8">
      <c r="A142" t="s">
        <v>359</v>
      </c>
      <c r="H142">
        <v>1</v>
      </c>
    </row>
    <row r="143" spans="1:8">
      <c r="A143" t="s">
        <v>360</v>
      </c>
      <c r="H143">
        <v>1</v>
      </c>
    </row>
    <row r="144" spans="1:8">
      <c r="A144" t="s">
        <v>361</v>
      </c>
      <c r="F144">
        <v>1</v>
      </c>
    </row>
    <row r="145" spans="1:9">
      <c r="A145" t="s">
        <v>362</v>
      </c>
      <c r="F145">
        <v>1</v>
      </c>
    </row>
    <row r="146" spans="1:9">
      <c r="A146" t="s">
        <v>363</v>
      </c>
      <c r="F146">
        <v>1</v>
      </c>
    </row>
    <row r="147" spans="1:9">
      <c r="A147" t="s">
        <v>466</v>
      </c>
      <c r="I147">
        <v>1</v>
      </c>
    </row>
    <row r="148" spans="1:9">
      <c r="A148" t="s">
        <v>108</v>
      </c>
      <c r="I148">
        <v>1</v>
      </c>
    </row>
    <row r="149" spans="1:9">
      <c r="A149" t="s">
        <v>109</v>
      </c>
      <c r="I149">
        <v>1</v>
      </c>
    </row>
    <row r="150" spans="1:9">
      <c r="A150" t="s">
        <v>472</v>
      </c>
      <c r="I150">
        <v>1</v>
      </c>
    </row>
    <row r="151" spans="1:9">
      <c r="A151" t="s">
        <v>470</v>
      </c>
      <c r="I151">
        <v>1</v>
      </c>
    </row>
    <row r="152" spans="1:9">
      <c r="A152" t="s">
        <v>474</v>
      </c>
      <c r="I152">
        <v>1</v>
      </c>
    </row>
    <row r="153" spans="1:9">
      <c r="A153" t="s">
        <v>467</v>
      </c>
      <c r="I153">
        <v>1</v>
      </c>
    </row>
    <row r="154" spans="1:9">
      <c r="A154" t="s">
        <v>468</v>
      </c>
      <c r="I154">
        <v>1</v>
      </c>
    </row>
    <row r="155" spans="1:9">
      <c r="A155" t="s">
        <v>469</v>
      </c>
      <c r="I155">
        <v>1</v>
      </c>
    </row>
    <row r="156" spans="1:9">
      <c r="A156" t="s">
        <v>473</v>
      </c>
      <c r="I156">
        <v>1</v>
      </c>
    </row>
    <row r="157" spans="1:9">
      <c r="A157" t="s">
        <v>471</v>
      </c>
      <c r="I157">
        <v>1</v>
      </c>
    </row>
    <row r="158" spans="1:9">
      <c r="A158" t="s">
        <v>475</v>
      </c>
      <c r="I158">
        <v>1</v>
      </c>
    </row>
    <row r="159" spans="1:9">
      <c r="A159" t="s">
        <v>477</v>
      </c>
      <c r="C159">
        <v>1</v>
      </c>
    </row>
    <row r="160" spans="1:9">
      <c r="A160" t="s">
        <v>478</v>
      </c>
      <c r="D160">
        <v>1</v>
      </c>
    </row>
    <row r="161" spans="1:9">
      <c r="A161" t="s">
        <v>476</v>
      </c>
      <c r="I161">
        <v>1</v>
      </c>
    </row>
    <row r="162" spans="1:9">
      <c r="A162" t="s">
        <v>505</v>
      </c>
      <c r="B162">
        <v>1</v>
      </c>
    </row>
    <row r="163" spans="1:9">
      <c r="A163" t="s">
        <v>479</v>
      </c>
      <c r="B163">
        <v>1</v>
      </c>
    </row>
    <row r="164" spans="1:9">
      <c r="A164" t="s">
        <v>481</v>
      </c>
      <c r="B164">
        <v>1</v>
      </c>
    </row>
    <row r="165" spans="1:9">
      <c r="A165" t="s">
        <v>480</v>
      </c>
      <c r="B165">
        <v>1</v>
      </c>
    </row>
    <row r="166" spans="1:9">
      <c r="A166" t="s">
        <v>241</v>
      </c>
      <c r="C166">
        <v>1</v>
      </c>
    </row>
  </sheetData>
  <dataValidations disablePrompts="1"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workbookViewId="0">
      <selection activeCell="D6" sqref="D6"/>
    </sheetView>
  </sheetViews>
  <sheetFormatPr defaultColWidth="11.42578125" defaultRowHeight="15"/>
  <cols>
    <col min="1" max="1" width="17" customWidth="1"/>
    <col min="2" max="2" width="16.42578125" bestFit="1" customWidth="1"/>
    <col min="3" max="3" width="14.42578125" bestFit="1" customWidth="1"/>
    <col min="4" max="4" width="7.570312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2578125" bestFit="1" customWidth="1"/>
    <col min="10" max="10" width="8.42578125" bestFit="1" customWidth="1"/>
    <col min="11" max="11" width="6.42578125" bestFit="1" customWidth="1"/>
    <col min="12" max="12" width="6" bestFit="1" customWidth="1"/>
    <col min="13" max="13" width="13.42578125" bestFit="1" customWidth="1"/>
    <col min="14" max="14" width="11.42578125" bestFit="1" customWidth="1"/>
    <col min="15" max="15" width="16.42578125" bestFit="1" customWidth="1"/>
    <col min="16" max="16" width="14.42578125" bestFit="1" customWidth="1"/>
    <col min="17" max="17" width="18" bestFit="1" customWidth="1"/>
    <col min="18" max="18" width="7.85546875" bestFit="1" customWidth="1"/>
    <col min="19" max="19" width="14.42578125" bestFit="1" customWidth="1"/>
    <col min="20" max="20" width="11" bestFit="1" customWidth="1"/>
    <col min="21" max="21" width="16" bestFit="1" customWidth="1"/>
    <col min="22" max="22" width="14.140625" bestFit="1" customWidth="1"/>
    <col min="23" max="23" width="17.42578125" bestFit="1" customWidth="1"/>
    <col min="24" max="24" width="7.42578125" bestFit="1" customWidth="1"/>
    <col min="25" max="25" width="14" bestFit="1" customWidth="1"/>
    <col min="26" max="26" width="12.85546875" bestFit="1" customWidth="1"/>
    <col min="27" max="28" width="11" bestFit="1" customWidth="1"/>
    <col min="29" max="29" width="14" bestFit="1" customWidth="1"/>
    <col min="30" max="30" width="12.42578125" bestFit="1" customWidth="1"/>
    <col min="31" max="31" width="5.5703125" bestFit="1" customWidth="1"/>
    <col min="32" max="32" width="8.5703125" bestFit="1" customWidth="1"/>
    <col min="33" max="33" width="5.5703125" bestFit="1" customWidth="1"/>
    <col min="34" max="34" width="7.42578125" bestFit="1" customWidth="1"/>
    <col min="35" max="35" width="14.42578125" bestFit="1" customWidth="1"/>
    <col min="36" max="36" width="13.85546875" bestFit="1" customWidth="1"/>
    <col min="37" max="38" width="14.42578125" bestFit="1" customWidth="1"/>
    <col min="39" max="39" width="9.42578125" bestFit="1" customWidth="1"/>
    <col min="40" max="40" width="13.85546875" bestFit="1" customWidth="1"/>
    <col min="41" max="41" width="16.42578125" bestFit="1" customWidth="1"/>
    <col min="42" max="42" width="15.42578125" bestFit="1" customWidth="1"/>
    <col min="43" max="43" width="16.42578125" bestFit="1" customWidth="1"/>
    <col min="44" max="44" width="20.42578125" bestFit="1" customWidth="1"/>
    <col min="45" max="45" width="19.42578125" bestFit="1" customWidth="1"/>
    <col min="46" max="46" width="20.42578125" bestFit="1" customWidth="1"/>
    <col min="47" max="47" width="20.140625" bestFit="1" customWidth="1"/>
    <col min="48" max="48" width="19.42578125" bestFit="1" customWidth="1"/>
    <col min="49" max="49" width="20.140625" bestFit="1" customWidth="1"/>
    <col min="50" max="50" width="11.42578125" bestFit="1" customWidth="1"/>
    <col min="51" max="51" width="9.5703125" bestFit="1" customWidth="1"/>
    <col min="52" max="52" width="14.140625" bestFit="1" customWidth="1"/>
    <col min="56" max="56" width="12.42578125" bestFit="1" customWidth="1"/>
    <col min="57" max="57" width="14.140625" bestFit="1" customWidth="1"/>
    <col min="58" max="58" width="12.42578125" bestFit="1" customWidth="1"/>
    <col min="59" max="59" width="11.5703125" bestFit="1" customWidth="1"/>
    <col min="60" max="60" width="11.85546875" bestFit="1" customWidth="1"/>
    <col min="61" max="61" width="13.5703125" bestFit="1" customWidth="1"/>
    <col min="62" max="62" width="12" bestFit="1" customWidth="1"/>
    <col min="63" max="63" width="11.42578125" bestFit="1" customWidth="1"/>
    <col min="64" max="64" width="12.5703125" bestFit="1" customWidth="1"/>
    <col min="65" max="65" width="11.5703125" bestFit="1" customWidth="1"/>
    <col min="66" max="66" width="13" bestFit="1" customWidth="1"/>
    <col min="67" max="67" width="11.42578125" bestFit="1" customWidth="1"/>
    <col min="68" max="68" width="13.5703125" bestFit="1" customWidth="1"/>
    <col min="69" max="69" width="15.42578125" bestFit="1" customWidth="1"/>
    <col min="70" max="70" width="14" bestFit="1" customWidth="1"/>
    <col min="71" max="71" width="13.140625" bestFit="1" customWidth="1"/>
    <col min="72" max="72" width="13.42578125" bestFit="1" customWidth="1"/>
    <col min="73" max="73" width="15.140625" bestFit="1" customWidth="1"/>
  </cols>
  <sheetData>
    <row r="1" spans="1:167">
      <c r="A1" t="s">
        <v>388</v>
      </c>
    </row>
    <row r="2" spans="1:167">
      <c r="A2" t="s">
        <v>389</v>
      </c>
    </row>
    <row r="3" spans="1:167">
      <c r="A3" t="s">
        <v>392</v>
      </c>
    </row>
    <row r="5" spans="1:167" ht="75">
      <c r="A5" t="s">
        <v>20</v>
      </c>
      <c r="B5" t="s">
        <v>175</v>
      </c>
      <c r="C5" t="s">
        <v>176</v>
      </c>
      <c r="D5" t="s">
        <v>140</v>
      </c>
      <c r="E5" t="s">
        <v>141</v>
      </c>
      <c r="F5" t="s">
        <v>152</v>
      </c>
      <c r="G5" t="s">
        <v>153</v>
      </c>
      <c r="H5" t="s">
        <v>252</v>
      </c>
      <c r="I5" t="s">
        <v>250</v>
      </c>
      <c r="J5" t="s">
        <v>139</v>
      </c>
      <c r="K5" t="s">
        <v>142</v>
      </c>
      <c r="L5" s="2" t="s">
        <v>134</v>
      </c>
      <c r="M5" s="2" t="s">
        <v>135</v>
      </c>
      <c r="N5" s="2" t="s">
        <v>129</v>
      </c>
      <c r="O5" s="2" t="s">
        <v>61</v>
      </c>
      <c r="P5" s="2" t="s">
        <v>130</v>
      </c>
      <c r="Q5" s="2" t="s">
        <v>131</v>
      </c>
      <c r="R5" s="2" t="s">
        <v>181</v>
      </c>
      <c r="S5" s="2" t="s">
        <v>60</v>
      </c>
      <c r="T5" s="2" t="s">
        <v>59</v>
      </c>
      <c r="U5" t="s">
        <v>163</v>
      </c>
      <c r="V5" t="s">
        <v>107</v>
      </c>
      <c r="W5" t="s">
        <v>106</v>
      </c>
      <c r="X5" t="s">
        <v>22</v>
      </c>
      <c r="Y5" t="s">
        <v>23</v>
      </c>
      <c r="Z5" t="s">
        <v>58</v>
      </c>
      <c r="AA5" s="2" t="s">
        <v>137</v>
      </c>
      <c r="AB5" s="2" t="s">
        <v>62</v>
      </c>
      <c r="AC5" s="2" t="s">
        <v>138</v>
      </c>
      <c r="AD5" s="2" t="s">
        <v>132</v>
      </c>
      <c r="AE5" s="2" t="s">
        <v>133</v>
      </c>
      <c r="AF5" s="2" t="s">
        <v>64</v>
      </c>
      <c r="AG5" s="2" t="s">
        <v>127</v>
      </c>
      <c r="AH5" s="2" t="s">
        <v>63</v>
      </c>
      <c r="AI5" s="2" t="s">
        <v>128</v>
      </c>
      <c r="AJ5" t="s">
        <v>90</v>
      </c>
      <c r="AK5" t="s">
        <v>89</v>
      </c>
      <c r="AL5" t="s">
        <v>88</v>
      </c>
      <c r="AM5" t="s">
        <v>91</v>
      </c>
      <c r="AN5" t="s">
        <v>92</v>
      </c>
      <c r="AO5" t="s">
        <v>158</v>
      </c>
      <c r="AP5" t="s">
        <v>100</v>
      </c>
      <c r="AQ5" t="s">
        <v>105</v>
      </c>
      <c r="AR5" t="s">
        <v>102</v>
      </c>
      <c r="AS5" t="s">
        <v>103</v>
      </c>
      <c r="AT5" t="s">
        <v>104</v>
      </c>
      <c r="AU5" t="s">
        <v>177</v>
      </c>
      <c r="AV5" t="s">
        <v>178</v>
      </c>
      <c r="AW5" t="s">
        <v>94</v>
      </c>
      <c r="AX5" t="s">
        <v>93</v>
      </c>
      <c r="AY5" t="s">
        <v>95</v>
      </c>
      <c r="AZ5" t="s">
        <v>170</v>
      </c>
      <c r="BA5" t="s">
        <v>171</v>
      </c>
      <c r="BB5" t="s">
        <v>172</v>
      </c>
      <c r="BC5" t="s">
        <v>97</v>
      </c>
      <c r="BD5" t="s">
        <v>96</v>
      </c>
      <c r="BE5" t="s">
        <v>98</v>
      </c>
      <c r="BF5" t="s">
        <v>125</v>
      </c>
      <c r="BG5" t="s">
        <v>126</v>
      </c>
      <c r="BH5" t="s">
        <v>162</v>
      </c>
      <c r="BI5" t="s">
        <v>186</v>
      </c>
      <c r="BJ5" t="s">
        <v>185</v>
      </c>
      <c r="BK5" t="s">
        <v>187</v>
      </c>
      <c r="BL5" t="s">
        <v>195</v>
      </c>
      <c r="BM5" t="s">
        <v>196</v>
      </c>
      <c r="BN5" t="s">
        <v>198</v>
      </c>
      <c r="BO5" t="s">
        <v>199</v>
      </c>
      <c r="BP5" t="s">
        <v>200</v>
      </c>
      <c r="BQ5" t="s">
        <v>153</v>
      </c>
      <c r="BR5" t="s">
        <v>224</v>
      </c>
      <c r="BS5" t="s">
        <v>211</v>
      </c>
      <c r="BT5" t="s">
        <v>206</v>
      </c>
      <c r="BU5" t="s">
        <v>210</v>
      </c>
      <c r="BV5" t="s">
        <v>207</v>
      </c>
      <c r="BW5" t="s">
        <v>208</v>
      </c>
      <c r="BX5" t="s">
        <v>209</v>
      </c>
      <c r="BY5" t="s">
        <v>232</v>
      </c>
      <c r="BZ5" t="s">
        <v>233</v>
      </c>
      <c r="CA5" t="s">
        <v>234</v>
      </c>
      <c r="CB5" t="s">
        <v>235</v>
      </c>
      <c r="CC5" t="s">
        <v>236</v>
      </c>
      <c r="CD5" t="s">
        <v>215</v>
      </c>
      <c r="CE5" t="s">
        <v>225</v>
      </c>
      <c r="CF5" t="s">
        <v>226</v>
      </c>
      <c r="CG5" t="s">
        <v>216</v>
      </c>
      <c r="CH5" t="s">
        <v>217</v>
      </c>
      <c r="CI5" t="s">
        <v>218</v>
      </c>
      <c r="CJ5" t="s">
        <v>219</v>
      </c>
      <c r="CK5" t="s">
        <v>220</v>
      </c>
      <c r="CL5" t="s">
        <v>221</v>
      </c>
      <c r="CM5" t="s">
        <v>237</v>
      </c>
      <c r="CN5" t="s">
        <v>238</v>
      </c>
      <c r="CO5" t="s">
        <v>239</v>
      </c>
      <c r="CP5" t="s">
        <v>222</v>
      </c>
      <c r="CQ5" t="s">
        <v>227</v>
      </c>
      <c r="CR5" t="s">
        <v>223</v>
      </c>
      <c r="CS5" t="s">
        <v>230</v>
      </c>
      <c r="CT5" t="s">
        <v>228</v>
      </c>
      <c r="CU5" t="s">
        <v>229</v>
      </c>
      <c r="CV5" t="s">
        <v>240</v>
      </c>
      <c r="CW5" t="s">
        <v>231</v>
      </c>
      <c r="CX5" t="s">
        <v>243</v>
      </c>
      <c r="CY5" t="s">
        <v>244</v>
      </c>
      <c r="CZ5" t="s">
        <v>245</v>
      </c>
      <c r="DA5" t="s">
        <v>246</v>
      </c>
      <c r="DB5" t="s">
        <v>247</v>
      </c>
      <c r="DC5" t="s">
        <v>248</v>
      </c>
      <c r="DD5" t="s">
        <v>249</v>
      </c>
      <c r="DE5" t="s">
        <v>254</v>
      </c>
      <c r="DF5" t="s">
        <v>255</v>
      </c>
      <c r="DG5" t="s">
        <v>267</v>
      </c>
      <c r="DH5" t="s">
        <v>261</v>
      </c>
      <c r="DI5" t="s">
        <v>262</v>
      </c>
      <c r="DJ5" t="s">
        <v>268</v>
      </c>
      <c r="DK5" t="s">
        <v>259</v>
      </c>
      <c r="DL5" t="s">
        <v>260</v>
      </c>
      <c r="DM5" t="s">
        <v>263</v>
      </c>
      <c r="DN5" t="s">
        <v>264</v>
      </c>
      <c r="DO5" t="s">
        <v>256</v>
      </c>
      <c r="DP5" t="s">
        <v>257</v>
      </c>
      <c r="DQ5" t="s">
        <v>258</v>
      </c>
      <c r="DR5" t="s">
        <v>265</v>
      </c>
      <c r="DS5" t="s">
        <v>266</v>
      </c>
      <c r="DT5" t="s">
        <v>269</v>
      </c>
      <c r="DU5" t="s">
        <v>270</v>
      </c>
      <c r="DV5" t="s">
        <v>272</v>
      </c>
      <c r="DW5" t="s">
        <v>273</v>
      </c>
      <c r="DX5" t="s">
        <v>274</v>
      </c>
      <c r="DY5" t="s">
        <v>241</v>
      </c>
      <c r="DZ5" t="s">
        <v>328</v>
      </c>
      <c r="EA5" t="s">
        <v>329</v>
      </c>
      <c r="EB5" t="s">
        <v>330</v>
      </c>
      <c r="EC5" t="s">
        <v>331</v>
      </c>
      <c r="ED5" t="s">
        <v>332</v>
      </c>
      <c r="EE5" t="s">
        <v>333</v>
      </c>
      <c r="EF5" t="s">
        <v>334</v>
      </c>
      <c r="EG5" s="2" t="s">
        <v>338</v>
      </c>
      <c r="EH5" s="2" t="s">
        <v>339</v>
      </c>
      <c r="EI5" s="2" t="s">
        <v>344</v>
      </c>
      <c r="EJ5" s="2" t="s">
        <v>345</v>
      </c>
      <c r="EK5" s="2" t="s">
        <v>346</v>
      </c>
      <c r="EL5" t="s">
        <v>357</v>
      </c>
      <c r="EM5" s="2" t="s">
        <v>270</v>
      </c>
      <c r="EN5" s="2" t="s">
        <v>359</v>
      </c>
      <c r="EO5" s="2" t="s">
        <v>360</v>
      </c>
      <c r="EP5" s="2" t="s">
        <v>361</v>
      </c>
      <c r="EQ5" t="s">
        <v>362</v>
      </c>
      <c r="ER5" t="s">
        <v>363</v>
      </c>
      <c r="ES5" t="s">
        <v>466</v>
      </c>
      <c r="ET5" t="s">
        <v>108</v>
      </c>
      <c r="EU5" t="s">
        <v>109</v>
      </c>
      <c r="EV5" t="s">
        <v>472</v>
      </c>
      <c r="EW5" t="s">
        <v>470</v>
      </c>
      <c r="EX5" t="s">
        <v>474</v>
      </c>
      <c r="EY5" t="s">
        <v>475</v>
      </c>
      <c r="EZ5" t="s">
        <v>467</v>
      </c>
      <c r="FA5" t="s">
        <v>468</v>
      </c>
      <c r="FB5" t="s">
        <v>469</v>
      </c>
      <c r="FC5" t="s">
        <v>473</v>
      </c>
      <c r="FD5" t="s">
        <v>471</v>
      </c>
      <c r="FE5" t="s">
        <v>477</v>
      </c>
      <c r="FF5" t="s">
        <v>478</v>
      </c>
      <c r="FG5" t="s">
        <v>476</v>
      </c>
      <c r="FH5" s="6" t="s">
        <v>479</v>
      </c>
      <c r="FI5" s="6" t="s">
        <v>481</v>
      </c>
      <c r="FJ5" s="6" t="s">
        <v>480</v>
      </c>
      <c r="FK5" t="s">
        <v>490</v>
      </c>
    </row>
    <row r="6" spans="1:167">
      <c r="A6" s="11" t="s">
        <v>509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2578125" defaultRowHeight="15"/>
  <sheetData>
    <row r="1" spans="1:5">
      <c r="A1" t="s">
        <v>14</v>
      </c>
    </row>
    <row r="2" spans="1:5">
      <c r="A2" t="s">
        <v>15</v>
      </c>
    </row>
    <row r="3" spans="1:5">
      <c r="A3" t="s">
        <v>412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69</v>
      </c>
      <c r="B6">
        <v>1</v>
      </c>
    </row>
    <row r="7" spans="1:5">
      <c r="A7" t="s">
        <v>70</v>
      </c>
      <c r="B7">
        <v>1</v>
      </c>
    </row>
    <row r="8" spans="1:5">
      <c r="A8" t="s">
        <v>71</v>
      </c>
      <c r="B8">
        <v>1</v>
      </c>
    </row>
    <row r="9" spans="1:5">
      <c r="A9" t="s">
        <v>68</v>
      </c>
      <c r="B9">
        <v>1</v>
      </c>
    </row>
    <row r="10" spans="1:5">
      <c r="A10" t="s">
        <v>72</v>
      </c>
      <c r="C10">
        <v>1</v>
      </c>
    </row>
    <row r="11" spans="1:5">
      <c r="A11" t="s">
        <v>73</v>
      </c>
      <c r="C11">
        <v>1</v>
      </c>
    </row>
    <row r="12" spans="1:5">
      <c r="A12" t="s">
        <v>74</v>
      </c>
      <c r="C12">
        <v>1</v>
      </c>
    </row>
    <row r="13" spans="1:5">
      <c r="A13" t="s">
        <v>75</v>
      </c>
      <c r="C13">
        <v>1</v>
      </c>
    </row>
    <row r="14" spans="1:5">
      <c r="A14" t="s">
        <v>76</v>
      </c>
      <c r="D14">
        <v>1</v>
      </c>
    </row>
    <row r="15" spans="1:5">
      <c r="A15" t="s">
        <v>77</v>
      </c>
      <c r="D15">
        <v>1</v>
      </c>
    </row>
    <row r="16" spans="1:5">
      <c r="A16" t="s">
        <v>78</v>
      </c>
      <c r="D16">
        <v>1</v>
      </c>
    </row>
    <row r="17" spans="1:5">
      <c r="A17" t="s">
        <v>79</v>
      </c>
      <c r="D17">
        <v>1</v>
      </c>
    </row>
    <row r="18" spans="1:5">
      <c r="A18" t="s">
        <v>80</v>
      </c>
      <c r="E18">
        <v>1</v>
      </c>
    </row>
    <row r="19" spans="1:5">
      <c r="A19" t="s">
        <v>81</v>
      </c>
      <c r="E19">
        <v>1</v>
      </c>
    </row>
    <row r="20" spans="1:5">
      <c r="A20" t="s">
        <v>82</v>
      </c>
      <c r="E20">
        <v>1</v>
      </c>
    </row>
    <row r="21" spans="1:5">
      <c r="A21" t="s">
        <v>83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2578125" defaultRowHeight="15"/>
  <sheetData>
    <row r="1" spans="1:2">
      <c r="A1" t="s">
        <v>16</v>
      </c>
    </row>
    <row r="2" spans="1:2">
      <c r="A2" t="s">
        <v>17</v>
      </c>
    </row>
    <row r="3" spans="1:2">
      <c r="A3" t="s">
        <v>412</v>
      </c>
    </row>
    <row r="5" spans="1:2">
      <c r="A5" t="s">
        <v>28</v>
      </c>
      <c r="B5">
        <v>1</v>
      </c>
    </row>
    <row r="6" spans="1:2">
      <c r="A6" t="s">
        <v>69</v>
      </c>
      <c r="B6">
        <v>1</v>
      </c>
    </row>
    <row r="7" spans="1:2">
      <c r="A7" t="s">
        <v>70</v>
      </c>
      <c r="B7">
        <v>1</v>
      </c>
    </row>
    <row r="8" spans="1:2">
      <c r="A8" t="s">
        <v>71</v>
      </c>
      <c r="B8">
        <v>1</v>
      </c>
    </row>
    <row r="9" spans="1:2">
      <c r="A9" t="s">
        <v>68</v>
      </c>
      <c r="B9">
        <v>1</v>
      </c>
    </row>
    <row r="10" spans="1:2">
      <c r="A10" t="s">
        <v>72</v>
      </c>
      <c r="B10">
        <v>1</v>
      </c>
    </row>
    <row r="11" spans="1:2">
      <c r="A11" t="s">
        <v>73</v>
      </c>
      <c r="B11">
        <v>1</v>
      </c>
    </row>
    <row r="12" spans="1:2">
      <c r="A12" t="s">
        <v>74</v>
      </c>
      <c r="B12">
        <v>1</v>
      </c>
    </row>
    <row r="13" spans="1:2">
      <c r="A13" t="s">
        <v>75</v>
      </c>
      <c r="B13">
        <v>1</v>
      </c>
    </row>
    <row r="14" spans="1:2">
      <c r="A14" t="s">
        <v>76</v>
      </c>
      <c r="B14">
        <v>1</v>
      </c>
    </row>
    <row r="15" spans="1:2">
      <c r="A15" t="s">
        <v>77</v>
      </c>
      <c r="B15">
        <v>1</v>
      </c>
    </row>
    <row r="16" spans="1:2">
      <c r="A16" t="s">
        <v>78</v>
      </c>
      <c r="B16">
        <v>1</v>
      </c>
    </row>
    <row r="17" spans="1:2">
      <c r="A17" t="s">
        <v>79</v>
      </c>
      <c r="B17">
        <v>1</v>
      </c>
    </row>
    <row r="18" spans="1:2">
      <c r="A18" t="s">
        <v>80</v>
      </c>
      <c r="B18">
        <v>1</v>
      </c>
    </row>
    <row r="19" spans="1:2">
      <c r="A19" t="s">
        <v>81</v>
      </c>
      <c r="B19">
        <v>1</v>
      </c>
    </row>
    <row r="20" spans="1:2">
      <c r="A20" t="s">
        <v>82</v>
      </c>
      <c r="B20">
        <v>1</v>
      </c>
    </row>
    <row r="21" spans="1:2">
      <c r="A21" t="s">
        <v>83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2578125" defaultRowHeight="15"/>
  <sheetData>
    <row r="1" spans="1:5">
      <c r="A1" t="s">
        <v>18</v>
      </c>
    </row>
    <row r="2" spans="1:5">
      <c r="A2" t="s">
        <v>19</v>
      </c>
    </row>
    <row r="3" spans="1:5">
      <c r="A3" t="s">
        <v>412</v>
      </c>
    </row>
    <row r="4" spans="1:5">
      <c r="B4" t="s">
        <v>84</v>
      </c>
      <c r="C4" t="s">
        <v>85</v>
      </c>
      <c r="D4" t="s">
        <v>86</v>
      </c>
      <c r="E4" t="s">
        <v>87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69</v>
      </c>
      <c r="B6">
        <v>1</v>
      </c>
    </row>
    <row r="7" spans="1:5">
      <c r="A7" t="s">
        <v>70</v>
      </c>
      <c r="C7">
        <v>1</v>
      </c>
    </row>
    <row r="8" spans="1:5">
      <c r="A8" t="s">
        <v>71</v>
      </c>
      <c r="D8">
        <v>1</v>
      </c>
    </row>
    <row r="9" spans="1:5">
      <c r="A9" t="s">
        <v>68</v>
      </c>
      <c r="E9">
        <v>1</v>
      </c>
    </row>
    <row r="10" spans="1:5">
      <c r="A10" t="s">
        <v>72</v>
      </c>
      <c r="B10">
        <v>1</v>
      </c>
    </row>
    <row r="11" spans="1:5">
      <c r="A11" t="s">
        <v>73</v>
      </c>
      <c r="C11">
        <v>1</v>
      </c>
    </row>
    <row r="12" spans="1:5">
      <c r="A12" t="s">
        <v>74</v>
      </c>
      <c r="D12">
        <v>1</v>
      </c>
    </row>
    <row r="13" spans="1:5">
      <c r="A13" t="s">
        <v>75</v>
      </c>
      <c r="E13">
        <v>1</v>
      </c>
    </row>
    <row r="14" spans="1:5">
      <c r="A14" t="s">
        <v>76</v>
      </c>
      <c r="B14">
        <v>1</v>
      </c>
    </row>
    <row r="15" spans="1:5">
      <c r="A15" t="s">
        <v>77</v>
      </c>
      <c r="C15">
        <v>1</v>
      </c>
    </row>
    <row r="16" spans="1:5">
      <c r="A16" t="s">
        <v>78</v>
      </c>
      <c r="D16">
        <v>1</v>
      </c>
    </row>
    <row r="17" spans="1:5">
      <c r="A17" t="s">
        <v>79</v>
      </c>
      <c r="E17">
        <v>1</v>
      </c>
    </row>
    <row r="18" spans="1:5">
      <c r="A18" t="s">
        <v>80</v>
      </c>
      <c r="B18">
        <v>1</v>
      </c>
    </row>
    <row r="19" spans="1:5">
      <c r="A19" t="s">
        <v>81</v>
      </c>
      <c r="C19">
        <v>1</v>
      </c>
    </row>
    <row r="20" spans="1:5">
      <c r="A20" t="s">
        <v>82</v>
      </c>
      <c r="D20">
        <v>1</v>
      </c>
    </row>
    <row r="21" spans="1:5">
      <c r="A21" t="s">
        <v>83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08"/>
  <sheetViews>
    <sheetView zoomScale="116" zoomScaleNormal="85" workbookViewId="0">
      <selection activeCell="C41" sqref="C41"/>
    </sheetView>
  </sheetViews>
  <sheetFormatPr defaultColWidth="11.42578125" defaultRowHeight="15"/>
  <cols>
    <col min="2" max="2" width="15" bestFit="1" customWidth="1"/>
    <col min="3" max="3" width="15.28515625" bestFit="1" customWidth="1"/>
    <col min="4" max="4" width="14.140625" bestFit="1" customWidth="1"/>
    <col min="5" max="5" width="16.7109375" bestFit="1" customWidth="1"/>
    <col min="6" max="6" width="14.28515625" bestFit="1" customWidth="1"/>
    <col min="7" max="7" width="16.28515625" bestFit="1" customWidth="1"/>
  </cols>
  <sheetData>
    <row r="1" spans="1:32">
      <c r="A1" t="s">
        <v>396</v>
      </c>
    </row>
    <row r="2" spans="1:32">
      <c r="A2" t="s">
        <v>55</v>
      </c>
    </row>
    <row r="3" spans="1:32">
      <c r="A3" t="s">
        <v>390</v>
      </c>
    </row>
    <row r="5" spans="1:32">
      <c r="B5" s="31"/>
      <c r="C5" s="7" t="s">
        <v>509</v>
      </c>
      <c r="D5" s="7" t="s">
        <v>510</v>
      </c>
      <c r="E5" s="7" t="s">
        <v>511</v>
      </c>
      <c r="F5" s="7" t="s">
        <v>512</v>
      </c>
      <c r="G5" s="7" t="s">
        <v>513</v>
      </c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275</v>
      </c>
      <c r="B6" s="52" t="s">
        <v>509</v>
      </c>
      <c r="C6" s="53">
        <v>0</v>
      </c>
      <c r="D6" s="53">
        <v>33.799999999999997</v>
      </c>
      <c r="E6" s="53">
        <v>44.3</v>
      </c>
      <c r="F6" s="53">
        <v>37.299999999999997</v>
      </c>
      <c r="G6" s="53">
        <v>52.5</v>
      </c>
    </row>
    <row r="7" spans="1:32" ht="15" customHeight="1">
      <c r="A7" t="s">
        <v>275</v>
      </c>
      <c r="B7" s="52" t="s">
        <v>510</v>
      </c>
      <c r="C7" s="53">
        <v>33.799999999999997</v>
      </c>
      <c r="D7" s="53">
        <v>0</v>
      </c>
      <c r="E7" s="53">
        <v>51.3</v>
      </c>
      <c r="F7" s="53">
        <v>67.900000000000006</v>
      </c>
      <c r="G7" s="53">
        <v>35</v>
      </c>
    </row>
    <row r="8" spans="1:32" ht="15" customHeight="1">
      <c r="A8" t="s">
        <v>275</v>
      </c>
      <c r="B8" s="52" t="s">
        <v>511</v>
      </c>
      <c r="C8" s="53">
        <v>44.3</v>
      </c>
      <c r="D8" s="53">
        <v>51.3</v>
      </c>
      <c r="E8" s="53">
        <v>0</v>
      </c>
      <c r="F8" s="53">
        <v>47.2</v>
      </c>
      <c r="G8" s="53">
        <v>34.200000000000003</v>
      </c>
    </row>
    <row r="9" spans="1:32" ht="15" customHeight="1">
      <c r="A9" t="s">
        <v>275</v>
      </c>
      <c r="B9" s="52" t="s">
        <v>512</v>
      </c>
      <c r="C9" s="53">
        <v>37.299999999999997</v>
      </c>
      <c r="D9" s="53">
        <v>67.900000000000006</v>
      </c>
      <c r="E9" s="53">
        <v>47.2</v>
      </c>
      <c r="F9" s="53">
        <v>0</v>
      </c>
      <c r="G9" s="53">
        <v>74</v>
      </c>
    </row>
    <row r="10" spans="1:32" ht="15" customHeight="1">
      <c r="A10" t="s">
        <v>275</v>
      </c>
      <c r="B10" s="52" t="s">
        <v>513</v>
      </c>
      <c r="C10" s="53">
        <v>52.5</v>
      </c>
      <c r="D10" s="53">
        <v>35</v>
      </c>
      <c r="E10" s="53">
        <v>34.200000000000003</v>
      </c>
      <c r="F10" s="53">
        <v>74</v>
      </c>
      <c r="G10" s="53">
        <v>0</v>
      </c>
    </row>
    <row r="11" spans="1:32" ht="15" customHeight="1">
      <c r="A11" t="s">
        <v>146</v>
      </c>
      <c r="B11" s="52" t="s">
        <v>509</v>
      </c>
      <c r="C11" s="53">
        <v>0</v>
      </c>
      <c r="D11" s="53">
        <v>33.799999999999997</v>
      </c>
      <c r="E11" s="53">
        <v>44.3</v>
      </c>
      <c r="F11" s="53">
        <v>37.299999999999997</v>
      </c>
      <c r="G11" s="53">
        <v>52.5</v>
      </c>
    </row>
    <row r="12" spans="1:32" ht="15" customHeight="1">
      <c r="A12" t="s">
        <v>146</v>
      </c>
      <c r="B12" s="52" t="s">
        <v>510</v>
      </c>
      <c r="C12" s="53">
        <v>33.799999999999997</v>
      </c>
      <c r="D12" s="53">
        <v>0</v>
      </c>
      <c r="E12" s="53">
        <v>51.3</v>
      </c>
      <c r="F12" s="53">
        <v>67.900000000000006</v>
      </c>
      <c r="G12" s="53">
        <v>35</v>
      </c>
    </row>
    <row r="13" spans="1:32" ht="15" customHeight="1">
      <c r="A13" t="s">
        <v>146</v>
      </c>
      <c r="B13" s="52" t="s">
        <v>511</v>
      </c>
      <c r="C13" s="53">
        <v>44.3</v>
      </c>
      <c r="D13" s="53">
        <v>51.3</v>
      </c>
      <c r="E13" s="53">
        <v>0</v>
      </c>
      <c r="F13" s="53">
        <v>47.2</v>
      </c>
      <c r="G13" s="53">
        <v>34.200000000000003</v>
      </c>
    </row>
    <row r="14" spans="1:32" ht="15" customHeight="1">
      <c r="A14" t="s">
        <v>146</v>
      </c>
      <c r="B14" s="52" t="s">
        <v>512</v>
      </c>
      <c r="C14" s="53">
        <v>37.299999999999997</v>
      </c>
      <c r="D14" s="53">
        <v>67.900000000000006</v>
      </c>
      <c r="E14" s="53">
        <v>47.2</v>
      </c>
      <c r="F14" s="53">
        <v>0</v>
      </c>
      <c r="G14" s="53">
        <v>74</v>
      </c>
    </row>
    <row r="15" spans="1:32" ht="15" customHeight="1">
      <c r="A15" t="s">
        <v>146</v>
      </c>
      <c r="B15" s="52" t="s">
        <v>513</v>
      </c>
      <c r="C15" s="53">
        <v>52.5</v>
      </c>
      <c r="D15" s="53">
        <v>35</v>
      </c>
      <c r="E15" s="53">
        <v>34.200000000000003</v>
      </c>
      <c r="F15" s="53">
        <v>74</v>
      </c>
      <c r="G15" s="53">
        <v>0</v>
      </c>
    </row>
    <row r="16" spans="1:32" ht="15" customHeight="1">
      <c r="A16" t="s">
        <v>341</v>
      </c>
      <c r="B16" s="52" t="s">
        <v>509</v>
      </c>
      <c r="C16" s="53">
        <v>0</v>
      </c>
      <c r="D16" s="53">
        <v>33.799999999999997</v>
      </c>
      <c r="E16" s="53">
        <v>44.3</v>
      </c>
      <c r="F16" s="53">
        <v>37.299999999999997</v>
      </c>
      <c r="G16" s="53">
        <v>52.5</v>
      </c>
    </row>
    <row r="17" spans="1:7">
      <c r="A17" t="s">
        <v>341</v>
      </c>
      <c r="B17" s="52" t="s">
        <v>510</v>
      </c>
      <c r="C17" s="53">
        <v>33.799999999999997</v>
      </c>
      <c r="D17" s="53">
        <v>0</v>
      </c>
      <c r="E17" s="53">
        <v>51.3</v>
      </c>
      <c r="F17" s="53">
        <v>67.900000000000006</v>
      </c>
      <c r="G17" s="53">
        <v>35</v>
      </c>
    </row>
    <row r="18" spans="1:7" ht="15" customHeight="1">
      <c r="A18" t="s">
        <v>341</v>
      </c>
      <c r="B18" s="52" t="s">
        <v>511</v>
      </c>
      <c r="C18" s="53">
        <v>44.3</v>
      </c>
      <c r="D18" s="53">
        <v>51.3</v>
      </c>
      <c r="E18" s="53">
        <v>0</v>
      </c>
      <c r="F18" s="53">
        <v>47.2</v>
      </c>
      <c r="G18" s="53">
        <v>34.200000000000003</v>
      </c>
    </row>
    <row r="19" spans="1:7" ht="15" customHeight="1">
      <c r="A19" t="s">
        <v>341</v>
      </c>
      <c r="B19" s="52" t="s">
        <v>512</v>
      </c>
      <c r="C19" s="53">
        <v>37.299999999999997</v>
      </c>
      <c r="D19" s="53">
        <v>67.900000000000006</v>
      </c>
      <c r="E19" s="53">
        <v>47.2</v>
      </c>
      <c r="F19" s="53">
        <v>0</v>
      </c>
      <c r="G19" s="53">
        <v>74</v>
      </c>
    </row>
    <row r="20" spans="1:7" ht="15" customHeight="1">
      <c r="A20" t="s">
        <v>341</v>
      </c>
      <c r="B20" s="52" t="s">
        <v>513</v>
      </c>
      <c r="C20" s="53">
        <v>52.5</v>
      </c>
      <c r="D20" s="53">
        <v>35</v>
      </c>
      <c r="E20" s="53">
        <v>34.200000000000003</v>
      </c>
      <c r="F20" s="53">
        <v>74</v>
      </c>
      <c r="G20" s="53">
        <v>0</v>
      </c>
    </row>
    <row r="21" spans="1:7" ht="15" customHeight="1">
      <c r="A21" t="s">
        <v>340</v>
      </c>
      <c r="B21" s="52" t="s">
        <v>509</v>
      </c>
      <c r="C21" s="53">
        <v>0</v>
      </c>
      <c r="D21" s="53">
        <v>33.799999999999997</v>
      </c>
      <c r="E21" s="53">
        <v>44.3</v>
      </c>
      <c r="F21" s="53">
        <v>37.299999999999997</v>
      </c>
      <c r="G21" s="53">
        <v>52.5</v>
      </c>
    </row>
    <row r="22" spans="1:7" ht="15" customHeight="1">
      <c r="A22" t="s">
        <v>340</v>
      </c>
      <c r="B22" s="52" t="s">
        <v>510</v>
      </c>
      <c r="C22" s="53">
        <v>33.799999999999997</v>
      </c>
      <c r="D22" s="53">
        <v>0</v>
      </c>
      <c r="E22" s="53">
        <v>51.3</v>
      </c>
      <c r="F22" s="53">
        <v>67.900000000000006</v>
      </c>
      <c r="G22" s="53">
        <v>35</v>
      </c>
    </row>
    <row r="23" spans="1:7" ht="15" customHeight="1">
      <c r="A23" t="s">
        <v>340</v>
      </c>
      <c r="B23" s="52" t="s">
        <v>511</v>
      </c>
      <c r="C23" s="53">
        <v>44.3</v>
      </c>
      <c r="D23" s="53">
        <v>51.3</v>
      </c>
      <c r="E23" s="53">
        <v>0</v>
      </c>
      <c r="F23" s="53">
        <v>47.2</v>
      </c>
      <c r="G23" s="53">
        <v>34.200000000000003</v>
      </c>
    </row>
    <row r="24" spans="1:7" ht="15" customHeight="1">
      <c r="A24" t="s">
        <v>340</v>
      </c>
      <c r="B24" s="52" t="s">
        <v>512</v>
      </c>
      <c r="C24" s="53">
        <v>37.299999999999997</v>
      </c>
      <c r="D24" s="53">
        <v>67.900000000000006</v>
      </c>
      <c r="E24" s="53">
        <v>47.2</v>
      </c>
      <c r="F24" s="53">
        <v>0</v>
      </c>
      <c r="G24" s="53">
        <v>74</v>
      </c>
    </row>
    <row r="25" spans="1:7" ht="15" customHeight="1">
      <c r="A25" t="s">
        <v>340</v>
      </c>
      <c r="B25" s="52" t="s">
        <v>513</v>
      </c>
      <c r="C25" s="53">
        <v>52.5</v>
      </c>
      <c r="D25" s="53">
        <v>35</v>
      </c>
      <c r="E25" s="53">
        <v>34.200000000000003</v>
      </c>
      <c r="F25" s="53">
        <v>74</v>
      </c>
      <c r="G25" s="53">
        <v>0</v>
      </c>
    </row>
    <row r="26" spans="1:7" ht="15" customHeight="1">
      <c r="A26" t="s">
        <v>143</v>
      </c>
      <c r="B26" s="52" t="s">
        <v>509</v>
      </c>
      <c r="C26" s="53">
        <v>0</v>
      </c>
      <c r="D26" s="53">
        <v>33.799999999999997</v>
      </c>
      <c r="E26" s="53">
        <v>44.3</v>
      </c>
      <c r="F26" s="53">
        <v>37.299999999999997</v>
      </c>
      <c r="G26" s="53">
        <v>52.5</v>
      </c>
    </row>
    <row r="27" spans="1:7" ht="15" customHeight="1">
      <c r="A27" t="s">
        <v>143</v>
      </c>
      <c r="B27" s="52" t="s">
        <v>510</v>
      </c>
      <c r="C27" s="53">
        <v>33.799999999999997</v>
      </c>
      <c r="D27" s="53">
        <v>0</v>
      </c>
      <c r="E27" s="53">
        <v>51.3</v>
      </c>
      <c r="F27" s="53">
        <v>67.900000000000006</v>
      </c>
      <c r="G27" s="53">
        <v>35</v>
      </c>
    </row>
    <row r="28" spans="1:7" ht="15" customHeight="1">
      <c r="A28" t="s">
        <v>143</v>
      </c>
      <c r="B28" s="52" t="s">
        <v>511</v>
      </c>
      <c r="C28" s="53">
        <v>44.3</v>
      </c>
      <c r="D28" s="53">
        <v>51.3</v>
      </c>
      <c r="E28" s="53">
        <v>0</v>
      </c>
      <c r="F28" s="53">
        <v>47.2</v>
      </c>
      <c r="G28" s="53">
        <v>34.200000000000003</v>
      </c>
    </row>
    <row r="29" spans="1:7" ht="15" customHeight="1">
      <c r="A29" t="s">
        <v>143</v>
      </c>
      <c r="B29" s="52" t="s">
        <v>512</v>
      </c>
      <c r="C29" s="53">
        <v>37.299999999999997</v>
      </c>
      <c r="D29" s="53">
        <v>67.900000000000006</v>
      </c>
      <c r="E29" s="53">
        <v>47.2</v>
      </c>
      <c r="F29" s="53">
        <v>0</v>
      </c>
      <c r="G29" s="53">
        <v>74</v>
      </c>
    </row>
    <row r="30" spans="1:7" ht="15" customHeight="1">
      <c r="A30" t="s">
        <v>143</v>
      </c>
      <c r="B30" s="52" t="s">
        <v>513</v>
      </c>
      <c r="C30" s="53">
        <v>52.5</v>
      </c>
      <c r="D30" s="53">
        <v>35</v>
      </c>
      <c r="E30" s="53">
        <v>34.200000000000003</v>
      </c>
      <c r="F30" s="53">
        <v>74</v>
      </c>
      <c r="G30" s="53">
        <v>0</v>
      </c>
    </row>
    <row r="31" spans="1:7" ht="15" customHeight="1">
      <c r="A31" t="s">
        <v>24</v>
      </c>
      <c r="B31" s="52" t="s">
        <v>509</v>
      </c>
      <c r="C31" s="53">
        <v>0</v>
      </c>
      <c r="D31" s="53">
        <v>4.4000000000000004</v>
      </c>
      <c r="E31" s="53">
        <v>0</v>
      </c>
      <c r="F31" s="53">
        <v>28.08</v>
      </c>
      <c r="G31" s="53">
        <v>0</v>
      </c>
    </row>
    <row r="32" spans="1:7" ht="15" customHeight="1">
      <c r="A32" t="s">
        <v>24</v>
      </c>
      <c r="B32" s="52" t="s">
        <v>510</v>
      </c>
      <c r="C32" s="53">
        <v>4.4000000000000004</v>
      </c>
      <c r="D32" s="53">
        <v>0</v>
      </c>
      <c r="E32" s="53">
        <v>32.700000000000003</v>
      </c>
      <c r="F32" s="53">
        <v>0</v>
      </c>
      <c r="G32" s="53">
        <v>22.6</v>
      </c>
    </row>
    <row r="33" spans="1:7" ht="15" customHeight="1">
      <c r="A33" t="s">
        <v>24</v>
      </c>
      <c r="B33" s="52" t="s">
        <v>511</v>
      </c>
      <c r="C33" s="53">
        <v>0</v>
      </c>
      <c r="D33" s="53">
        <v>32.700000000000003</v>
      </c>
      <c r="E33" s="53">
        <v>0</v>
      </c>
      <c r="F33" s="53">
        <v>0</v>
      </c>
      <c r="G33" s="53">
        <v>0</v>
      </c>
    </row>
    <row r="34" spans="1:7" ht="15" customHeight="1">
      <c r="A34" t="s">
        <v>24</v>
      </c>
      <c r="B34" s="52" t="s">
        <v>512</v>
      </c>
      <c r="C34" s="53">
        <v>28.08</v>
      </c>
      <c r="D34" s="53">
        <v>0</v>
      </c>
      <c r="E34" s="53">
        <v>0</v>
      </c>
      <c r="F34" s="53">
        <v>0</v>
      </c>
      <c r="G34" s="53">
        <v>0</v>
      </c>
    </row>
    <row r="35" spans="1:7" ht="15" customHeight="1">
      <c r="A35" t="s">
        <v>24</v>
      </c>
      <c r="B35" s="52" t="s">
        <v>513</v>
      </c>
      <c r="C35" s="53">
        <v>0</v>
      </c>
      <c r="D35" s="53">
        <v>22.6</v>
      </c>
      <c r="E35" s="53">
        <v>0</v>
      </c>
      <c r="F35" s="53">
        <v>0</v>
      </c>
      <c r="G35" s="54">
        <v>0</v>
      </c>
    </row>
    <row r="36" spans="1:7" ht="15" customHeight="1">
      <c r="B36" s="17"/>
    </row>
    <row r="37" spans="1:7" ht="15" customHeight="1">
      <c r="B37" s="17"/>
    </row>
    <row r="38" spans="1:7" ht="15" customHeight="1">
      <c r="B38" s="17"/>
    </row>
    <row r="39" spans="1:7" ht="15" customHeight="1">
      <c r="B39" s="17"/>
    </row>
    <row r="40" spans="1:7" ht="15" customHeight="1">
      <c r="B40" s="17"/>
    </row>
    <row r="41" spans="1:7" ht="15" customHeight="1">
      <c r="B41" s="17"/>
    </row>
    <row r="42" spans="1:7" ht="15" customHeight="1">
      <c r="B42" s="17"/>
    </row>
    <row r="43" spans="1:7" ht="15" customHeight="1">
      <c r="B43" s="17"/>
    </row>
    <row r="44" spans="1:7">
      <c r="B44" s="17"/>
    </row>
    <row r="45" spans="1:7" ht="15" customHeight="1">
      <c r="B45" s="17"/>
    </row>
    <row r="46" spans="1:7" ht="15" customHeight="1">
      <c r="B46" s="17"/>
    </row>
    <row r="47" spans="1:7" ht="15" customHeight="1">
      <c r="B47" s="17"/>
    </row>
    <row r="48" spans="1:7" ht="15" customHeight="1">
      <c r="B48" s="17"/>
    </row>
    <row r="49" spans="2:2" ht="15" customHeight="1">
      <c r="B49" s="17"/>
    </row>
    <row r="50" spans="2:2" ht="15" customHeight="1">
      <c r="B50" s="17"/>
    </row>
    <row r="51" spans="2:2" ht="15" customHeight="1">
      <c r="B51" s="17"/>
    </row>
    <row r="52" spans="2:2" ht="15" customHeight="1">
      <c r="B52" s="17"/>
    </row>
    <row r="53" spans="2:2" ht="15" customHeight="1">
      <c r="B53" s="17"/>
    </row>
    <row r="54" spans="2:2" ht="15" customHeight="1">
      <c r="B54" s="17"/>
    </row>
    <row r="55" spans="2:2" ht="15" customHeight="1">
      <c r="B55" s="17"/>
    </row>
    <row r="56" spans="2:2" ht="15" customHeight="1">
      <c r="B56" s="17"/>
    </row>
    <row r="57" spans="2:2" ht="15" customHeight="1">
      <c r="B57" s="17"/>
    </row>
    <row r="58" spans="2:2" ht="15" customHeight="1">
      <c r="B58" s="17"/>
    </row>
    <row r="59" spans="2:2" ht="15" customHeight="1">
      <c r="B59" s="17"/>
    </row>
    <row r="60" spans="2:2" ht="15" customHeight="1">
      <c r="B60" s="17"/>
    </row>
    <row r="61" spans="2:2" ht="15" customHeight="1">
      <c r="B61" s="17"/>
    </row>
    <row r="62" spans="2:2" ht="15" customHeight="1"/>
    <row r="63" spans="2:2" ht="15" customHeight="1">
      <c r="B63" s="17"/>
    </row>
    <row r="64" spans="2:2" ht="15" customHeight="1">
      <c r="B64" s="17"/>
    </row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>
      <c r="B73" s="17"/>
    </row>
    <row r="74" spans="2:2" ht="15" customHeight="1">
      <c r="B74" s="17"/>
    </row>
    <row r="75" spans="2:2" ht="15" customHeight="1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/>
    <row r="93" spans="2:2" ht="15" customHeight="1">
      <c r="B93" s="17"/>
    </row>
    <row r="94" spans="2:2" ht="15" customHeight="1">
      <c r="B94" s="17"/>
    </row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>
      <c r="B102" s="17"/>
    </row>
    <row r="103" spans="2:2" ht="15" customHeight="1">
      <c r="B103" s="17"/>
    </row>
    <row r="104" spans="2:2" ht="15" customHeight="1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/>
    <row r="123" spans="2:2" ht="15" customHeight="1">
      <c r="B123" s="17"/>
    </row>
    <row r="124" spans="2:2" ht="15" customHeight="1">
      <c r="B124" s="17"/>
    </row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>
      <c r="B131" s="17"/>
    </row>
    <row r="132" spans="2:2" ht="15" customHeight="1">
      <c r="B132" s="17"/>
    </row>
    <row r="133" spans="2:2" ht="15" customHeight="1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/>
    <row r="153" spans="2:2" ht="15" customHeight="1">
      <c r="B153" s="17"/>
    </row>
    <row r="154" spans="2:2" ht="15" customHeight="1">
      <c r="B154" s="17"/>
    </row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>
      <c r="B160" s="17"/>
    </row>
    <row r="161" spans="2:2" ht="15" customHeight="1">
      <c r="B161" s="17"/>
    </row>
    <row r="162" spans="2:2" ht="15" customHeight="1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/>
    <row r="183" spans="2:2" ht="15" customHeight="1">
      <c r="B183" s="17"/>
    </row>
    <row r="184" spans="2:2" ht="15" customHeight="1">
      <c r="B184" s="17"/>
    </row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>
      <c r="B189" s="17"/>
    </row>
    <row r="190" spans="2:2" ht="15" customHeight="1">
      <c r="B190" s="17"/>
    </row>
    <row r="191" spans="2:2" ht="15" customHeight="1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/>
    <row r="213" spans="2:2" ht="15" customHeight="1">
      <c r="B213" s="17"/>
    </row>
    <row r="214" spans="2:2" ht="15" customHeight="1">
      <c r="B214" s="17"/>
    </row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>
      <c r="B218" s="17"/>
    </row>
    <row r="219" spans="2:2" ht="15" customHeight="1">
      <c r="B219" s="17"/>
    </row>
    <row r="220" spans="2:2" ht="15" customHeight="1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/>
    <row r="243" spans="2:2" ht="15" customHeight="1">
      <c r="B243" s="17"/>
    </row>
    <row r="244" spans="2:2" ht="15" customHeight="1">
      <c r="B244" s="17"/>
    </row>
    <row r="245" spans="2:2" ht="15" customHeight="1">
      <c r="B245" s="17"/>
    </row>
    <row r="246" spans="2:2" ht="15" customHeight="1">
      <c r="B246" s="17"/>
    </row>
    <row r="247" spans="2:2">
      <c r="B247" s="17"/>
    </row>
    <row r="248" spans="2:2" ht="15" customHeight="1">
      <c r="B248" s="17"/>
    </row>
    <row r="249" spans="2:2" ht="15" customHeight="1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/>
    <row r="273" spans="2:2" ht="15" customHeight="1">
      <c r="B273" s="17"/>
    </row>
    <row r="274" spans="2:2" ht="15" customHeight="1">
      <c r="B274" s="17"/>
    </row>
    <row r="275" spans="2:2" ht="15" customHeight="1">
      <c r="B275" s="17"/>
    </row>
    <row r="276" spans="2:2">
      <c r="B276" s="17"/>
    </row>
    <row r="277" spans="2:2" ht="15" customHeight="1">
      <c r="B277" s="17"/>
    </row>
    <row r="278" spans="2:2" ht="15" customHeight="1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/>
    <row r="303" spans="2:2" ht="15" customHeight="1">
      <c r="B303" s="17"/>
    </row>
    <row r="304" spans="2:2" ht="15" customHeight="1">
      <c r="B304" s="17"/>
    </row>
    <row r="305" spans="2:2">
      <c r="B305" s="17"/>
    </row>
    <row r="306" spans="2:2" ht="15" customHeight="1">
      <c r="B306" s="17"/>
    </row>
    <row r="307" spans="2:2" ht="15" customHeight="1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/>
    <row r="333" spans="2:2" ht="15" customHeight="1">
      <c r="B333" s="17"/>
    </row>
    <row r="334" spans="2:2">
      <c r="B334" s="17"/>
    </row>
    <row r="335" spans="2:2" ht="15" customHeight="1">
      <c r="B335" s="17"/>
    </row>
    <row r="336" spans="2:2" ht="15" customHeight="1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/>
    <row r="363" spans="2:2">
      <c r="B363" s="17"/>
    </row>
    <row r="364" spans="2:2" ht="15" customHeight="1">
      <c r="B364" s="17"/>
    </row>
    <row r="365" spans="2:2" ht="15" customHeight="1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>
      <c r="B393" s="17"/>
    </row>
    <row r="394" spans="2:2" ht="15" customHeight="1">
      <c r="B394" s="17"/>
    </row>
    <row r="395" spans="2:2" ht="15" customHeight="1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>
      <c r="B411" s="17"/>
    </row>
    <row r="412" spans="2:2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3" spans="2:2">
      <c r="B423" s="17"/>
    </row>
    <row r="424" spans="2:2">
      <c r="B424" s="31"/>
    </row>
    <row r="425" spans="2:2">
      <c r="B425" s="31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31"/>
    </row>
    <row r="880" spans="2:2">
      <c r="B880" s="31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</sheetData>
  <autoFilter ref="A5:AE423" xr:uid="{00000000-0009-0000-0000-000008000000}"/>
  <sortState xmlns:xlrd2="http://schemas.microsoft.com/office/spreadsheetml/2017/richdata2" ref="A6:AF422">
    <sortCondition ref="A6:A422"/>
    <sortCondition ref="B6:B422"/>
  </sortState>
  <dataValidations disablePrompts="1" count="1">
    <dataValidation type="list" allowBlank="1" showInputMessage="1" showErrorMessage="1" sqref="A149:A177 A415 A604:A632 A870" xr:uid="{9819BD07-4E54-43BF-B17D-61AB53579CA4}">
      <formula1>Fuels</formula1>
    </dataValidation>
  </dataValidation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rgb="FFFF0000"/>
  </sheetPr>
  <dimension ref="A1:AL968"/>
  <sheetViews>
    <sheetView topLeftCell="A94" workbookViewId="0">
      <selection activeCell="C158" sqref="C158"/>
    </sheetView>
  </sheetViews>
  <sheetFormatPr defaultColWidth="11.42578125" defaultRowHeight="15"/>
  <cols>
    <col min="2" max="2" width="13.42578125" customWidth="1"/>
    <col min="3" max="4" width="14.42578125" customWidth="1"/>
    <col min="5" max="5" width="12.85546875" customWidth="1"/>
    <col min="6" max="6" width="18.42578125" customWidth="1"/>
    <col min="7" max="7" width="15.42578125" customWidth="1"/>
    <col min="8" max="8" width="15.85546875" customWidth="1"/>
    <col min="9" max="9" width="15.42578125" customWidth="1"/>
    <col min="10" max="10" width="14.42578125" customWidth="1"/>
    <col min="11" max="11" width="15.85546875" customWidth="1"/>
    <col min="12" max="12" width="16" customWidth="1"/>
    <col min="14" max="14" width="15.42578125" customWidth="1"/>
    <col min="15" max="15" width="21.85546875" customWidth="1"/>
    <col min="22" max="22" width="11.85546875" customWidth="1"/>
  </cols>
  <sheetData>
    <row r="1" spans="1:38">
      <c r="A1" t="s">
        <v>398</v>
      </c>
    </row>
    <row r="2" spans="1:38">
      <c r="A2" t="s">
        <v>394</v>
      </c>
    </row>
    <row r="3" spans="1:38">
      <c r="A3" t="s">
        <v>393</v>
      </c>
    </row>
    <row r="5" spans="1:38">
      <c r="B5" s="31"/>
      <c r="C5" s="54" t="s">
        <v>509</v>
      </c>
      <c r="D5" s="54" t="s">
        <v>510</v>
      </c>
      <c r="E5" s="54" t="s">
        <v>511</v>
      </c>
      <c r="F5" s="54" t="s">
        <v>512</v>
      </c>
      <c r="G5" s="54" t="s">
        <v>513</v>
      </c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</row>
    <row r="6" spans="1:38">
      <c r="A6" t="s">
        <v>463</v>
      </c>
      <c r="B6" s="52" t="s">
        <v>509</v>
      </c>
      <c r="C6">
        <f>Par_TradeRoute!C6</f>
        <v>0</v>
      </c>
      <c r="D6">
        <f>Par_TradeRoute!D6</f>
        <v>33.799999999999997</v>
      </c>
      <c r="E6">
        <f>Par_TradeRoute!E6</f>
        <v>44.3</v>
      </c>
      <c r="F6">
        <f>Par_TradeRoute!F6</f>
        <v>37.299999999999997</v>
      </c>
      <c r="G6">
        <f>Par_TradeRoute!G6</f>
        <v>52.5</v>
      </c>
    </row>
    <row r="7" spans="1:38">
      <c r="A7" t="s">
        <v>463</v>
      </c>
      <c r="B7" s="52" t="s">
        <v>510</v>
      </c>
      <c r="C7">
        <f>Par_TradeRoute!C7</f>
        <v>33.799999999999997</v>
      </c>
      <c r="D7">
        <f>Par_TradeRoute!D7</f>
        <v>0</v>
      </c>
      <c r="E7">
        <f>Par_TradeRoute!E7</f>
        <v>51.3</v>
      </c>
      <c r="F7">
        <f>Par_TradeRoute!F7</f>
        <v>67.900000000000006</v>
      </c>
      <c r="G7">
        <f>Par_TradeRoute!G7</f>
        <v>35</v>
      </c>
    </row>
    <row r="8" spans="1:38">
      <c r="A8" t="s">
        <v>463</v>
      </c>
      <c r="B8" s="52" t="s">
        <v>511</v>
      </c>
      <c r="C8">
        <f>Par_TradeRoute!C8</f>
        <v>44.3</v>
      </c>
      <c r="D8">
        <f>Par_TradeRoute!D8</f>
        <v>51.3</v>
      </c>
      <c r="E8">
        <f>Par_TradeRoute!E8</f>
        <v>0</v>
      </c>
      <c r="F8">
        <f>Par_TradeRoute!F8</f>
        <v>47.2</v>
      </c>
      <c r="G8">
        <f>Par_TradeRoute!G8</f>
        <v>34.200000000000003</v>
      </c>
    </row>
    <row r="9" spans="1:38">
      <c r="A9" t="s">
        <v>463</v>
      </c>
      <c r="B9" s="52" t="s">
        <v>512</v>
      </c>
      <c r="C9">
        <f>Par_TradeRoute!C9</f>
        <v>37.299999999999997</v>
      </c>
      <c r="D9">
        <f>Par_TradeRoute!D9</f>
        <v>67.900000000000006</v>
      </c>
      <c r="E9">
        <f>Par_TradeRoute!E9</f>
        <v>47.2</v>
      </c>
      <c r="F9">
        <f>Par_TradeRoute!F9</f>
        <v>0</v>
      </c>
      <c r="G9">
        <f>Par_TradeRoute!G9</f>
        <v>74</v>
      </c>
    </row>
    <row r="10" spans="1:38">
      <c r="A10" t="s">
        <v>463</v>
      </c>
      <c r="B10" s="52" t="s">
        <v>513</v>
      </c>
      <c r="C10">
        <f>Par_TradeRoute!C10</f>
        <v>52.5</v>
      </c>
      <c r="D10">
        <f>Par_TradeRoute!D10</f>
        <v>35</v>
      </c>
      <c r="E10">
        <f>Par_TradeRoute!E10</f>
        <v>34.200000000000003</v>
      </c>
      <c r="F10">
        <f>Par_TradeRoute!F10</f>
        <v>74</v>
      </c>
      <c r="G10">
        <f>Par_TradeRoute!G10</f>
        <v>0</v>
      </c>
    </row>
    <row r="11" spans="1:38">
      <c r="A11" t="s">
        <v>463</v>
      </c>
      <c r="B11" s="17" t="s">
        <v>509</v>
      </c>
      <c r="C11">
        <f>Par_TradeRoute!C11</f>
        <v>0</v>
      </c>
      <c r="D11">
        <f>Par_TradeRoute!D11</f>
        <v>33.799999999999997</v>
      </c>
      <c r="E11">
        <f>Par_TradeRoute!E11</f>
        <v>44.3</v>
      </c>
      <c r="F11">
        <f>Par_TradeRoute!F11</f>
        <v>37.299999999999997</v>
      </c>
      <c r="G11">
        <f>Par_TradeRoute!G11</f>
        <v>52.5</v>
      </c>
    </row>
    <row r="12" spans="1:38">
      <c r="A12" t="s">
        <v>463</v>
      </c>
      <c r="B12" s="17" t="s">
        <v>284</v>
      </c>
      <c r="C12">
        <f>Par_TradeRoute!C12</f>
        <v>33.799999999999997</v>
      </c>
      <c r="D12">
        <f>Par_TradeRoute!D12</f>
        <v>0</v>
      </c>
      <c r="E12">
        <f>Par_TradeRoute!E12</f>
        <v>51.3</v>
      </c>
      <c r="F12">
        <f>Par_TradeRoute!F12</f>
        <v>67.900000000000006</v>
      </c>
      <c r="G12">
        <f>Par_TradeRoute!G12</f>
        <v>35</v>
      </c>
    </row>
    <row r="13" spans="1:38">
      <c r="A13" t="s">
        <v>463</v>
      </c>
      <c r="B13" s="17" t="s">
        <v>307</v>
      </c>
      <c r="C13">
        <f>Par_TradeRoute!C13</f>
        <v>44.3</v>
      </c>
      <c r="D13">
        <f>Par_TradeRoute!D13</f>
        <v>51.3</v>
      </c>
      <c r="E13">
        <f>Par_TradeRoute!E13</f>
        <v>0</v>
      </c>
      <c r="F13">
        <f>Par_TradeRoute!F13</f>
        <v>47.2</v>
      </c>
      <c r="G13">
        <f>Par_TradeRoute!G13</f>
        <v>34.200000000000003</v>
      </c>
    </row>
    <row r="14" spans="1:38">
      <c r="A14" t="s">
        <v>463</v>
      </c>
      <c r="B14" s="17" t="s">
        <v>285</v>
      </c>
      <c r="C14">
        <f>Par_TradeRoute!C14</f>
        <v>37.299999999999997</v>
      </c>
      <c r="D14">
        <f>Par_TradeRoute!D14</f>
        <v>67.900000000000006</v>
      </c>
      <c r="E14">
        <f>Par_TradeRoute!E14</f>
        <v>47.2</v>
      </c>
      <c r="F14">
        <f>Par_TradeRoute!F14</f>
        <v>0</v>
      </c>
      <c r="G14">
        <f>Par_TradeRoute!G14</f>
        <v>74</v>
      </c>
    </row>
    <row r="15" spans="1:38">
      <c r="A15" t="s">
        <v>463</v>
      </c>
      <c r="B15" s="17" t="s">
        <v>286</v>
      </c>
      <c r="C15">
        <f>Par_TradeRoute!C15</f>
        <v>52.5</v>
      </c>
      <c r="D15">
        <f>Par_TradeRoute!D15</f>
        <v>35</v>
      </c>
      <c r="E15">
        <f>Par_TradeRoute!E15</f>
        <v>34.200000000000003</v>
      </c>
      <c r="F15">
        <f>Par_TradeRoute!F15</f>
        <v>74</v>
      </c>
      <c r="G15">
        <f>Par_TradeRoute!G15</f>
        <v>0</v>
      </c>
    </row>
    <row r="16" spans="1:38">
      <c r="A16" t="s">
        <v>463</v>
      </c>
      <c r="B16" s="17" t="s">
        <v>287</v>
      </c>
      <c r="C16">
        <f>Par_TradeRoute!C16</f>
        <v>0</v>
      </c>
      <c r="D16">
        <f>Par_TradeRoute!D16</f>
        <v>33.799999999999997</v>
      </c>
      <c r="E16">
        <f>Par_TradeRoute!E16</f>
        <v>44.3</v>
      </c>
      <c r="F16">
        <f>Par_TradeRoute!F16</f>
        <v>37.299999999999997</v>
      </c>
      <c r="G16">
        <f>Par_TradeRoute!G16</f>
        <v>52.5</v>
      </c>
    </row>
    <row r="17" spans="1:7">
      <c r="A17" t="s">
        <v>463</v>
      </c>
      <c r="B17" s="17" t="s">
        <v>288</v>
      </c>
      <c r="C17">
        <f>Par_TradeRoute!C17</f>
        <v>33.799999999999997</v>
      </c>
      <c r="D17">
        <f>Par_TradeRoute!D17</f>
        <v>0</v>
      </c>
      <c r="E17">
        <f>Par_TradeRoute!E17</f>
        <v>51.3</v>
      </c>
      <c r="F17">
        <f>Par_TradeRoute!F17</f>
        <v>67.900000000000006</v>
      </c>
      <c r="G17">
        <f>Par_TradeRoute!G17</f>
        <v>35</v>
      </c>
    </row>
    <row r="18" spans="1:7">
      <c r="A18" t="s">
        <v>463</v>
      </c>
      <c r="B18" s="17" t="s">
        <v>289</v>
      </c>
      <c r="C18">
        <f>Par_TradeRoute!C18</f>
        <v>44.3</v>
      </c>
      <c r="D18">
        <f>Par_TradeRoute!D18</f>
        <v>51.3</v>
      </c>
      <c r="E18">
        <f>Par_TradeRoute!E18</f>
        <v>0</v>
      </c>
      <c r="F18">
        <f>Par_TradeRoute!F18</f>
        <v>47.2</v>
      </c>
      <c r="G18">
        <f>Par_TradeRoute!G18</f>
        <v>34.200000000000003</v>
      </c>
    </row>
    <row r="19" spans="1:7">
      <c r="A19" t="s">
        <v>463</v>
      </c>
      <c r="B19" s="17" t="s">
        <v>290</v>
      </c>
      <c r="C19">
        <f>Par_TradeRoute!C19</f>
        <v>37.299999999999997</v>
      </c>
      <c r="D19">
        <f>Par_TradeRoute!D19</f>
        <v>67.900000000000006</v>
      </c>
      <c r="E19">
        <f>Par_TradeRoute!E19</f>
        <v>47.2</v>
      </c>
      <c r="F19">
        <f>Par_TradeRoute!F19</f>
        <v>0</v>
      </c>
      <c r="G19">
        <f>Par_TradeRoute!G19</f>
        <v>74</v>
      </c>
    </row>
    <row r="20" spans="1:7">
      <c r="A20" t="s">
        <v>463</v>
      </c>
      <c r="B20" s="17" t="s">
        <v>291</v>
      </c>
      <c r="C20">
        <f>Par_TradeRoute!C20</f>
        <v>52.5</v>
      </c>
      <c r="D20">
        <f>Par_TradeRoute!D20</f>
        <v>35</v>
      </c>
      <c r="E20">
        <f>Par_TradeRoute!E20</f>
        <v>34.200000000000003</v>
      </c>
      <c r="F20">
        <f>Par_TradeRoute!F20</f>
        <v>74</v>
      </c>
      <c r="G20">
        <f>Par_TradeRoute!G20</f>
        <v>0</v>
      </c>
    </row>
    <row r="21" spans="1:7">
      <c r="A21" t="s">
        <v>463</v>
      </c>
      <c r="B21" s="17" t="s">
        <v>292</v>
      </c>
      <c r="C21">
        <f>Par_TradeRoute!C21</f>
        <v>0</v>
      </c>
      <c r="D21">
        <f>Par_TradeRoute!D21</f>
        <v>33.799999999999997</v>
      </c>
      <c r="E21">
        <f>Par_TradeRoute!E21</f>
        <v>44.3</v>
      </c>
      <c r="F21">
        <f>Par_TradeRoute!F21</f>
        <v>37.299999999999997</v>
      </c>
      <c r="G21">
        <f>Par_TradeRoute!G21</f>
        <v>52.5</v>
      </c>
    </row>
    <row r="22" spans="1:7">
      <c r="A22" t="s">
        <v>463</v>
      </c>
      <c r="B22" s="17" t="s">
        <v>308</v>
      </c>
      <c r="C22">
        <f>Par_TradeRoute!C22</f>
        <v>33.799999999999997</v>
      </c>
      <c r="D22">
        <f>Par_TradeRoute!D22</f>
        <v>0</v>
      </c>
      <c r="E22">
        <f>Par_TradeRoute!E22</f>
        <v>51.3</v>
      </c>
      <c r="F22">
        <f>Par_TradeRoute!F22</f>
        <v>67.900000000000006</v>
      </c>
      <c r="G22">
        <f>Par_TradeRoute!G22</f>
        <v>35</v>
      </c>
    </row>
    <row r="23" spans="1:7">
      <c r="A23" t="s">
        <v>463</v>
      </c>
      <c r="B23" s="17" t="s">
        <v>293</v>
      </c>
      <c r="C23">
        <f>Par_TradeRoute!C23</f>
        <v>44.3</v>
      </c>
      <c r="D23">
        <f>Par_TradeRoute!D23</f>
        <v>51.3</v>
      </c>
      <c r="E23">
        <f>Par_TradeRoute!E23</f>
        <v>0</v>
      </c>
      <c r="F23">
        <f>Par_TradeRoute!F23</f>
        <v>47.2</v>
      </c>
      <c r="G23">
        <f>Par_TradeRoute!G23</f>
        <v>34.200000000000003</v>
      </c>
    </row>
    <row r="24" spans="1:7">
      <c r="A24" t="s">
        <v>463</v>
      </c>
      <c r="B24" s="17" t="s">
        <v>309</v>
      </c>
      <c r="C24">
        <f>Par_TradeRoute!C24</f>
        <v>37.299999999999997</v>
      </c>
      <c r="D24">
        <f>Par_TradeRoute!D24</f>
        <v>67.900000000000006</v>
      </c>
      <c r="E24">
        <f>Par_TradeRoute!E24</f>
        <v>47.2</v>
      </c>
      <c r="F24">
        <f>Par_TradeRoute!F24</f>
        <v>0</v>
      </c>
      <c r="G24">
        <f>Par_TradeRoute!G24</f>
        <v>74</v>
      </c>
    </row>
    <row r="25" spans="1:7">
      <c r="A25" t="s">
        <v>463</v>
      </c>
      <c r="B25" s="17" t="s">
        <v>296</v>
      </c>
      <c r="C25">
        <f>Par_TradeRoute!C25</f>
        <v>52.5</v>
      </c>
      <c r="D25">
        <f>Par_TradeRoute!D25</f>
        <v>35</v>
      </c>
      <c r="E25">
        <f>Par_TradeRoute!E25</f>
        <v>34.200000000000003</v>
      </c>
      <c r="F25">
        <f>Par_TradeRoute!F25</f>
        <v>74</v>
      </c>
      <c r="G25">
        <f>Par_TradeRoute!G25</f>
        <v>0</v>
      </c>
    </row>
    <row r="26" spans="1:7">
      <c r="A26" t="s">
        <v>463</v>
      </c>
      <c r="B26" s="17" t="s">
        <v>297</v>
      </c>
      <c r="C26" t="e">
        <f>Par_TradeRoute!#REF!</f>
        <v>#REF!</v>
      </c>
      <c r="D26" t="e">
        <f>Par_TradeRoute!#REF!</f>
        <v>#REF!</v>
      </c>
      <c r="E26" t="e">
        <f>Par_TradeRoute!#REF!</f>
        <v>#REF!</v>
      </c>
      <c r="F26" t="e">
        <f>Par_TradeRoute!#REF!</f>
        <v>#REF!</v>
      </c>
      <c r="G26" t="e">
        <f>Par_TradeRoute!#REF!</f>
        <v>#REF!</v>
      </c>
    </row>
    <row r="27" spans="1:7">
      <c r="A27" t="s">
        <v>463</v>
      </c>
      <c r="B27" s="17" t="s">
        <v>355</v>
      </c>
      <c r="C27">
        <f>Par_TradeRoute!C26</f>
        <v>0</v>
      </c>
      <c r="D27">
        <f>Par_TradeRoute!D26</f>
        <v>33.799999999999997</v>
      </c>
      <c r="E27">
        <f>Par_TradeRoute!E26</f>
        <v>44.3</v>
      </c>
      <c r="F27">
        <f>Par_TradeRoute!F26</f>
        <v>37.299999999999997</v>
      </c>
      <c r="G27">
        <f>Par_TradeRoute!G26</f>
        <v>52.5</v>
      </c>
    </row>
    <row r="28" spans="1:7">
      <c r="A28" t="s">
        <v>463</v>
      </c>
      <c r="B28" s="17" t="s">
        <v>298</v>
      </c>
      <c r="C28">
        <f>Par_TradeRoute!C27</f>
        <v>33.799999999999997</v>
      </c>
      <c r="D28">
        <f>Par_TradeRoute!D27</f>
        <v>0</v>
      </c>
      <c r="E28">
        <f>Par_TradeRoute!E27</f>
        <v>51.3</v>
      </c>
      <c r="F28">
        <f>Par_TradeRoute!F27</f>
        <v>67.900000000000006</v>
      </c>
      <c r="G28">
        <f>Par_TradeRoute!G27</f>
        <v>35</v>
      </c>
    </row>
    <row r="29" spans="1:7">
      <c r="A29" t="s">
        <v>463</v>
      </c>
      <c r="B29" s="17" t="s">
        <v>299</v>
      </c>
      <c r="C29">
        <f>Par_TradeRoute!C28</f>
        <v>44.3</v>
      </c>
      <c r="D29">
        <f>Par_TradeRoute!D28</f>
        <v>51.3</v>
      </c>
      <c r="E29">
        <f>Par_TradeRoute!E28</f>
        <v>0</v>
      </c>
      <c r="F29">
        <f>Par_TradeRoute!F28</f>
        <v>47.2</v>
      </c>
      <c r="G29">
        <f>Par_TradeRoute!G28</f>
        <v>34.200000000000003</v>
      </c>
    </row>
    <row r="30" spans="1:7">
      <c r="A30" t="s">
        <v>463</v>
      </c>
      <c r="B30" s="17" t="s">
        <v>300</v>
      </c>
      <c r="C30">
        <f>Par_TradeRoute!C29</f>
        <v>37.299999999999997</v>
      </c>
      <c r="D30">
        <f>Par_TradeRoute!D29</f>
        <v>67.900000000000006</v>
      </c>
      <c r="E30">
        <f>Par_TradeRoute!E29</f>
        <v>47.2</v>
      </c>
      <c r="F30">
        <f>Par_TradeRoute!F29</f>
        <v>0</v>
      </c>
      <c r="G30">
        <f>Par_TradeRoute!G29</f>
        <v>74</v>
      </c>
    </row>
    <row r="31" spans="1:7">
      <c r="A31" t="s">
        <v>463</v>
      </c>
      <c r="B31" s="17" t="s">
        <v>302</v>
      </c>
      <c r="C31">
        <f>Par_TradeRoute!C30</f>
        <v>52.5</v>
      </c>
      <c r="D31">
        <f>Par_TradeRoute!D30</f>
        <v>35</v>
      </c>
      <c r="E31">
        <f>Par_TradeRoute!E30</f>
        <v>34.200000000000003</v>
      </c>
      <c r="F31">
        <f>Par_TradeRoute!F30</f>
        <v>74</v>
      </c>
      <c r="G31">
        <f>Par_TradeRoute!G30</f>
        <v>0</v>
      </c>
    </row>
    <row r="32" spans="1:7">
      <c r="A32" t="s">
        <v>463</v>
      </c>
      <c r="B32" s="17" t="s">
        <v>303</v>
      </c>
      <c r="C32" t="e">
        <f>Par_TradeRoute!#REF!</f>
        <v>#REF!</v>
      </c>
      <c r="D32" t="e">
        <f>Par_TradeRoute!#REF!</f>
        <v>#REF!</v>
      </c>
      <c r="E32" t="e">
        <f>Par_TradeRoute!#REF!</f>
        <v>#REF!</v>
      </c>
      <c r="F32" t="e">
        <f>Par_TradeRoute!#REF!</f>
        <v>#REF!</v>
      </c>
      <c r="G32" t="e">
        <f>Par_TradeRoute!#REF!</f>
        <v>#REF!</v>
      </c>
    </row>
    <row r="33" spans="1:7">
      <c r="A33" t="s">
        <v>463</v>
      </c>
      <c r="B33" s="17" t="s">
        <v>304</v>
      </c>
      <c r="C33">
        <f>Par_TradeRoute!C31</f>
        <v>0</v>
      </c>
      <c r="D33">
        <f>Par_TradeRoute!D31</f>
        <v>4.4000000000000004</v>
      </c>
      <c r="E33">
        <f>Par_TradeRoute!E31</f>
        <v>0</v>
      </c>
      <c r="F33">
        <f>Par_TradeRoute!F31</f>
        <v>28.08</v>
      </c>
      <c r="G33">
        <f>Par_TradeRoute!G31</f>
        <v>0</v>
      </c>
    </row>
    <row r="34" spans="1:7">
      <c r="A34" t="s">
        <v>463</v>
      </c>
      <c r="B34" t="s">
        <v>354</v>
      </c>
      <c r="C34">
        <f>Par_TradeRoute!C32</f>
        <v>4.4000000000000004</v>
      </c>
      <c r="D34">
        <f>Par_TradeRoute!D32</f>
        <v>0</v>
      </c>
      <c r="E34">
        <f>Par_TradeRoute!E32</f>
        <v>32.700000000000003</v>
      </c>
      <c r="F34">
        <f>Par_TradeRoute!F32</f>
        <v>0</v>
      </c>
      <c r="G34">
        <f>Par_TradeRoute!G32</f>
        <v>22.6</v>
      </c>
    </row>
    <row r="35" spans="1:7">
      <c r="A35" t="s">
        <v>463</v>
      </c>
      <c r="B35" s="17" t="s">
        <v>306</v>
      </c>
      <c r="C35">
        <f>Par_TradeRoute!C33</f>
        <v>0</v>
      </c>
      <c r="D35">
        <f>Par_TradeRoute!D33</f>
        <v>32.700000000000003</v>
      </c>
      <c r="E35">
        <f>Par_TradeRoute!E33</f>
        <v>0</v>
      </c>
      <c r="F35">
        <f>Par_TradeRoute!F33</f>
        <v>0</v>
      </c>
      <c r="G35">
        <f>Par_TradeRoute!G33</f>
        <v>0</v>
      </c>
    </row>
    <row r="36" spans="1:7" s="33" customFormat="1">
      <c r="A36" s="33" t="s">
        <v>156</v>
      </c>
      <c r="B36" s="55" t="s">
        <v>278</v>
      </c>
      <c r="C36" s="33">
        <f>ROUND(IF(C6&gt;0, ((0.0014*C6+13.97)/1.15)*(10^12)/(1000*29308)/1000000, 0),3)</f>
        <v>0</v>
      </c>
      <c r="D36" s="33">
        <f t="shared" ref="D36:AF45" si="0">ROUND(IF(D6&gt;0, ((0.0014*D6+13.97)/1.15)*(10^12)/(1000*29308)/1000000, 0),3)</f>
        <v>0.41599999999999998</v>
      </c>
      <c r="E36" s="33">
        <f t="shared" si="0"/>
        <v>0.41599999999999998</v>
      </c>
      <c r="F36" s="33">
        <f t="shared" si="0"/>
        <v>0.41599999999999998</v>
      </c>
      <c r="G36" s="33">
        <f t="shared" si="0"/>
        <v>0.41699999999999998</v>
      </c>
    </row>
    <row r="37" spans="1:7">
      <c r="A37" t="s">
        <v>156</v>
      </c>
      <c r="B37" s="17" t="s">
        <v>280</v>
      </c>
      <c r="C37">
        <f t="shared" ref="C37:R52" si="1">ROUND(IF(C7&gt;0, ((0.0014*C7+13.97)/1.15)*(10^12)/(1000*29308)/1000000, 0),3)</f>
        <v>0.41599999999999998</v>
      </c>
      <c r="D37">
        <f t="shared" si="1"/>
        <v>0</v>
      </c>
      <c r="E37">
        <f t="shared" si="1"/>
        <v>0.41699999999999998</v>
      </c>
      <c r="F37">
        <f t="shared" si="1"/>
        <v>0.41699999999999998</v>
      </c>
      <c r="G37">
        <f t="shared" si="1"/>
        <v>0.41599999999999998</v>
      </c>
    </row>
    <row r="38" spans="1:7">
      <c r="A38" t="s">
        <v>156</v>
      </c>
      <c r="B38" s="17" t="s">
        <v>281</v>
      </c>
      <c r="C38">
        <f>ROUND(IF(C8&gt;0, ((0.0014*C8+13.97)/1.15)*(10^12)/(1000*29308)/1000000, 0),3)</f>
        <v>0.41599999999999998</v>
      </c>
      <c r="D38">
        <f t="shared" si="0"/>
        <v>0.41699999999999998</v>
      </c>
      <c r="E38">
        <f t="shared" si="0"/>
        <v>0</v>
      </c>
      <c r="F38">
        <f t="shared" si="0"/>
        <v>0.41599999999999998</v>
      </c>
      <c r="G38">
        <f t="shared" si="0"/>
        <v>0.41599999999999998</v>
      </c>
    </row>
    <row r="39" spans="1:7">
      <c r="A39" t="s">
        <v>156</v>
      </c>
      <c r="B39" s="17" t="s">
        <v>282</v>
      </c>
      <c r="C39">
        <f>ROUND(IF(C9&gt;0, ((0.0014*C9+13.97)/1.15)*(10^12)/(1000*29308)/1000000, 0),3)</f>
        <v>0.41599999999999998</v>
      </c>
      <c r="D39">
        <f t="shared" si="0"/>
        <v>0.41699999999999998</v>
      </c>
      <c r="E39">
        <f t="shared" si="0"/>
        <v>0.41599999999999998</v>
      </c>
      <c r="F39">
        <f t="shared" si="0"/>
        <v>0</v>
      </c>
      <c r="G39">
        <f t="shared" si="0"/>
        <v>0.41799999999999998</v>
      </c>
    </row>
    <row r="40" spans="1:7">
      <c r="A40" t="s">
        <v>156</v>
      </c>
      <c r="B40" s="17" t="s">
        <v>283</v>
      </c>
      <c r="C40">
        <f t="shared" si="1"/>
        <v>0.41699999999999998</v>
      </c>
      <c r="D40">
        <f t="shared" si="0"/>
        <v>0.41599999999999998</v>
      </c>
      <c r="E40">
        <f t="shared" si="0"/>
        <v>0.41599999999999998</v>
      </c>
      <c r="F40">
        <f t="shared" si="0"/>
        <v>0.41799999999999998</v>
      </c>
      <c r="G40">
        <f t="shared" si="0"/>
        <v>0</v>
      </c>
    </row>
    <row r="41" spans="1:7">
      <c r="A41" t="s">
        <v>156</v>
      </c>
      <c r="B41" s="17" t="s">
        <v>509</v>
      </c>
      <c r="C41">
        <f t="shared" si="1"/>
        <v>0</v>
      </c>
      <c r="D41">
        <f t="shared" si="0"/>
        <v>0.41599999999999998</v>
      </c>
      <c r="E41">
        <f t="shared" si="0"/>
        <v>0.41599999999999998</v>
      </c>
      <c r="F41">
        <f t="shared" si="0"/>
        <v>0.41599999999999998</v>
      </c>
      <c r="G41">
        <f t="shared" si="0"/>
        <v>0.41699999999999998</v>
      </c>
    </row>
    <row r="42" spans="1:7">
      <c r="A42" t="s">
        <v>156</v>
      </c>
      <c r="B42" s="17" t="s">
        <v>284</v>
      </c>
      <c r="C42">
        <f t="shared" si="1"/>
        <v>0.41599999999999998</v>
      </c>
      <c r="D42">
        <f t="shared" si="0"/>
        <v>0</v>
      </c>
      <c r="E42">
        <f t="shared" si="0"/>
        <v>0.41699999999999998</v>
      </c>
      <c r="F42">
        <f t="shared" si="0"/>
        <v>0.41699999999999998</v>
      </c>
      <c r="G42">
        <f t="shared" si="0"/>
        <v>0.41599999999999998</v>
      </c>
    </row>
    <row r="43" spans="1:7">
      <c r="A43" t="s">
        <v>156</v>
      </c>
      <c r="B43" s="17" t="s">
        <v>307</v>
      </c>
      <c r="C43">
        <f t="shared" si="1"/>
        <v>0.41599999999999998</v>
      </c>
      <c r="D43">
        <f t="shared" si="0"/>
        <v>0.41699999999999998</v>
      </c>
      <c r="E43">
        <f t="shared" si="0"/>
        <v>0</v>
      </c>
      <c r="F43">
        <f t="shared" si="0"/>
        <v>0.41599999999999998</v>
      </c>
      <c r="G43">
        <f t="shared" si="0"/>
        <v>0.41599999999999998</v>
      </c>
    </row>
    <row r="44" spans="1:7">
      <c r="A44" t="s">
        <v>156</v>
      </c>
      <c r="B44" s="17" t="s">
        <v>285</v>
      </c>
      <c r="C44">
        <f t="shared" si="1"/>
        <v>0.41599999999999998</v>
      </c>
      <c r="D44">
        <f t="shared" si="0"/>
        <v>0.41699999999999998</v>
      </c>
      <c r="E44">
        <f t="shared" si="0"/>
        <v>0.41599999999999998</v>
      </c>
      <c r="F44">
        <f t="shared" si="0"/>
        <v>0</v>
      </c>
      <c r="G44">
        <f t="shared" si="0"/>
        <v>0.41799999999999998</v>
      </c>
    </row>
    <row r="45" spans="1:7">
      <c r="A45" t="s">
        <v>156</v>
      </c>
      <c r="B45" s="17" t="s">
        <v>286</v>
      </c>
      <c r="C45">
        <f t="shared" si="1"/>
        <v>0.41699999999999998</v>
      </c>
      <c r="D45">
        <f t="shared" si="0"/>
        <v>0.41599999999999998</v>
      </c>
      <c r="E45">
        <f t="shared" si="0"/>
        <v>0.41599999999999998</v>
      </c>
      <c r="F45">
        <f t="shared" si="0"/>
        <v>0.41799999999999998</v>
      </c>
      <c r="G45">
        <f t="shared" si="0"/>
        <v>0</v>
      </c>
    </row>
    <row r="46" spans="1:7">
      <c r="A46" t="s">
        <v>156</v>
      </c>
      <c r="B46" s="17" t="s">
        <v>287</v>
      </c>
      <c r="C46">
        <f t="shared" si="1"/>
        <v>0</v>
      </c>
      <c r="D46">
        <f t="shared" ref="D45:AF54" si="2">ROUND(IF(D16&gt;0, ((0.0014*D16+13.97)/1.15)*(10^12)/(1000*29308)/1000000, 0),3)</f>
        <v>0.41599999999999998</v>
      </c>
      <c r="E46">
        <f t="shared" si="2"/>
        <v>0.41599999999999998</v>
      </c>
      <c r="F46">
        <f t="shared" si="2"/>
        <v>0.41599999999999998</v>
      </c>
      <c r="G46">
        <f t="shared" si="2"/>
        <v>0.41699999999999998</v>
      </c>
    </row>
    <row r="47" spans="1:7">
      <c r="A47" t="s">
        <v>156</v>
      </c>
      <c r="B47" s="17" t="s">
        <v>288</v>
      </c>
      <c r="C47">
        <f t="shared" si="1"/>
        <v>0.41599999999999998</v>
      </c>
      <c r="D47">
        <f t="shared" si="2"/>
        <v>0</v>
      </c>
      <c r="E47">
        <f t="shared" si="2"/>
        <v>0.41699999999999998</v>
      </c>
      <c r="F47">
        <f t="shared" si="2"/>
        <v>0.41699999999999998</v>
      </c>
      <c r="G47">
        <f t="shared" si="2"/>
        <v>0.41599999999999998</v>
      </c>
    </row>
    <row r="48" spans="1:7">
      <c r="A48" t="s">
        <v>156</v>
      </c>
      <c r="B48" s="17" t="s">
        <v>289</v>
      </c>
      <c r="C48">
        <f t="shared" si="1"/>
        <v>0.41599999999999998</v>
      </c>
      <c r="D48">
        <f t="shared" si="2"/>
        <v>0.41699999999999998</v>
      </c>
      <c r="E48">
        <f t="shared" si="2"/>
        <v>0</v>
      </c>
      <c r="F48">
        <f t="shared" si="2"/>
        <v>0.41599999999999998</v>
      </c>
      <c r="G48">
        <f t="shared" si="2"/>
        <v>0.41599999999999998</v>
      </c>
    </row>
    <row r="49" spans="1:7">
      <c r="A49" t="s">
        <v>156</v>
      </c>
      <c r="B49" s="17" t="s">
        <v>290</v>
      </c>
      <c r="C49">
        <f t="shared" si="1"/>
        <v>0.41599999999999998</v>
      </c>
      <c r="D49">
        <f t="shared" si="2"/>
        <v>0.41699999999999998</v>
      </c>
      <c r="E49">
        <f t="shared" si="2"/>
        <v>0.41599999999999998</v>
      </c>
      <c r="F49">
        <f t="shared" si="2"/>
        <v>0</v>
      </c>
      <c r="G49">
        <f t="shared" si="2"/>
        <v>0.41799999999999998</v>
      </c>
    </row>
    <row r="50" spans="1:7">
      <c r="A50" t="s">
        <v>156</v>
      </c>
      <c r="B50" s="17" t="s">
        <v>291</v>
      </c>
      <c r="C50">
        <f t="shared" si="1"/>
        <v>0.41699999999999998</v>
      </c>
      <c r="D50">
        <f t="shared" si="2"/>
        <v>0.41599999999999998</v>
      </c>
      <c r="E50">
        <f t="shared" si="2"/>
        <v>0.41599999999999998</v>
      </c>
      <c r="F50">
        <f t="shared" si="2"/>
        <v>0.41799999999999998</v>
      </c>
      <c r="G50">
        <f t="shared" si="2"/>
        <v>0</v>
      </c>
    </row>
    <row r="51" spans="1:7">
      <c r="A51" t="s">
        <v>156</v>
      </c>
      <c r="B51" s="17" t="s">
        <v>292</v>
      </c>
      <c r="C51">
        <f t="shared" si="1"/>
        <v>0</v>
      </c>
      <c r="D51">
        <f t="shared" si="2"/>
        <v>0.41599999999999998</v>
      </c>
      <c r="E51">
        <f t="shared" si="2"/>
        <v>0.41599999999999998</v>
      </c>
      <c r="F51">
        <f t="shared" si="2"/>
        <v>0.41599999999999998</v>
      </c>
      <c r="G51">
        <f t="shared" si="2"/>
        <v>0.41699999999999998</v>
      </c>
    </row>
    <row r="52" spans="1:7">
      <c r="A52" t="s">
        <v>156</v>
      </c>
      <c r="B52" s="17" t="s">
        <v>308</v>
      </c>
      <c r="C52">
        <f t="shared" si="1"/>
        <v>0.41599999999999998</v>
      </c>
      <c r="D52">
        <f t="shared" si="2"/>
        <v>0</v>
      </c>
      <c r="E52">
        <f t="shared" si="2"/>
        <v>0.41699999999999998</v>
      </c>
      <c r="F52">
        <f t="shared" si="2"/>
        <v>0.41699999999999998</v>
      </c>
      <c r="G52">
        <f t="shared" si="2"/>
        <v>0.41599999999999998</v>
      </c>
    </row>
    <row r="53" spans="1:7">
      <c r="A53" t="s">
        <v>156</v>
      </c>
      <c r="B53" s="17" t="s">
        <v>293</v>
      </c>
      <c r="C53">
        <f>ROUND(IF(C23&gt;0, ((0.0014*C23+13.97)/1.15)*(10^12)/(1000*29308)/1000000, 0),3)</f>
        <v>0.41599999999999998</v>
      </c>
      <c r="D53">
        <f t="shared" si="2"/>
        <v>0.41699999999999998</v>
      </c>
      <c r="E53">
        <f t="shared" si="2"/>
        <v>0</v>
      </c>
      <c r="F53">
        <f t="shared" si="2"/>
        <v>0.41599999999999998</v>
      </c>
      <c r="G53">
        <f t="shared" si="2"/>
        <v>0.41599999999999998</v>
      </c>
    </row>
    <row r="54" spans="1:7">
      <c r="A54" t="s">
        <v>156</v>
      </c>
      <c r="B54" s="17" t="s">
        <v>309</v>
      </c>
      <c r="C54">
        <f t="shared" ref="C53:R65" si="3">ROUND(IF(C24&gt;0, ((0.0014*C24+13.97)/1.15)*(10^12)/(1000*29308)/1000000, 0),3)</f>
        <v>0.41599999999999998</v>
      </c>
      <c r="D54">
        <f t="shared" si="2"/>
        <v>0.41699999999999998</v>
      </c>
      <c r="E54">
        <f t="shared" si="2"/>
        <v>0.41599999999999998</v>
      </c>
      <c r="F54">
        <f t="shared" si="2"/>
        <v>0</v>
      </c>
      <c r="G54">
        <f t="shared" ref="D54:AF62" si="4">ROUND(IF(G24&gt;0, ((0.0014*G24+13.97)/1.15)*(10^12)/(1000*29308)/1000000, 0),3)</f>
        <v>0.41799999999999998</v>
      </c>
    </row>
    <row r="55" spans="1:7">
      <c r="A55" t="s">
        <v>156</v>
      </c>
      <c r="B55" s="17" t="s">
        <v>296</v>
      </c>
      <c r="C55">
        <f t="shared" si="3"/>
        <v>0.41699999999999998</v>
      </c>
      <c r="D55">
        <f t="shared" si="4"/>
        <v>0.41599999999999998</v>
      </c>
      <c r="E55">
        <f t="shared" si="4"/>
        <v>0.41599999999999998</v>
      </c>
      <c r="F55">
        <f t="shared" si="4"/>
        <v>0.41799999999999998</v>
      </c>
      <c r="G55">
        <f t="shared" si="4"/>
        <v>0</v>
      </c>
    </row>
    <row r="56" spans="1:7">
      <c r="A56" t="s">
        <v>156</v>
      </c>
      <c r="B56" s="17" t="s">
        <v>297</v>
      </c>
      <c r="C56" t="e">
        <f t="shared" si="3"/>
        <v>#REF!</v>
      </c>
      <c r="D56" t="e">
        <f t="shared" si="4"/>
        <v>#REF!</v>
      </c>
      <c r="E56" t="e">
        <f t="shared" si="4"/>
        <v>#REF!</v>
      </c>
      <c r="F56" t="e">
        <f t="shared" si="4"/>
        <v>#REF!</v>
      </c>
      <c r="G56" t="e">
        <f t="shared" si="4"/>
        <v>#REF!</v>
      </c>
    </row>
    <row r="57" spans="1:7">
      <c r="A57" t="s">
        <v>156</v>
      </c>
      <c r="B57" s="17" t="s">
        <v>355</v>
      </c>
      <c r="C57">
        <f t="shared" si="3"/>
        <v>0</v>
      </c>
      <c r="D57">
        <f t="shared" si="4"/>
        <v>0.41599999999999998</v>
      </c>
      <c r="E57">
        <f t="shared" si="4"/>
        <v>0.41599999999999998</v>
      </c>
      <c r="F57">
        <f t="shared" si="4"/>
        <v>0.41599999999999998</v>
      </c>
      <c r="G57">
        <f t="shared" si="4"/>
        <v>0.41699999999999998</v>
      </c>
    </row>
    <row r="58" spans="1:7">
      <c r="A58" t="s">
        <v>156</v>
      </c>
      <c r="B58" s="17" t="s">
        <v>298</v>
      </c>
      <c r="C58">
        <f t="shared" si="3"/>
        <v>0.41599999999999998</v>
      </c>
      <c r="D58">
        <f t="shared" si="4"/>
        <v>0</v>
      </c>
      <c r="E58">
        <f t="shared" si="4"/>
        <v>0.41699999999999998</v>
      </c>
      <c r="F58">
        <f t="shared" si="4"/>
        <v>0.41699999999999998</v>
      </c>
      <c r="G58">
        <f t="shared" si="4"/>
        <v>0.41599999999999998</v>
      </c>
    </row>
    <row r="59" spans="1:7">
      <c r="A59" t="s">
        <v>156</v>
      </c>
      <c r="B59" s="17" t="s">
        <v>299</v>
      </c>
      <c r="C59">
        <f t="shared" si="3"/>
        <v>0.41599999999999998</v>
      </c>
      <c r="D59">
        <f t="shared" si="4"/>
        <v>0.41699999999999998</v>
      </c>
      <c r="E59">
        <f t="shared" si="4"/>
        <v>0</v>
      </c>
      <c r="F59">
        <f t="shared" si="4"/>
        <v>0.41599999999999998</v>
      </c>
      <c r="G59">
        <f t="shared" si="4"/>
        <v>0.41599999999999998</v>
      </c>
    </row>
    <row r="60" spans="1:7">
      <c r="A60" t="s">
        <v>156</v>
      </c>
      <c r="B60" s="17" t="s">
        <v>300</v>
      </c>
      <c r="C60">
        <f t="shared" si="3"/>
        <v>0.41599999999999998</v>
      </c>
      <c r="D60">
        <f t="shared" si="4"/>
        <v>0.41699999999999998</v>
      </c>
      <c r="E60">
        <f t="shared" si="4"/>
        <v>0.41599999999999998</v>
      </c>
      <c r="F60">
        <f t="shared" si="4"/>
        <v>0</v>
      </c>
      <c r="G60">
        <f t="shared" si="4"/>
        <v>0.41799999999999998</v>
      </c>
    </row>
    <row r="61" spans="1:7">
      <c r="A61" t="s">
        <v>156</v>
      </c>
      <c r="B61" s="17" t="s">
        <v>302</v>
      </c>
      <c r="C61">
        <f t="shared" si="3"/>
        <v>0.41699999999999998</v>
      </c>
      <c r="D61">
        <f t="shared" si="4"/>
        <v>0.41599999999999998</v>
      </c>
      <c r="E61">
        <f t="shared" si="4"/>
        <v>0.41599999999999998</v>
      </c>
      <c r="F61">
        <f t="shared" si="4"/>
        <v>0.41799999999999998</v>
      </c>
      <c r="G61">
        <f t="shared" si="4"/>
        <v>0</v>
      </c>
    </row>
    <row r="62" spans="1:7">
      <c r="A62" t="s">
        <v>156</v>
      </c>
      <c r="B62" s="17" t="s">
        <v>303</v>
      </c>
      <c r="C62" t="e">
        <f t="shared" si="3"/>
        <v>#REF!</v>
      </c>
      <c r="D62" t="e">
        <f t="shared" si="4"/>
        <v>#REF!</v>
      </c>
      <c r="E62" t="e">
        <f t="shared" si="4"/>
        <v>#REF!</v>
      </c>
      <c r="F62" t="e">
        <f t="shared" si="4"/>
        <v>#REF!</v>
      </c>
      <c r="G62" t="e">
        <f t="shared" si="4"/>
        <v>#REF!</v>
      </c>
    </row>
    <row r="63" spans="1:7">
      <c r="A63" t="s">
        <v>156</v>
      </c>
      <c r="B63" s="17" t="s">
        <v>304</v>
      </c>
      <c r="C63">
        <f t="shared" si="3"/>
        <v>0</v>
      </c>
      <c r="D63">
        <f t="shared" si="3"/>
        <v>0.41499999999999998</v>
      </c>
      <c r="E63">
        <f t="shared" si="3"/>
        <v>0</v>
      </c>
      <c r="F63">
        <f t="shared" si="3"/>
        <v>0.41599999999999998</v>
      </c>
      <c r="G63">
        <f t="shared" si="3"/>
        <v>0</v>
      </c>
    </row>
    <row r="64" spans="1:7">
      <c r="A64" t="s">
        <v>156</v>
      </c>
      <c r="B64" t="s">
        <v>354</v>
      </c>
      <c r="C64">
        <f t="shared" si="3"/>
        <v>0.41499999999999998</v>
      </c>
      <c r="D64">
        <f t="shared" si="3"/>
        <v>0</v>
      </c>
      <c r="E64">
        <f t="shared" si="3"/>
        <v>0.41599999999999998</v>
      </c>
      <c r="F64">
        <f t="shared" si="3"/>
        <v>0</v>
      </c>
      <c r="G64">
        <f t="shared" si="3"/>
        <v>0.41499999999999998</v>
      </c>
    </row>
    <row r="65" spans="1:7">
      <c r="A65" t="s">
        <v>156</v>
      </c>
      <c r="B65" s="17" t="s">
        <v>306</v>
      </c>
      <c r="C65">
        <f t="shared" si="3"/>
        <v>0</v>
      </c>
      <c r="D65">
        <f t="shared" si="3"/>
        <v>0.41599999999999998</v>
      </c>
      <c r="E65">
        <f t="shared" si="3"/>
        <v>0</v>
      </c>
      <c r="F65">
        <f t="shared" si="3"/>
        <v>0</v>
      </c>
      <c r="G65">
        <f t="shared" si="3"/>
        <v>0</v>
      </c>
    </row>
    <row r="66" spans="1:7" s="33" customFormat="1">
      <c r="A66" s="33" t="s">
        <v>146</v>
      </c>
      <c r="B66" s="52" t="s">
        <v>509</v>
      </c>
      <c r="C66" s="33">
        <f>C36</f>
        <v>0</v>
      </c>
      <c r="D66" s="33">
        <f t="shared" ref="D66:AF75" si="5">D36</f>
        <v>0.41599999999999998</v>
      </c>
      <c r="E66" s="33">
        <f t="shared" si="5"/>
        <v>0.41599999999999998</v>
      </c>
      <c r="F66" s="33">
        <f t="shared" si="5"/>
        <v>0.41599999999999998</v>
      </c>
      <c r="G66" s="33">
        <f t="shared" si="5"/>
        <v>0.41699999999999998</v>
      </c>
    </row>
    <row r="67" spans="1:7">
      <c r="A67" t="s">
        <v>146</v>
      </c>
      <c r="B67" s="52" t="s">
        <v>510</v>
      </c>
      <c r="C67">
        <f t="shared" ref="C67:R82" si="6">C37</f>
        <v>0.41599999999999998</v>
      </c>
      <c r="D67">
        <f t="shared" si="6"/>
        <v>0</v>
      </c>
      <c r="E67">
        <f t="shared" si="6"/>
        <v>0.41699999999999998</v>
      </c>
      <c r="F67">
        <f t="shared" si="6"/>
        <v>0.41699999999999998</v>
      </c>
      <c r="G67">
        <f t="shared" si="6"/>
        <v>0.41599999999999998</v>
      </c>
    </row>
    <row r="68" spans="1:7">
      <c r="A68" t="s">
        <v>146</v>
      </c>
      <c r="B68" s="52" t="s">
        <v>511</v>
      </c>
      <c r="C68">
        <f t="shared" si="6"/>
        <v>0.41599999999999998</v>
      </c>
      <c r="D68">
        <f t="shared" si="5"/>
        <v>0.41699999999999998</v>
      </c>
      <c r="E68">
        <f t="shared" si="5"/>
        <v>0</v>
      </c>
      <c r="F68">
        <f t="shared" si="5"/>
        <v>0.41599999999999998</v>
      </c>
      <c r="G68">
        <f t="shared" si="5"/>
        <v>0.41599999999999998</v>
      </c>
    </row>
    <row r="69" spans="1:7">
      <c r="A69" t="s">
        <v>146</v>
      </c>
      <c r="B69" s="52" t="s">
        <v>512</v>
      </c>
      <c r="C69">
        <f t="shared" si="6"/>
        <v>0.41599999999999998</v>
      </c>
      <c r="D69">
        <f t="shared" si="5"/>
        <v>0.41699999999999998</v>
      </c>
      <c r="E69">
        <f t="shared" si="5"/>
        <v>0.41599999999999998</v>
      </c>
      <c r="F69">
        <f t="shared" si="5"/>
        <v>0</v>
      </c>
      <c r="G69">
        <f t="shared" si="5"/>
        <v>0.41799999999999998</v>
      </c>
    </row>
    <row r="70" spans="1:7">
      <c r="A70" t="s">
        <v>146</v>
      </c>
      <c r="B70" s="52" t="s">
        <v>513</v>
      </c>
      <c r="C70">
        <f t="shared" si="6"/>
        <v>0.41699999999999998</v>
      </c>
      <c r="D70">
        <f t="shared" si="5"/>
        <v>0.41599999999999998</v>
      </c>
      <c r="E70">
        <f t="shared" si="5"/>
        <v>0.41599999999999998</v>
      </c>
      <c r="F70">
        <f t="shared" si="5"/>
        <v>0.41799999999999998</v>
      </c>
      <c r="G70">
        <f t="shared" si="5"/>
        <v>0</v>
      </c>
    </row>
    <row r="71" spans="1:7">
      <c r="A71" t="s">
        <v>146</v>
      </c>
      <c r="B71" s="17" t="s">
        <v>509</v>
      </c>
      <c r="C71">
        <f t="shared" si="6"/>
        <v>0</v>
      </c>
      <c r="D71">
        <f t="shared" si="5"/>
        <v>0.41599999999999998</v>
      </c>
      <c r="E71">
        <f t="shared" si="5"/>
        <v>0.41599999999999998</v>
      </c>
      <c r="F71">
        <f t="shared" si="5"/>
        <v>0.41599999999999998</v>
      </c>
      <c r="G71">
        <f t="shared" si="5"/>
        <v>0.41699999999999998</v>
      </c>
    </row>
    <row r="72" spans="1:7">
      <c r="A72" t="s">
        <v>146</v>
      </c>
      <c r="B72" s="17" t="s">
        <v>284</v>
      </c>
      <c r="C72">
        <f t="shared" si="6"/>
        <v>0.41599999999999998</v>
      </c>
      <c r="D72">
        <f t="shared" si="5"/>
        <v>0</v>
      </c>
      <c r="E72">
        <f t="shared" si="5"/>
        <v>0.41699999999999998</v>
      </c>
      <c r="F72">
        <f t="shared" si="5"/>
        <v>0.41699999999999998</v>
      </c>
      <c r="G72">
        <f t="shared" si="5"/>
        <v>0.41599999999999998</v>
      </c>
    </row>
    <row r="73" spans="1:7">
      <c r="A73" t="s">
        <v>146</v>
      </c>
      <c r="B73" s="17" t="s">
        <v>307</v>
      </c>
      <c r="C73">
        <f t="shared" si="6"/>
        <v>0.41599999999999998</v>
      </c>
      <c r="D73">
        <f t="shared" si="5"/>
        <v>0.41699999999999998</v>
      </c>
      <c r="E73">
        <f t="shared" si="5"/>
        <v>0</v>
      </c>
      <c r="F73">
        <f t="shared" si="5"/>
        <v>0.41599999999999998</v>
      </c>
      <c r="G73">
        <f t="shared" si="5"/>
        <v>0.41599999999999998</v>
      </c>
    </row>
    <row r="74" spans="1:7">
      <c r="A74" t="s">
        <v>146</v>
      </c>
      <c r="B74" s="17" t="s">
        <v>285</v>
      </c>
      <c r="C74">
        <f t="shared" si="6"/>
        <v>0.41599999999999998</v>
      </c>
      <c r="D74">
        <f t="shared" si="5"/>
        <v>0.41699999999999998</v>
      </c>
      <c r="E74">
        <f t="shared" si="5"/>
        <v>0.41599999999999998</v>
      </c>
      <c r="F74">
        <f t="shared" si="5"/>
        <v>0</v>
      </c>
      <c r="G74">
        <f t="shared" si="5"/>
        <v>0.41799999999999998</v>
      </c>
    </row>
    <row r="75" spans="1:7">
      <c r="A75" t="s">
        <v>146</v>
      </c>
      <c r="B75" s="17" t="s">
        <v>286</v>
      </c>
      <c r="C75">
        <f t="shared" si="6"/>
        <v>0.41699999999999998</v>
      </c>
      <c r="D75">
        <f t="shared" si="5"/>
        <v>0.41599999999999998</v>
      </c>
      <c r="E75">
        <f t="shared" si="5"/>
        <v>0.41599999999999998</v>
      </c>
      <c r="F75">
        <f t="shared" si="5"/>
        <v>0.41799999999999998</v>
      </c>
      <c r="G75">
        <f t="shared" si="5"/>
        <v>0</v>
      </c>
    </row>
    <row r="76" spans="1:7">
      <c r="A76" t="s">
        <v>146</v>
      </c>
      <c r="B76" s="17" t="s">
        <v>287</v>
      </c>
      <c r="C76">
        <f t="shared" si="6"/>
        <v>0</v>
      </c>
      <c r="D76">
        <f t="shared" ref="D75:AF84" si="7">D46</f>
        <v>0.41599999999999998</v>
      </c>
      <c r="E76">
        <f t="shared" si="7"/>
        <v>0.41599999999999998</v>
      </c>
      <c r="F76">
        <f t="shared" si="7"/>
        <v>0.41599999999999998</v>
      </c>
      <c r="G76">
        <f t="shared" si="7"/>
        <v>0.41699999999999998</v>
      </c>
    </row>
    <row r="77" spans="1:7">
      <c r="A77" t="s">
        <v>146</v>
      </c>
      <c r="B77" s="17" t="s">
        <v>288</v>
      </c>
      <c r="C77">
        <f t="shared" si="6"/>
        <v>0.41599999999999998</v>
      </c>
      <c r="D77">
        <f t="shared" si="7"/>
        <v>0</v>
      </c>
      <c r="E77">
        <f t="shared" si="7"/>
        <v>0.41699999999999998</v>
      </c>
      <c r="F77">
        <f t="shared" si="7"/>
        <v>0.41699999999999998</v>
      </c>
      <c r="G77">
        <f t="shared" si="7"/>
        <v>0.41599999999999998</v>
      </c>
    </row>
    <row r="78" spans="1:7">
      <c r="A78" t="s">
        <v>146</v>
      </c>
      <c r="B78" s="17" t="s">
        <v>289</v>
      </c>
      <c r="C78">
        <f t="shared" si="6"/>
        <v>0.41599999999999998</v>
      </c>
      <c r="D78">
        <f t="shared" si="7"/>
        <v>0.41699999999999998</v>
      </c>
      <c r="E78">
        <f t="shared" si="7"/>
        <v>0</v>
      </c>
      <c r="F78">
        <f t="shared" si="7"/>
        <v>0.41599999999999998</v>
      </c>
      <c r="G78">
        <f t="shared" si="7"/>
        <v>0.41599999999999998</v>
      </c>
    </row>
    <row r="79" spans="1:7">
      <c r="A79" t="s">
        <v>146</v>
      </c>
      <c r="B79" s="17" t="s">
        <v>290</v>
      </c>
      <c r="C79">
        <f t="shared" si="6"/>
        <v>0.41599999999999998</v>
      </c>
      <c r="D79">
        <f t="shared" si="7"/>
        <v>0.41699999999999998</v>
      </c>
      <c r="E79">
        <f t="shared" si="7"/>
        <v>0.41599999999999998</v>
      </c>
      <c r="F79">
        <f t="shared" si="7"/>
        <v>0</v>
      </c>
      <c r="G79">
        <f t="shared" si="7"/>
        <v>0.41799999999999998</v>
      </c>
    </row>
    <row r="80" spans="1:7">
      <c r="A80" t="s">
        <v>146</v>
      </c>
      <c r="B80" s="17" t="s">
        <v>291</v>
      </c>
      <c r="C80">
        <f t="shared" si="6"/>
        <v>0.41699999999999998</v>
      </c>
      <c r="D80">
        <f t="shared" si="7"/>
        <v>0.41599999999999998</v>
      </c>
      <c r="E80">
        <f t="shared" si="7"/>
        <v>0.41599999999999998</v>
      </c>
      <c r="F80">
        <f t="shared" si="7"/>
        <v>0.41799999999999998</v>
      </c>
      <c r="G80">
        <f t="shared" si="7"/>
        <v>0</v>
      </c>
    </row>
    <row r="81" spans="1:7">
      <c r="A81" t="s">
        <v>146</v>
      </c>
      <c r="B81" s="17" t="s">
        <v>292</v>
      </c>
      <c r="C81">
        <f t="shared" si="6"/>
        <v>0</v>
      </c>
      <c r="D81">
        <f t="shared" si="7"/>
        <v>0.41599999999999998</v>
      </c>
      <c r="E81">
        <f t="shared" si="7"/>
        <v>0.41599999999999998</v>
      </c>
      <c r="F81">
        <f t="shared" si="7"/>
        <v>0.41599999999999998</v>
      </c>
      <c r="G81">
        <f t="shared" si="7"/>
        <v>0.41699999999999998</v>
      </c>
    </row>
    <row r="82" spans="1:7">
      <c r="A82" t="s">
        <v>146</v>
      </c>
      <c r="B82" s="17" t="s">
        <v>308</v>
      </c>
      <c r="C82">
        <f>C52</f>
        <v>0.41599999999999998</v>
      </c>
      <c r="D82">
        <f t="shared" si="7"/>
        <v>0</v>
      </c>
      <c r="E82">
        <f t="shared" si="7"/>
        <v>0.41699999999999998</v>
      </c>
      <c r="F82">
        <f t="shared" si="7"/>
        <v>0.41699999999999998</v>
      </c>
      <c r="G82">
        <f t="shared" si="7"/>
        <v>0.41599999999999998</v>
      </c>
    </row>
    <row r="83" spans="1:7">
      <c r="A83" t="s">
        <v>146</v>
      </c>
      <c r="B83" s="17" t="s">
        <v>293</v>
      </c>
      <c r="C83">
        <f t="shared" ref="C83:C94" si="8">C53</f>
        <v>0.41599999999999998</v>
      </c>
      <c r="D83">
        <f t="shared" si="7"/>
        <v>0.41699999999999998</v>
      </c>
      <c r="E83">
        <f t="shared" si="7"/>
        <v>0</v>
      </c>
      <c r="F83">
        <f t="shared" si="7"/>
        <v>0.41599999999999998</v>
      </c>
      <c r="G83">
        <f t="shared" si="7"/>
        <v>0.41599999999999998</v>
      </c>
    </row>
    <row r="84" spans="1:7">
      <c r="A84" t="s">
        <v>146</v>
      </c>
      <c r="B84" s="17" t="s">
        <v>309</v>
      </c>
      <c r="C84">
        <f t="shared" si="8"/>
        <v>0.41599999999999998</v>
      </c>
      <c r="D84">
        <f t="shared" si="7"/>
        <v>0.41699999999999998</v>
      </c>
      <c r="E84">
        <f t="shared" si="7"/>
        <v>0.41599999999999998</v>
      </c>
      <c r="F84">
        <f t="shared" si="7"/>
        <v>0</v>
      </c>
      <c r="G84">
        <f t="shared" ref="D84:AF92" si="9">G54</f>
        <v>0.41799999999999998</v>
      </c>
    </row>
    <row r="85" spans="1:7">
      <c r="A85" t="s">
        <v>146</v>
      </c>
      <c r="B85" s="17" t="s">
        <v>296</v>
      </c>
      <c r="C85">
        <f t="shared" si="8"/>
        <v>0.41699999999999998</v>
      </c>
      <c r="D85">
        <f t="shared" si="9"/>
        <v>0.41599999999999998</v>
      </c>
      <c r="E85">
        <f t="shared" si="9"/>
        <v>0.41599999999999998</v>
      </c>
      <c r="F85">
        <f t="shared" si="9"/>
        <v>0.41799999999999998</v>
      </c>
      <c r="G85">
        <f t="shared" si="9"/>
        <v>0</v>
      </c>
    </row>
    <row r="86" spans="1:7">
      <c r="A86" t="s">
        <v>146</v>
      </c>
      <c r="B86" s="17" t="s">
        <v>297</v>
      </c>
      <c r="C86" t="e">
        <f t="shared" si="8"/>
        <v>#REF!</v>
      </c>
      <c r="D86" t="e">
        <f t="shared" si="9"/>
        <v>#REF!</v>
      </c>
      <c r="E86" t="e">
        <f t="shared" si="9"/>
        <v>#REF!</v>
      </c>
      <c r="F86" t="e">
        <f t="shared" si="9"/>
        <v>#REF!</v>
      </c>
      <c r="G86" t="e">
        <f t="shared" si="9"/>
        <v>#REF!</v>
      </c>
    </row>
    <row r="87" spans="1:7">
      <c r="A87" t="s">
        <v>146</v>
      </c>
      <c r="B87" s="17" t="s">
        <v>355</v>
      </c>
      <c r="C87">
        <f t="shared" si="8"/>
        <v>0</v>
      </c>
      <c r="D87">
        <f t="shared" si="9"/>
        <v>0.41599999999999998</v>
      </c>
      <c r="E87">
        <f t="shared" si="9"/>
        <v>0.41599999999999998</v>
      </c>
      <c r="F87">
        <f t="shared" si="9"/>
        <v>0.41599999999999998</v>
      </c>
      <c r="G87">
        <f t="shared" si="9"/>
        <v>0.41699999999999998</v>
      </c>
    </row>
    <row r="88" spans="1:7">
      <c r="A88" t="s">
        <v>146</v>
      </c>
      <c r="B88" s="17" t="s">
        <v>298</v>
      </c>
      <c r="C88">
        <f t="shared" si="8"/>
        <v>0.41599999999999998</v>
      </c>
      <c r="D88">
        <f t="shared" si="9"/>
        <v>0</v>
      </c>
      <c r="E88">
        <f t="shared" si="9"/>
        <v>0.41699999999999998</v>
      </c>
      <c r="F88">
        <f t="shared" si="9"/>
        <v>0.41699999999999998</v>
      </c>
      <c r="G88">
        <f t="shared" si="9"/>
        <v>0.41599999999999998</v>
      </c>
    </row>
    <row r="89" spans="1:7">
      <c r="A89" t="s">
        <v>146</v>
      </c>
      <c r="B89" s="17" t="s">
        <v>299</v>
      </c>
      <c r="C89">
        <f t="shared" si="8"/>
        <v>0.41599999999999998</v>
      </c>
      <c r="D89">
        <f t="shared" si="9"/>
        <v>0.41699999999999998</v>
      </c>
      <c r="E89">
        <f t="shared" si="9"/>
        <v>0</v>
      </c>
      <c r="F89">
        <f t="shared" si="9"/>
        <v>0.41599999999999998</v>
      </c>
      <c r="G89">
        <f t="shared" si="9"/>
        <v>0.41599999999999998</v>
      </c>
    </row>
    <row r="90" spans="1:7">
      <c r="A90" t="s">
        <v>146</v>
      </c>
      <c r="B90" s="17" t="s">
        <v>300</v>
      </c>
      <c r="C90">
        <f t="shared" si="8"/>
        <v>0.41599999999999998</v>
      </c>
      <c r="D90">
        <f t="shared" si="9"/>
        <v>0.41699999999999998</v>
      </c>
      <c r="E90">
        <f t="shared" si="9"/>
        <v>0.41599999999999998</v>
      </c>
      <c r="F90">
        <f t="shared" si="9"/>
        <v>0</v>
      </c>
      <c r="G90">
        <f t="shared" si="9"/>
        <v>0.41799999999999998</v>
      </c>
    </row>
    <row r="91" spans="1:7">
      <c r="A91" t="s">
        <v>146</v>
      </c>
      <c r="B91" s="17" t="s">
        <v>302</v>
      </c>
      <c r="C91">
        <f t="shared" si="8"/>
        <v>0.41699999999999998</v>
      </c>
      <c r="D91">
        <f t="shared" si="9"/>
        <v>0.41599999999999998</v>
      </c>
      <c r="E91">
        <f t="shared" si="9"/>
        <v>0.41599999999999998</v>
      </c>
      <c r="F91">
        <f t="shared" si="9"/>
        <v>0.41799999999999998</v>
      </c>
      <c r="G91">
        <f t="shared" si="9"/>
        <v>0</v>
      </c>
    </row>
    <row r="92" spans="1:7">
      <c r="A92" t="s">
        <v>146</v>
      </c>
      <c r="B92" s="17" t="s">
        <v>303</v>
      </c>
      <c r="C92" t="e">
        <f t="shared" si="8"/>
        <v>#REF!</v>
      </c>
      <c r="D92" t="e">
        <f t="shared" si="9"/>
        <v>#REF!</v>
      </c>
      <c r="E92" t="e">
        <f t="shared" si="9"/>
        <v>#REF!</v>
      </c>
      <c r="F92" t="e">
        <f t="shared" si="9"/>
        <v>#REF!</v>
      </c>
      <c r="G92" t="e">
        <f t="shared" si="9"/>
        <v>#REF!</v>
      </c>
    </row>
    <row r="93" spans="1:7">
      <c r="A93" t="s">
        <v>146</v>
      </c>
      <c r="B93" s="17" t="s">
        <v>304</v>
      </c>
      <c r="C93">
        <f t="shared" si="8"/>
        <v>0</v>
      </c>
      <c r="D93">
        <f t="shared" ref="D92:AF95" si="10">D63</f>
        <v>0.41499999999999998</v>
      </c>
      <c r="E93">
        <f t="shared" si="10"/>
        <v>0</v>
      </c>
      <c r="F93">
        <f t="shared" si="10"/>
        <v>0.41599999999999998</v>
      </c>
      <c r="G93">
        <f t="shared" si="10"/>
        <v>0</v>
      </c>
    </row>
    <row r="94" spans="1:7">
      <c r="A94" t="s">
        <v>146</v>
      </c>
      <c r="B94" t="s">
        <v>354</v>
      </c>
      <c r="C94">
        <f t="shared" si="8"/>
        <v>0.41499999999999998</v>
      </c>
      <c r="D94">
        <f t="shared" si="10"/>
        <v>0</v>
      </c>
      <c r="E94">
        <f t="shared" si="10"/>
        <v>0.41599999999999998</v>
      </c>
      <c r="F94">
        <f t="shared" si="10"/>
        <v>0</v>
      </c>
      <c r="G94">
        <f t="shared" si="10"/>
        <v>0.41499999999999998</v>
      </c>
    </row>
    <row r="95" spans="1:7">
      <c r="A95" t="s">
        <v>146</v>
      </c>
      <c r="B95" s="17" t="s">
        <v>306</v>
      </c>
      <c r="C95">
        <f>C65</f>
        <v>0</v>
      </c>
      <c r="D95">
        <f t="shared" si="10"/>
        <v>0.41599999999999998</v>
      </c>
      <c r="E95">
        <f t="shared" si="10"/>
        <v>0</v>
      </c>
      <c r="F95">
        <f t="shared" si="10"/>
        <v>0</v>
      </c>
      <c r="G95">
        <f t="shared" si="10"/>
        <v>0</v>
      </c>
    </row>
    <row r="96" spans="1:7" s="33" customFormat="1">
      <c r="A96" s="33" t="s">
        <v>143</v>
      </c>
      <c r="B96" s="52" t="s">
        <v>509</v>
      </c>
      <c r="C96" s="33">
        <f>ROUND((EXP(7.032824+1*0.622482)*((C6/1.852)^ 0.40303))/(1.15*0.0059)/1000000,3)</f>
        <v>0</v>
      </c>
      <c r="D96" s="33">
        <f t="shared" ref="D96:AF105" si="11">ROUND((EXP(7.032824+1*0.622482)*((D6/1.852)^ 0.40303))/(1.15*0.0059)/1000000,3)</f>
        <v>1.0029999999999999</v>
      </c>
      <c r="E96" s="33">
        <f t="shared" si="11"/>
        <v>1.119</v>
      </c>
      <c r="F96" s="33">
        <f t="shared" si="11"/>
        <v>1.044</v>
      </c>
      <c r="G96" s="33">
        <f t="shared" si="11"/>
        <v>1.198</v>
      </c>
    </row>
    <row r="97" spans="1:7">
      <c r="A97" t="s">
        <v>143</v>
      </c>
      <c r="B97" s="52" t="s">
        <v>510</v>
      </c>
      <c r="C97">
        <f t="shared" ref="C97:R112" si="12">ROUND((EXP(7.032824+1*0.622482)*((C7/1.852)^ 0.40303))/(1.15*0.0059)/1000000,3)</f>
        <v>1.0029999999999999</v>
      </c>
      <c r="D97">
        <f t="shared" si="12"/>
        <v>0</v>
      </c>
      <c r="E97">
        <f t="shared" si="12"/>
        <v>1.1870000000000001</v>
      </c>
      <c r="F97">
        <f t="shared" si="12"/>
        <v>1.329</v>
      </c>
      <c r="G97">
        <f t="shared" si="12"/>
        <v>1.018</v>
      </c>
    </row>
    <row r="98" spans="1:7">
      <c r="A98" t="s">
        <v>143</v>
      </c>
      <c r="B98" s="52" t="s">
        <v>511</v>
      </c>
      <c r="C98">
        <f t="shared" si="12"/>
        <v>1.119</v>
      </c>
      <c r="D98">
        <f t="shared" si="11"/>
        <v>1.1870000000000001</v>
      </c>
      <c r="E98">
        <f t="shared" si="11"/>
        <v>0</v>
      </c>
      <c r="F98">
        <f t="shared" si="11"/>
        <v>1.1479999999999999</v>
      </c>
      <c r="G98">
        <f t="shared" si="11"/>
        <v>1.008</v>
      </c>
    </row>
    <row r="99" spans="1:7">
      <c r="A99" t="s">
        <v>143</v>
      </c>
      <c r="B99" s="52" t="s">
        <v>512</v>
      </c>
      <c r="C99">
        <f t="shared" si="12"/>
        <v>1.044</v>
      </c>
      <c r="D99">
        <f t="shared" si="11"/>
        <v>1.329</v>
      </c>
      <c r="E99">
        <f t="shared" si="11"/>
        <v>1.1479999999999999</v>
      </c>
      <c r="F99">
        <f t="shared" si="11"/>
        <v>0</v>
      </c>
      <c r="G99">
        <f t="shared" si="11"/>
        <v>1.3759999999999999</v>
      </c>
    </row>
    <row r="100" spans="1:7">
      <c r="A100" t="s">
        <v>143</v>
      </c>
      <c r="B100" s="52" t="s">
        <v>513</v>
      </c>
      <c r="C100">
        <f t="shared" si="12"/>
        <v>1.198</v>
      </c>
      <c r="D100">
        <f t="shared" si="11"/>
        <v>1.018</v>
      </c>
      <c r="E100">
        <f t="shared" si="11"/>
        <v>1.008</v>
      </c>
      <c r="F100">
        <f t="shared" si="11"/>
        <v>1.3759999999999999</v>
      </c>
      <c r="G100">
        <f t="shared" si="11"/>
        <v>0</v>
      </c>
    </row>
    <row r="101" spans="1:7">
      <c r="A101" t="s">
        <v>143</v>
      </c>
      <c r="B101" s="17" t="s">
        <v>509</v>
      </c>
      <c r="C101">
        <f t="shared" si="12"/>
        <v>0</v>
      </c>
      <c r="D101">
        <f t="shared" si="11"/>
        <v>1.0029999999999999</v>
      </c>
      <c r="E101">
        <f t="shared" si="11"/>
        <v>1.119</v>
      </c>
      <c r="F101">
        <f t="shared" si="11"/>
        <v>1.044</v>
      </c>
      <c r="G101">
        <f t="shared" si="11"/>
        <v>1.198</v>
      </c>
    </row>
    <row r="102" spans="1:7">
      <c r="A102" t="s">
        <v>143</v>
      </c>
      <c r="B102" s="17" t="s">
        <v>284</v>
      </c>
      <c r="C102">
        <f t="shared" si="12"/>
        <v>1.0029999999999999</v>
      </c>
      <c r="D102">
        <f t="shared" si="11"/>
        <v>0</v>
      </c>
      <c r="E102">
        <f t="shared" si="11"/>
        <v>1.1870000000000001</v>
      </c>
      <c r="F102">
        <f t="shared" si="11"/>
        <v>1.329</v>
      </c>
      <c r="G102">
        <f t="shared" si="11"/>
        <v>1.018</v>
      </c>
    </row>
    <row r="103" spans="1:7">
      <c r="A103" t="s">
        <v>143</v>
      </c>
      <c r="B103" s="17" t="s">
        <v>307</v>
      </c>
      <c r="C103">
        <f t="shared" si="12"/>
        <v>1.119</v>
      </c>
      <c r="D103">
        <f t="shared" si="11"/>
        <v>1.1870000000000001</v>
      </c>
      <c r="E103">
        <f t="shared" si="11"/>
        <v>0</v>
      </c>
      <c r="F103">
        <f t="shared" si="11"/>
        <v>1.1479999999999999</v>
      </c>
      <c r="G103">
        <f t="shared" si="11"/>
        <v>1.008</v>
      </c>
    </row>
    <row r="104" spans="1:7">
      <c r="A104" t="s">
        <v>143</v>
      </c>
      <c r="B104" s="17" t="s">
        <v>285</v>
      </c>
      <c r="C104">
        <f t="shared" si="12"/>
        <v>1.044</v>
      </c>
      <c r="D104">
        <f t="shared" si="11"/>
        <v>1.329</v>
      </c>
      <c r="E104">
        <f t="shared" si="11"/>
        <v>1.1479999999999999</v>
      </c>
      <c r="F104">
        <f t="shared" si="11"/>
        <v>0</v>
      </c>
      <c r="G104">
        <f t="shared" si="11"/>
        <v>1.3759999999999999</v>
      </c>
    </row>
    <row r="105" spans="1:7">
      <c r="A105" t="s">
        <v>143</v>
      </c>
      <c r="B105" s="17" t="s">
        <v>286</v>
      </c>
      <c r="C105">
        <f t="shared" si="12"/>
        <v>1.198</v>
      </c>
      <c r="D105">
        <f t="shared" si="11"/>
        <v>1.018</v>
      </c>
      <c r="E105">
        <f t="shared" si="11"/>
        <v>1.008</v>
      </c>
      <c r="F105">
        <f t="shared" si="11"/>
        <v>1.3759999999999999</v>
      </c>
      <c r="G105">
        <f t="shared" si="11"/>
        <v>0</v>
      </c>
    </row>
    <row r="106" spans="1:7">
      <c r="A106" t="s">
        <v>143</v>
      </c>
      <c r="B106" s="17" t="s">
        <v>287</v>
      </c>
      <c r="C106">
        <f t="shared" si="12"/>
        <v>0</v>
      </c>
      <c r="D106">
        <f t="shared" ref="D105:AF114" si="13">ROUND((EXP(7.032824+1*0.622482)*((D16/1.852)^ 0.40303))/(1.15*0.0059)/1000000,3)</f>
        <v>1.0029999999999999</v>
      </c>
      <c r="E106">
        <f t="shared" si="13"/>
        <v>1.119</v>
      </c>
      <c r="F106">
        <f t="shared" si="13"/>
        <v>1.044</v>
      </c>
      <c r="G106">
        <f t="shared" si="13"/>
        <v>1.198</v>
      </c>
    </row>
    <row r="107" spans="1:7">
      <c r="A107" t="s">
        <v>143</v>
      </c>
      <c r="B107" s="17" t="s">
        <v>288</v>
      </c>
      <c r="C107">
        <f t="shared" si="12"/>
        <v>1.0029999999999999</v>
      </c>
      <c r="D107">
        <f t="shared" si="13"/>
        <v>0</v>
      </c>
      <c r="E107">
        <f t="shared" si="13"/>
        <v>1.1870000000000001</v>
      </c>
      <c r="F107">
        <f t="shared" si="13"/>
        <v>1.329</v>
      </c>
      <c r="G107">
        <f t="shared" si="13"/>
        <v>1.018</v>
      </c>
    </row>
    <row r="108" spans="1:7">
      <c r="A108" t="s">
        <v>143</v>
      </c>
      <c r="B108" s="17" t="s">
        <v>289</v>
      </c>
      <c r="C108">
        <f t="shared" si="12"/>
        <v>1.119</v>
      </c>
      <c r="D108">
        <f t="shared" si="13"/>
        <v>1.1870000000000001</v>
      </c>
      <c r="E108">
        <f t="shared" si="13"/>
        <v>0</v>
      </c>
      <c r="F108">
        <f t="shared" si="13"/>
        <v>1.1479999999999999</v>
      </c>
      <c r="G108">
        <f t="shared" si="13"/>
        <v>1.008</v>
      </c>
    </row>
    <row r="109" spans="1:7">
      <c r="A109" t="s">
        <v>143</v>
      </c>
      <c r="B109" s="17" t="s">
        <v>290</v>
      </c>
      <c r="C109">
        <f t="shared" si="12"/>
        <v>1.044</v>
      </c>
      <c r="D109">
        <f t="shared" si="13"/>
        <v>1.329</v>
      </c>
      <c r="E109">
        <f t="shared" si="13"/>
        <v>1.1479999999999999</v>
      </c>
      <c r="F109">
        <f t="shared" si="13"/>
        <v>0</v>
      </c>
      <c r="G109">
        <f t="shared" si="13"/>
        <v>1.3759999999999999</v>
      </c>
    </row>
    <row r="110" spans="1:7">
      <c r="A110" t="s">
        <v>143</v>
      </c>
      <c r="B110" s="17" t="s">
        <v>291</v>
      </c>
      <c r="C110">
        <f t="shared" si="12"/>
        <v>1.198</v>
      </c>
      <c r="D110">
        <f t="shared" si="13"/>
        <v>1.018</v>
      </c>
      <c r="E110">
        <f t="shared" si="13"/>
        <v>1.008</v>
      </c>
      <c r="F110">
        <f t="shared" si="13"/>
        <v>1.3759999999999999</v>
      </c>
      <c r="G110">
        <f t="shared" si="13"/>
        <v>0</v>
      </c>
    </row>
    <row r="111" spans="1:7">
      <c r="A111" t="s">
        <v>143</v>
      </c>
      <c r="B111" s="17" t="s">
        <v>292</v>
      </c>
      <c r="C111">
        <f t="shared" si="12"/>
        <v>0</v>
      </c>
      <c r="D111">
        <f t="shared" si="13"/>
        <v>1.0029999999999999</v>
      </c>
      <c r="E111">
        <f t="shared" si="13"/>
        <v>1.119</v>
      </c>
      <c r="F111">
        <f t="shared" si="13"/>
        <v>1.044</v>
      </c>
      <c r="G111">
        <f t="shared" si="13"/>
        <v>1.198</v>
      </c>
    </row>
    <row r="112" spans="1:7">
      <c r="A112" t="s">
        <v>143</v>
      </c>
      <c r="B112" s="17" t="s">
        <v>308</v>
      </c>
      <c r="C112">
        <f t="shared" si="12"/>
        <v>1.0029999999999999</v>
      </c>
      <c r="D112">
        <f t="shared" si="13"/>
        <v>0</v>
      </c>
      <c r="E112">
        <f t="shared" si="13"/>
        <v>1.1870000000000001</v>
      </c>
      <c r="F112">
        <f t="shared" si="13"/>
        <v>1.329</v>
      </c>
      <c r="G112">
        <f t="shared" si="13"/>
        <v>1.018</v>
      </c>
    </row>
    <row r="113" spans="1:7">
      <c r="A113" t="s">
        <v>143</v>
      </c>
      <c r="B113" s="17" t="s">
        <v>293</v>
      </c>
      <c r="C113">
        <f t="shared" ref="C113:C125" si="14">ROUND((EXP(7.032824+1*0.622482)*((C23/1.852)^ 0.40303))/(1.15*0.0059)/1000000,3)</f>
        <v>1.119</v>
      </c>
      <c r="D113">
        <f t="shared" si="13"/>
        <v>1.1870000000000001</v>
      </c>
      <c r="E113">
        <f t="shared" si="13"/>
        <v>0</v>
      </c>
      <c r="F113">
        <f t="shared" si="13"/>
        <v>1.1479999999999999</v>
      </c>
      <c r="G113">
        <f t="shared" si="13"/>
        <v>1.008</v>
      </c>
    </row>
    <row r="114" spans="1:7">
      <c r="A114" t="s">
        <v>143</v>
      </c>
      <c r="B114" s="17" t="s">
        <v>309</v>
      </c>
      <c r="C114">
        <f t="shared" si="14"/>
        <v>1.044</v>
      </c>
      <c r="D114">
        <f t="shared" si="13"/>
        <v>1.329</v>
      </c>
      <c r="E114">
        <f t="shared" si="13"/>
        <v>1.1479999999999999</v>
      </c>
      <c r="F114">
        <f t="shared" si="13"/>
        <v>0</v>
      </c>
      <c r="G114">
        <f t="shared" ref="D114:AF122" si="15">ROUND((EXP(7.032824+1*0.622482)*((G24/1.852)^ 0.40303))/(1.15*0.0059)/1000000,3)</f>
        <v>1.3759999999999999</v>
      </c>
    </row>
    <row r="115" spans="1:7">
      <c r="A115" t="s">
        <v>143</v>
      </c>
      <c r="B115" s="17" t="s">
        <v>296</v>
      </c>
      <c r="C115">
        <f t="shared" si="14"/>
        <v>1.198</v>
      </c>
      <c r="D115">
        <f t="shared" si="15"/>
        <v>1.018</v>
      </c>
      <c r="E115">
        <f t="shared" si="15"/>
        <v>1.008</v>
      </c>
      <c r="F115">
        <f t="shared" si="15"/>
        <v>1.3759999999999999</v>
      </c>
      <c r="G115">
        <f t="shared" si="15"/>
        <v>0</v>
      </c>
    </row>
    <row r="116" spans="1:7">
      <c r="A116" t="s">
        <v>143</v>
      </c>
      <c r="B116" s="17" t="s">
        <v>297</v>
      </c>
      <c r="C116" t="e">
        <f t="shared" si="14"/>
        <v>#REF!</v>
      </c>
      <c r="D116" t="e">
        <f t="shared" si="15"/>
        <v>#REF!</v>
      </c>
      <c r="E116" t="e">
        <f t="shared" si="15"/>
        <v>#REF!</v>
      </c>
      <c r="F116" t="e">
        <f t="shared" si="15"/>
        <v>#REF!</v>
      </c>
      <c r="G116" t="e">
        <f t="shared" si="15"/>
        <v>#REF!</v>
      </c>
    </row>
    <row r="117" spans="1:7">
      <c r="A117" t="s">
        <v>143</v>
      </c>
      <c r="B117" s="17" t="s">
        <v>355</v>
      </c>
      <c r="C117">
        <f t="shared" si="14"/>
        <v>0</v>
      </c>
      <c r="D117">
        <f t="shared" si="15"/>
        <v>1.0029999999999999</v>
      </c>
      <c r="E117">
        <f t="shared" si="15"/>
        <v>1.119</v>
      </c>
      <c r="F117">
        <f t="shared" si="15"/>
        <v>1.044</v>
      </c>
      <c r="G117">
        <f t="shared" si="15"/>
        <v>1.198</v>
      </c>
    </row>
    <row r="118" spans="1:7">
      <c r="A118" t="s">
        <v>143</v>
      </c>
      <c r="B118" s="17" t="s">
        <v>298</v>
      </c>
      <c r="C118">
        <f t="shared" si="14"/>
        <v>1.0029999999999999</v>
      </c>
      <c r="D118">
        <f t="shared" si="15"/>
        <v>0</v>
      </c>
      <c r="E118">
        <f t="shared" si="15"/>
        <v>1.1870000000000001</v>
      </c>
      <c r="F118">
        <f t="shared" si="15"/>
        <v>1.329</v>
      </c>
      <c r="G118">
        <f t="shared" si="15"/>
        <v>1.018</v>
      </c>
    </row>
    <row r="119" spans="1:7">
      <c r="A119" t="s">
        <v>143</v>
      </c>
      <c r="B119" s="17" t="s">
        <v>299</v>
      </c>
      <c r="C119">
        <f t="shared" si="14"/>
        <v>1.119</v>
      </c>
      <c r="D119">
        <f t="shared" si="15"/>
        <v>1.1870000000000001</v>
      </c>
      <c r="E119">
        <f t="shared" si="15"/>
        <v>0</v>
      </c>
      <c r="F119">
        <f t="shared" si="15"/>
        <v>1.1479999999999999</v>
      </c>
      <c r="G119">
        <f t="shared" si="15"/>
        <v>1.008</v>
      </c>
    </row>
    <row r="120" spans="1:7">
      <c r="A120" t="s">
        <v>143</v>
      </c>
      <c r="B120" s="17" t="s">
        <v>300</v>
      </c>
      <c r="C120">
        <f t="shared" si="14"/>
        <v>1.044</v>
      </c>
      <c r="D120">
        <f t="shared" si="15"/>
        <v>1.329</v>
      </c>
      <c r="E120">
        <f t="shared" si="15"/>
        <v>1.1479999999999999</v>
      </c>
      <c r="F120">
        <f t="shared" si="15"/>
        <v>0</v>
      </c>
      <c r="G120">
        <f t="shared" si="15"/>
        <v>1.3759999999999999</v>
      </c>
    </row>
    <row r="121" spans="1:7">
      <c r="A121" t="s">
        <v>143</v>
      </c>
      <c r="B121" s="17" t="s">
        <v>302</v>
      </c>
      <c r="C121">
        <f t="shared" si="14"/>
        <v>1.198</v>
      </c>
      <c r="D121">
        <f t="shared" si="15"/>
        <v>1.018</v>
      </c>
      <c r="E121">
        <f t="shared" si="15"/>
        <v>1.008</v>
      </c>
      <c r="F121">
        <f t="shared" si="15"/>
        <v>1.3759999999999999</v>
      </c>
      <c r="G121">
        <f t="shared" si="15"/>
        <v>0</v>
      </c>
    </row>
    <row r="122" spans="1:7">
      <c r="A122" t="s">
        <v>143</v>
      </c>
      <c r="B122" s="17" t="s">
        <v>303</v>
      </c>
      <c r="C122" t="e">
        <f t="shared" si="14"/>
        <v>#REF!</v>
      </c>
      <c r="D122" t="e">
        <f t="shared" si="15"/>
        <v>#REF!</v>
      </c>
      <c r="E122" t="e">
        <f t="shared" si="15"/>
        <v>#REF!</v>
      </c>
      <c r="F122" t="e">
        <f t="shared" si="15"/>
        <v>#REF!</v>
      </c>
      <c r="G122" t="e">
        <f t="shared" si="15"/>
        <v>#REF!</v>
      </c>
    </row>
    <row r="123" spans="1:7">
      <c r="A123" t="s">
        <v>143</v>
      </c>
      <c r="B123" s="17" t="s">
        <v>304</v>
      </c>
      <c r="C123">
        <f t="shared" si="14"/>
        <v>0</v>
      </c>
      <c r="D123">
        <f t="shared" ref="D122:AF125" si="16">ROUND((EXP(7.032824+1*0.622482)*((D33/1.852)^ 0.40303))/(1.15*0.0059)/1000000,3)</f>
        <v>0.441</v>
      </c>
      <c r="E123">
        <f t="shared" si="16"/>
        <v>0</v>
      </c>
      <c r="F123">
        <f t="shared" si="16"/>
        <v>0.93100000000000005</v>
      </c>
      <c r="G123">
        <f t="shared" si="16"/>
        <v>0</v>
      </c>
    </row>
    <row r="124" spans="1:7">
      <c r="A124" t="s">
        <v>143</v>
      </c>
      <c r="B124" t="s">
        <v>354</v>
      </c>
      <c r="C124">
        <f t="shared" si="14"/>
        <v>0.441</v>
      </c>
      <c r="D124">
        <f t="shared" si="16"/>
        <v>0</v>
      </c>
      <c r="E124">
        <f t="shared" si="16"/>
        <v>0.99</v>
      </c>
      <c r="F124">
        <f t="shared" si="16"/>
        <v>0</v>
      </c>
      <c r="G124">
        <f t="shared" si="16"/>
        <v>0.85299999999999998</v>
      </c>
    </row>
    <row r="125" spans="1:7">
      <c r="A125" t="s">
        <v>143</v>
      </c>
      <c r="B125" s="17" t="s">
        <v>306</v>
      </c>
      <c r="C125">
        <f t="shared" si="14"/>
        <v>0</v>
      </c>
      <c r="D125">
        <f t="shared" si="16"/>
        <v>0.99</v>
      </c>
      <c r="E125">
        <f t="shared" si="16"/>
        <v>0</v>
      </c>
      <c r="F125">
        <f t="shared" si="16"/>
        <v>0</v>
      </c>
      <c r="G125">
        <f t="shared" si="16"/>
        <v>0</v>
      </c>
    </row>
    <row r="126" spans="1:7" s="33" customFormat="1">
      <c r="A126" s="33" t="s">
        <v>145</v>
      </c>
      <c r="B126" s="55" t="s">
        <v>278</v>
      </c>
      <c r="C126" s="33">
        <f>C96</f>
        <v>0</v>
      </c>
      <c r="D126" s="33">
        <f t="shared" ref="D126:AF135" si="17">D96</f>
        <v>1.0029999999999999</v>
      </c>
      <c r="E126" s="33">
        <f t="shared" si="17"/>
        <v>1.119</v>
      </c>
      <c r="F126" s="33">
        <f t="shared" si="17"/>
        <v>1.044</v>
      </c>
      <c r="G126" s="33">
        <f t="shared" si="17"/>
        <v>1.198</v>
      </c>
    </row>
    <row r="127" spans="1:7">
      <c r="A127" t="s">
        <v>145</v>
      </c>
      <c r="B127" s="17" t="s">
        <v>280</v>
      </c>
      <c r="C127">
        <f t="shared" ref="C127:R142" si="18">C97</f>
        <v>1.0029999999999999</v>
      </c>
      <c r="D127">
        <f t="shared" si="18"/>
        <v>0</v>
      </c>
      <c r="E127">
        <f t="shared" si="18"/>
        <v>1.1870000000000001</v>
      </c>
      <c r="F127">
        <f t="shared" si="18"/>
        <v>1.329</v>
      </c>
      <c r="G127">
        <f t="shared" si="18"/>
        <v>1.018</v>
      </c>
    </row>
    <row r="128" spans="1:7">
      <c r="A128" t="s">
        <v>145</v>
      </c>
      <c r="B128" s="17" t="s">
        <v>281</v>
      </c>
      <c r="C128">
        <f t="shared" si="18"/>
        <v>1.119</v>
      </c>
      <c r="D128">
        <f t="shared" si="17"/>
        <v>1.1870000000000001</v>
      </c>
      <c r="E128">
        <f t="shared" si="17"/>
        <v>0</v>
      </c>
      <c r="F128">
        <f t="shared" si="17"/>
        <v>1.1479999999999999</v>
      </c>
      <c r="G128">
        <f t="shared" si="17"/>
        <v>1.008</v>
      </c>
    </row>
    <row r="129" spans="1:7">
      <c r="A129" t="s">
        <v>145</v>
      </c>
      <c r="B129" s="17" t="s">
        <v>282</v>
      </c>
      <c r="C129">
        <f t="shared" si="18"/>
        <v>1.044</v>
      </c>
      <c r="D129">
        <f t="shared" si="17"/>
        <v>1.329</v>
      </c>
      <c r="E129">
        <f t="shared" si="17"/>
        <v>1.1479999999999999</v>
      </c>
      <c r="F129">
        <f t="shared" si="17"/>
        <v>0</v>
      </c>
      <c r="G129">
        <f t="shared" si="17"/>
        <v>1.3759999999999999</v>
      </c>
    </row>
    <row r="130" spans="1:7">
      <c r="A130" t="s">
        <v>145</v>
      </c>
      <c r="B130" s="17" t="s">
        <v>283</v>
      </c>
      <c r="C130">
        <f t="shared" si="18"/>
        <v>1.198</v>
      </c>
      <c r="D130">
        <f t="shared" si="17"/>
        <v>1.018</v>
      </c>
      <c r="E130">
        <f t="shared" si="17"/>
        <v>1.008</v>
      </c>
      <c r="F130">
        <f t="shared" si="17"/>
        <v>1.3759999999999999</v>
      </c>
      <c r="G130">
        <f t="shared" si="17"/>
        <v>0</v>
      </c>
    </row>
    <row r="131" spans="1:7">
      <c r="A131" t="s">
        <v>145</v>
      </c>
      <c r="B131" s="17" t="s">
        <v>509</v>
      </c>
      <c r="C131">
        <f t="shared" si="18"/>
        <v>0</v>
      </c>
      <c r="D131">
        <f t="shared" si="17"/>
        <v>1.0029999999999999</v>
      </c>
      <c r="E131">
        <f t="shared" si="17"/>
        <v>1.119</v>
      </c>
      <c r="F131">
        <f t="shared" si="17"/>
        <v>1.044</v>
      </c>
      <c r="G131">
        <f t="shared" si="17"/>
        <v>1.198</v>
      </c>
    </row>
    <row r="132" spans="1:7">
      <c r="A132" t="s">
        <v>145</v>
      </c>
      <c r="B132" s="17" t="s">
        <v>284</v>
      </c>
      <c r="C132">
        <f t="shared" si="18"/>
        <v>1.0029999999999999</v>
      </c>
      <c r="D132">
        <f t="shared" si="17"/>
        <v>0</v>
      </c>
      <c r="E132">
        <f t="shared" si="17"/>
        <v>1.1870000000000001</v>
      </c>
      <c r="F132">
        <f t="shared" si="17"/>
        <v>1.329</v>
      </c>
      <c r="G132">
        <f t="shared" si="17"/>
        <v>1.018</v>
      </c>
    </row>
    <row r="133" spans="1:7">
      <c r="A133" t="s">
        <v>145</v>
      </c>
      <c r="B133" s="17" t="s">
        <v>307</v>
      </c>
      <c r="C133">
        <f t="shared" si="18"/>
        <v>1.119</v>
      </c>
      <c r="D133">
        <f t="shared" si="17"/>
        <v>1.1870000000000001</v>
      </c>
      <c r="E133">
        <f t="shared" si="17"/>
        <v>0</v>
      </c>
      <c r="F133">
        <f t="shared" si="17"/>
        <v>1.1479999999999999</v>
      </c>
      <c r="G133">
        <f t="shared" si="17"/>
        <v>1.008</v>
      </c>
    </row>
    <row r="134" spans="1:7">
      <c r="A134" t="s">
        <v>145</v>
      </c>
      <c r="B134" s="17" t="s">
        <v>285</v>
      </c>
      <c r="C134">
        <f t="shared" si="18"/>
        <v>1.044</v>
      </c>
      <c r="D134">
        <f t="shared" si="17"/>
        <v>1.329</v>
      </c>
      <c r="E134">
        <f t="shared" si="17"/>
        <v>1.1479999999999999</v>
      </c>
      <c r="F134">
        <f t="shared" si="17"/>
        <v>0</v>
      </c>
      <c r="G134">
        <f t="shared" si="17"/>
        <v>1.3759999999999999</v>
      </c>
    </row>
    <row r="135" spans="1:7">
      <c r="A135" t="s">
        <v>145</v>
      </c>
      <c r="B135" s="17" t="s">
        <v>286</v>
      </c>
      <c r="C135">
        <f t="shared" si="18"/>
        <v>1.198</v>
      </c>
      <c r="D135">
        <f t="shared" si="17"/>
        <v>1.018</v>
      </c>
      <c r="E135">
        <f t="shared" si="17"/>
        <v>1.008</v>
      </c>
      <c r="F135">
        <f t="shared" si="17"/>
        <v>1.3759999999999999</v>
      </c>
      <c r="G135">
        <f t="shared" si="17"/>
        <v>0</v>
      </c>
    </row>
    <row r="136" spans="1:7">
      <c r="A136" t="s">
        <v>145</v>
      </c>
      <c r="B136" s="17" t="s">
        <v>287</v>
      </c>
      <c r="C136">
        <f t="shared" si="18"/>
        <v>0</v>
      </c>
      <c r="D136">
        <f t="shared" ref="D135:AF144" si="19">D106</f>
        <v>1.0029999999999999</v>
      </c>
      <c r="E136">
        <f t="shared" si="19"/>
        <v>1.119</v>
      </c>
      <c r="F136">
        <f t="shared" si="19"/>
        <v>1.044</v>
      </c>
      <c r="G136">
        <f t="shared" si="19"/>
        <v>1.198</v>
      </c>
    </row>
    <row r="137" spans="1:7">
      <c r="A137" t="s">
        <v>145</v>
      </c>
      <c r="B137" s="17" t="s">
        <v>288</v>
      </c>
      <c r="C137">
        <f t="shared" si="18"/>
        <v>1.0029999999999999</v>
      </c>
      <c r="D137">
        <f t="shared" si="19"/>
        <v>0</v>
      </c>
      <c r="E137">
        <f t="shared" si="19"/>
        <v>1.1870000000000001</v>
      </c>
      <c r="F137">
        <f t="shared" si="19"/>
        <v>1.329</v>
      </c>
      <c r="G137">
        <f t="shared" si="19"/>
        <v>1.018</v>
      </c>
    </row>
    <row r="138" spans="1:7">
      <c r="A138" t="s">
        <v>145</v>
      </c>
      <c r="B138" s="17" t="s">
        <v>289</v>
      </c>
      <c r="C138">
        <f t="shared" si="18"/>
        <v>1.119</v>
      </c>
      <c r="D138">
        <f t="shared" si="19"/>
        <v>1.1870000000000001</v>
      </c>
      <c r="E138">
        <f t="shared" si="19"/>
        <v>0</v>
      </c>
      <c r="F138">
        <f t="shared" si="19"/>
        <v>1.1479999999999999</v>
      </c>
      <c r="G138">
        <f t="shared" si="19"/>
        <v>1.008</v>
      </c>
    </row>
    <row r="139" spans="1:7">
      <c r="A139" t="s">
        <v>145</v>
      </c>
      <c r="B139" s="17" t="s">
        <v>290</v>
      </c>
      <c r="C139">
        <f t="shared" si="18"/>
        <v>1.044</v>
      </c>
      <c r="D139">
        <f t="shared" si="19"/>
        <v>1.329</v>
      </c>
      <c r="E139">
        <f t="shared" si="19"/>
        <v>1.1479999999999999</v>
      </c>
      <c r="F139">
        <f t="shared" si="19"/>
        <v>0</v>
      </c>
      <c r="G139">
        <f t="shared" si="19"/>
        <v>1.3759999999999999</v>
      </c>
    </row>
    <row r="140" spans="1:7">
      <c r="A140" t="s">
        <v>145</v>
      </c>
      <c r="B140" s="17" t="s">
        <v>291</v>
      </c>
      <c r="C140">
        <f t="shared" si="18"/>
        <v>1.198</v>
      </c>
      <c r="D140">
        <f t="shared" si="19"/>
        <v>1.018</v>
      </c>
      <c r="E140">
        <f t="shared" si="19"/>
        <v>1.008</v>
      </c>
      <c r="F140">
        <f t="shared" si="19"/>
        <v>1.3759999999999999</v>
      </c>
      <c r="G140">
        <f t="shared" si="19"/>
        <v>0</v>
      </c>
    </row>
    <row r="141" spans="1:7">
      <c r="A141" t="s">
        <v>145</v>
      </c>
      <c r="B141" s="17" t="s">
        <v>292</v>
      </c>
      <c r="C141">
        <f t="shared" si="18"/>
        <v>0</v>
      </c>
      <c r="D141">
        <f t="shared" si="19"/>
        <v>1.0029999999999999</v>
      </c>
      <c r="E141">
        <f t="shared" si="19"/>
        <v>1.119</v>
      </c>
      <c r="F141">
        <f t="shared" si="19"/>
        <v>1.044</v>
      </c>
      <c r="G141">
        <f t="shared" si="19"/>
        <v>1.198</v>
      </c>
    </row>
    <row r="142" spans="1:7">
      <c r="A142" t="s">
        <v>145</v>
      </c>
      <c r="B142" s="17" t="s">
        <v>308</v>
      </c>
      <c r="C142">
        <f t="shared" si="18"/>
        <v>1.0029999999999999</v>
      </c>
      <c r="D142">
        <f t="shared" si="19"/>
        <v>0</v>
      </c>
      <c r="E142">
        <f t="shared" si="19"/>
        <v>1.1870000000000001</v>
      </c>
      <c r="F142">
        <f t="shared" si="19"/>
        <v>1.329</v>
      </c>
      <c r="G142">
        <f t="shared" si="19"/>
        <v>1.018</v>
      </c>
    </row>
    <row r="143" spans="1:7">
      <c r="A143" t="s">
        <v>145</v>
      </c>
      <c r="B143" s="17" t="s">
        <v>293</v>
      </c>
      <c r="C143">
        <f t="shared" ref="C143:C155" si="20">C113</f>
        <v>1.119</v>
      </c>
      <c r="D143">
        <f t="shared" si="19"/>
        <v>1.1870000000000001</v>
      </c>
      <c r="E143">
        <f t="shared" si="19"/>
        <v>0</v>
      </c>
      <c r="F143">
        <f t="shared" si="19"/>
        <v>1.1479999999999999</v>
      </c>
      <c r="G143">
        <f t="shared" si="19"/>
        <v>1.008</v>
      </c>
    </row>
    <row r="144" spans="1:7">
      <c r="A144" t="s">
        <v>145</v>
      </c>
      <c r="B144" s="17" t="s">
        <v>309</v>
      </c>
      <c r="C144">
        <f t="shared" si="20"/>
        <v>1.044</v>
      </c>
      <c r="D144">
        <f t="shared" si="19"/>
        <v>1.329</v>
      </c>
      <c r="E144">
        <f t="shared" si="19"/>
        <v>1.1479999999999999</v>
      </c>
      <c r="F144">
        <f t="shared" si="19"/>
        <v>0</v>
      </c>
      <c r="G144">
        <f t="shared" ref="D144:AF152" si="21">G114</f>
        <v>1.3759999999999999</v>
      </c>
    </row>
    <row r="145" spans="1:7">
      <c r="A145" t="s">
        <v>145</v>
      </c>
      <c r="B145" s="17" t="s">
        <v>296</v>
      </c>
      <c r="C145">
        <f t="shared" si="20"/>
        <v>1.198</v>
      </c>
      <c r="D145">
        <f t="shared" si="21"/>
        <v>1.018</v>
      </c>
      <c r="E145">
        <f t="shared" si="21"/>
        <v>1.008</v>
      </c>
      <c r="F145">
        <f t="shared" si="21"/>
        <v>1.3759999999999999</v>
      </c>
      <c r="G145">
        <f t="shared" si="21"/>
        <v>0</v>
      </c>
    </row>
    <row r="146" spans="1:7">
      <c r="A146" t="s">
        <v>145</v>
      </c>
      <c r="B146" s="17" t="s">
        <v>297</v>
      </c>
      <c r="C146" t="e">
        <f t="shared" si="20"/>
        <v>#REF!</v>
      </c>
      <c r="D146" t="e">
        <f t="shared" si="21"/>
        <v>#REF!</v>
      </c>
      <c r="E146" t="e">
        <f t="shared" si="21"/>
        <v>#REF!</v>
      </c>
      <c r="F146" t="e">
        <f t="shared" si="21"/>
        <v>#REF!</v>
      </c>
      <c r="G146" t="e">
        <f t="shared" si="21"/>
        <v>#REF!</v>
      </c>
    </row>
    <row r="147" spans="1:7">
      <c r="A147" t="s">
        <v>145</v>
      </c>
      <c r="B147" s="17" t="s">
        <v>355</v>
      </c>
      <c r="C147">
        <f t="shared" si="20"/>
        <v>0</v>
      </c>
      <c r="D147">
        <f t="shared" si="21"/>
        <v>1.0029999999999999</v>
      </c>
      <c r="E147">
        <f t="shared" si="21"/>
        <v>1.119</v>
      </c>
      <c r="F147">
        <f t="shared" si="21"/>
        <v>1.044</v>
      </c>
      <c r="G147">
        <f t="shared" si="21"/>
        <v>1.198</v>
      </c>
    </row>
    <row r="148" spans="1:7">
      <c r="A148" t="s">
        <v>145</v>
      </c>
      <c r="B148" s="17" t="s">
        <v>298</v>
      </c>
      <c r="C148">
        <f t="shared" si="20"/>
        <v>1.0029999999999999</v>
      </c>
      <c r="D148">
        <f t="shared" si="21"/>
        <v>0</v>
      </c>
      <c r="E148">
        <f t="shared" si="21"/>
        <v>1.1870000000000001</v>
      </c>
      <c r="F148">
        <f t="shared" si="21"/>
        <v>1.329</v>
      </c>
      <c r="G148">
        <f t="shared" si="21"/>
        <v>1.018</v>
      </c>
    </row>
    <row r="149" spans="1:7">
      <c r="A149" t="s">
        <v>145</v>
      </c>
      <c r="B149" s="17" t="s">
        <v>299</v>
      </c>
      <c r="C149">
        <f t="shared" si="20"/>
        <v>1.119</v>
      </c>
      <c r="D149">
        <f t="shared" si="21"/>
        <v>1.1870000000000001</v>
      </c>
      <c r="E149">
        <f t="shared" si="21"/>
        <v>0</v>
      </c>
      <c r="F149">
        <f t="shared" si="21"/>
        <v>1.1479999999999999</v>
      </c>
      <c r="G149">
        <f t="shared" si="21"/>
        <v>1.008</v>
      </c>
    </row>
    <row r="150" spans="1:7">
      <c r="A150" t="s">
        <v>145</v>
      </c>
      <c r="B150" s="17" t="s">
        <v>300</v>
      </c>
      <c r="C150">
        <f t="shared" si="20"/>
        <v>1.044</v>
      </c>
      <c r="D150">
        <f t="shared" si="21"/>
        <v>1.329</v>
      </c>
      <c r="E150">
        <f t="shared" si="21"/>
        <v>1.1479999999999999</v>
      </c>
      <c r="F150">
        <f t="shared" si="21"/>
        <v>0</v>
      </c>
      <c r="G150">
        <f t="shared" si="21"/>
        <v>1.3759999999999999</v>
      </c>
    </row>
    <row r="151" spans="1:7">
      <c r="A151" t="s">
        <v>145</v>
      </c>
      <c r="B151" s="17" t="s">
        <v>302</v>
      </c>
      <c r="C151">
        <f t="shared" si="20"/>
        <v>1.198</v>
      </c>
      <c r="D151">
        <f t="shared" si="21"/>
        <v>1.018</v>
      </c>
      <c r="E151">
        <f t="shared" si="21"/>
        <v>1.008</v>
      </c>
      <c r="F151">
        <f t="shared" si="21"/>
        <v>1.3759999999999999</v>
      </c>
      <c r="G151">
        <f t="shared" si="21"/>
        <v>0</v>
      </c>
    </row>
    <row r="152" spans="1:7">
      <c r="A152" t="s">
        <v>145</v>
      </c>
      <c r="B152" s="17" t="s">
        <v>303</v>
      </c>
      <c r="C152" t="e">
        <f t="shared" si="20"/>
        <v>#REF!</v>
      </c>
      <c r="D152" t="e">
        <f t="shared" si="21"/>
        <v>#REF!</v>
      </c>
      <c r="E152" t="e">
        <f t="shared" si="21"/>
        <v>#REF!</v>
      </c>
      <c r="F152" t="e">
        <f t="shared" si="21"/>
        <v>#REF!</v>
      </c>
      <c r="G152" t="e">
        <f t="shared" si="21"/>
        <v>#REF!</v>
      </c>
    </row>
    <row r="153" spans="1:7">
      <c r="A153" t="s">
        <v>145</v>
      </c>
      <c r="B153" s="17" t="s">
        <v>304</v>
      </c>
      <c r="C153">
        <f t="shared" si="20"/>
        <v>0</v>
      </c>
      <c r="D153">
        <f t="shared" ref="D152:AF155" si="22">D123</f>
        <v>0.441</v>
      </c>
      <c r="E153">
        <f t="shared" si="22"/>
        <v>0</v>
      </c>
      <c r="F153">
        <f t="shared" si="22"/>
        <v>0.93100000000000005</v>
      </c>
      <c r="G153">
        <f t="shared" si="22"/>
        <v>0</v>
      </c>
    </row>
    <row r="154" spans="1:7">
      <c r="A154" t="s">
        <v>145</v>
      </c>
      <c r="B154" t="s">
        <v>354</v>
      </c>
      <c r="C154">
        <f t="shared" si="20"/>
        <v>0.441</v>
      </c>
      <c r="D154">
        <f t="shared" si="22"/>
        <v>0</v>
      </c>
      <c r="E154">
        <f t="shared" si="22"/>
        <v>0.99</v>
      </c>
      <c r="F154">
        <f t="shared" si="22"/>
        <v>0</v>
      </c>
      <c r="G154">
        <f t="shared" si="22"/>
        <v>0.85299999999999998</v>
      </c>
    </row>
    <row r="155" spans="1:7">
      <c r="A155" t="s">
        <v>145</v>
      </c>
      <c r="B155" s="17" t="s">
        <v>306</v>
      </c>
      <c r="C155">
        <f t="shared" si="20"/>
        <v>0</v>
      </c>
      <c r="D155">
        <f t="shared" si="22"/>
        <v>0.99</v>
      </c>
      <c r="E155">
        <f t="shared" si="22"/>
        <v>0</v>
      </c>
      <c r="F155">
        <f t="shared" si="22"/>
        <v>0</v>
      </c>
      <c r="G155">
        <f t="shared" si="22"/>
        <v>0</v>
      </c>
    </row>
    <row r="156" spans="1:7" s="33" customFormat="1">
      <c r="A156" s="33" t="s">
        <v>24</v>
      </c>
      <c r="B156" s="52" t="s">
        <v>509</v>
      </c>
      <c r="C156" s="33">
        <f>IF(C6&gt;0,0.01,0)</f>
        <v>0</v>
      </c>
      <c r="D156" s="33">
        <f t="shared" ref="D156:AF165" si="23">IF(D6&gt;0,0.01,0)</f>
        <v>0.01</v>
      </c>
      <c r="E156" s="33">
        <f t="shared" si="23"/>
        <v>0.01</v>
      </c>
      <c r="F156" s="33">
        <f t="shared" si="23"/>
        <v>0.01</v>
      </c>
      <c r="G156" s="33">
        <f t="shared" si="23"/>
        <v>0.01</v>
      </c>
    </row>
    <row r="157" spans="1:7">
      <c r="A157" t="s">
        <v>24</v>
      </c>
      <c r="B157" s="52" t="s">
        <v>510</v>
      </c>
      <c r="C157">
        <f>IF(C7&gt;0,0.01,0)</f>
        <v>0.01</v>
      </c>
      <c r="D157">
        <f t="shared" ref="C157:R172" si="24">IF(D7&gt;0,0.01,0)</f>
        <v>0</v>
      </c>
      <c r="E157">
        <f t="shared" si="24"/>
        <v>0.01</v>
      </c>
      <c r="F157">
        <f t="shared" si="24"/>
        <v>0.01</v>
      </c>
      <c r="G157">
        <f t="shared" si="24"/>
        <v>0.01</v>
      </c>
    </row>
    <row r="158" spans="1:7">
      <c r="A158" t="s">
        <v>24</v>
      </c>
      <c r="B158" s="52" t="s">
        <v>511</v>
      </c>
      <c r="C158">
        <f t="shared" si="24"/>
        <v>0.01</v>
      </c>
      <c r="D158">
        <f t="shared" si="23"/>
        <v>0.01</v>
      </c>
      <c r="E158">
        <f t="shared" si="23"/>
        <v>0</v>
      </c>
      <c r="F158">
        <f t="shared" si="23"/>
        <v>0.01</v>
      </c>
      <c r="G158">
        <f t="shared" si="23"/>
        <v>0.01</v>
      </c>
    </row>
    <row r="159" spans="1:7">
      <c r="A159" t="s">
        <v>24</v>
      </c>
      <c r="B159" s="52" t="s">
        <v>512</v>
      </c>
      <c r="C159">
        <f t="shared" si="24"/>
        <v>0.01</v>
      </c>
      <c r="D159">
        <f t="shared" si="23"/>
        <v>0.01</v>
      </c>
      <c r="E159">
        <f t="shared" si="23"/>
        <v>0.01</v>
      </c>
      <c r="F159">
        <f t="shared" si="23"/>
        <v>0</v>
      </c>
      <c r="G159">
        <f t="shared" si="23"/>
        <v>0.01</v>
      </c>
    </row>
    <row r="160" spans="1:7">
      <c r="A160" t="s">
        <v>24</v>
      </c>
      <c r="B160" s="52" t="s">
        <v>513</v>
      </c>
      <c r="C160">
        <f t="shared" si="24"/>
        <v>0.01</v>
      </c>
      <c r="D160">
        <f t="shared" si="23"/>
        <v>0.01</v>
      </c>
      <c r="E160">
        <f t="shared" si="23"/>
        <v>0.01</v>
      </c>
      <c r="F160">
        <f t="shared" si="23"/>
        <v>0.01</v>
      </c>
      <c r="G160">
        <f t="shared" si="23"/>
        <v>0</v>
      </c>
    </row>
    <row r="161" spans="1:7">
      <c r="A161" t="s">
        <v>24</v>
      </c>
      <c r="B161" s="17" t="s">
        <v>509</v>
      </c>
      <c r="C161">
        <f t="shared" si="24"/>
        <v>0</v>
      </c>
      <c r="D161">
        <f t="shared" si="23"/>
        <v>0.01</v>
      </c>
      <c r="E161">
        <f t="shared" si="23"/>
        <v>0.01</v>
      </c>
      <c r="F161">
        <f t="shared" si="23"/>
        <v>0.01</v>
      </c>
      <c r="G161">
        <f t="shared" si="23"/>
        <v>0.01</v>
      </c>
    </row>
    <row r="162" spans="1:7">
      <c r="A162" t="s">
        <v>24</v>
      </c>
      <c r="B162" s="17" t="s">
        <v>284</v>
      </c>
      <c r="C162">
        <f t="shared" si="24"/>
        <v>0.01</v>
      </c>
      <c r="D162">
        <f t="shared" si="23"/>
        <v>0</v>
      </c>
      <c r="E162">
        <f t="shared" si="23"/>
        <v>0.01</v>
      </c>
      <c r="F162">
        <f t="shared" si="23"/>
        <v>0.01</v>
      </c>
      <c r="G162">
        <f t="shared" si="23"/>
        <v>0.01</v>
      </c>
    </row>
    <row r="163" spans="1:7">
      <c r="A163" t="s">
        <v>24</v>
      </c>
      <c r="B163" s="17" t="s">
        <v>307</v>
      </c>
      <c r="C163">
        <f t="shared" si="24"/>
        <v>0.01</v>
      </c>
      <c r="D163">
        <f t="shared" si="23"/>
        <v>0.01</v>
      </c>
      <c r="E163">
        <f t="shared" si="23"/>
        <v>0</v>
      </c>
      <c r="F163">
        <f t="shared" si="23"/>
        <v>0.01</v>
      </c>
      <c r="G163">
        <f t="shared" si="23"/>
        <v>0.01</v>
      </c>
    </row>
    <row r="164" spans="1:7">
      <c r="A164" t="s">
        <v>24</v>
      </c>
      <c r="B164" s="17" t="s">
        <v>285</v>
      </c>
      <c r="C164">
        <f t="shared" si="24"/>
        <v>0.01</v>
      </c>
      <c r="D164">
        <f t="shared" si="23"/>
        <v>0.01</v>
      </c>
      <c r="E164">
        <f t="shared" si="23"/>
        <v>0.01</v>
      </c>
      <c r="F164">
        <f t="shared" si="23"/>
        <v>0</v>
      </c>
      <c r="G164">
        <f t="shared" si="23"/>
        <v>0.01</v>
      </c>
    </row>
    <row r="165" spans="1:7">
      <c r="A165" t="s">
        <v>24</v>
      </c>
      <c r="B165" s="17" t="s">
        <v>286</v>
      </c>
      <c r="C165">
        <f t="shared" si="24"/>
        <v>0.01</v>
      </c>
      <c r="D165">
        <f t="shared" si="23"/>
        <v>0.01</v>
      </c>
      <c r="E165">
        <f t="shared" si="23"/>
        <v>0.01</v>
      </c>
      <c r="F165">
        <f t="shared" si="23"/>
        <v>0.01</v>
      </c>
      <c r="G165">
        <f t="shared" si="23"/>
        <v>0</v>
      </c>
    </row>
    <row r="166" spans="1:7">
      <c r="A166" t="s">
        <v>24</v>
      </c>
      <c r="B166" s="17" t="s">
        <v>287</v>
      </c>
      <c r="C166">
        <f t="shared" si="24"/>
        <v>0</v>
      </c>
      <c r="D166">
        <f t="shared" ref="D165:AF174" si="25">IF(D16&gt;0,0.01,0)</f>
        <v>0.01</v>
      </c>
      <c r="E166">
        <f t="shared" si="25"/>
        <v>0.01</v>
      </c>
      <c r="F166">
        <f t="shared" si="25"/>
        <v>0.01</v>
      </c>
      <c r="G166">
        <f t="shared" si="25"/>
        <v>0.01</v>
      </c>
    </row>
    <row r="167" spans="1:7">
      <c r="A167" t="s">
        <v>24</v>
      </c>
      <c r="B167" s="17" t="s">
        <v>288</v>
      </c>
      <c r="C167">
        <f t="shared" si="24"/>
        <v>0.01</v>
      </c>
      <c r="D167">
        <f t="shared" si="25"/>
        <v>0</v>
      </c>
      <c r="E167">
        <f t="shared" si="25"/>
        <v>0.01</v>
      </c>
      <c r="F167">
        <f t="shared" si="25"/>
        <v>0.01</v>
      </c>
      <c r="G167">
        <f t="shared" si="25"/>
        <v>0.01</v>
      </c>
    </row>
    <row r="168" spans="1:7">
      <c r="A168" t="s">
        <v>24</v>
      </c>
      <c r="B168" s="17" t="s">
        <v>289</v>
      </c>
      <c r="C168">
        <f t="shared" si="24"/>
        <v>0.01</v>
      </c>
      <c r="D168">
        <f t="shared" si="25"/>
        <v>0.01</v>
      </c>
      <c r="E168">
        <f t="shared" si="25"/>
        <v>0</v>
      </c>
      <c r="F168">
        <f t="shared" si="25"/>
        <v>0.01</v>
      </c>
      <c r="G168">
        <f t="shared" si="25"/>
        <v>0.01</v>
      </c>
    </row>
    <row r="169" spans="1:7">
      <c r="A169" t="s">
        <v>24</v>
      </c>
      <c r="B169" s="17" t="s">
        <v>290</v>
      </c>
      <c r="C169">
        <f t="shared" si="24"/>
        <v>0.01</v>
      </c>
      <c r="D169">
        <f t="shared" si="25"/>
        <v>0.01</v>
      </c>
      <c r="E169">
        <f t="shared" si="25"/>
        <v>0.01</v>
      </c>
      <c r="F169">
        <f t="shared" si="25"/>
        <v>0</v>
      </c>
      <c r="G169">
        <f t="shared" si="25"/>
        <v>0.01</v>
      </c>
    </row>
    <row r="170" spans="1:7">
      <c r="A170" t="s">
        <v>24</v>
      </c>
      <c r="B170" s="17" t="s">
        <v>291</v>
      </c>
      <c r="C170">
        <f t="shared" si="24"/>
        <v>0.01</v>
      </c>
      <c r="D170">
        <f t="shared" si="25"/>
        <v>0.01</v>
      </c>
      <c r="E170">
        <f t="shared" si="25"/>
        <v>0.01</v>
      </c>
      <c r="F170">
        <f t="shared" si="25"/>
        <v>0.01</v>
      </c>
      <c r="G170">
        <f t="shared" si="25"/>
        <v>0</v>
      </c>
    </row>
    <row r="171" spans="1:7">
      <c r="A171" t="s">
        <v>24</v>
      </c>
      <c r="B171" s="17" t="s">
        <v>292</v>
      </c>
      <c r="C171">
        <f t="shared" si="24"/>
        <v>0</v>
      </c>
      <c r="D171">
        <f t="shared" si="25"/>
        <v>0.01</v>
      </c>
      <c r="E171">
        <f t="shared" si="25"/>
        <v>0.01</v>
      </c>
      <c r="F171">
        <f t="shared" si="25"/>
        <v>0.01</v>
      </c>
      <c r="G171">
        <f t="shared" si="25"/>
        <v>0.01</v>
      </c>
    </row>
    <row r="172" spans="1:7">
      <c r="A172" t="s">
        <v>24</v>
      </c>
      <c r="B172" s="17" t="s">
        <v>308</v>
      </c>
      <c r="C172">
        <f t="shared" si="24"/>
        <v>0.01</v>
      </c>
      <c r="D172">
        <f t="shared" si="25"/>
        <v>0</v>
      </c>
      <c r="E172">
        <f t="shared" si="25"/>
        <v>0.01</v>
      </c>
      <c r="F172">
        <f t="shared" si="25"/>
        <v>0.01</v>
      </c>
      <c r="G172">
        <f t="shared" si="25"/>
        <v>0.01</v>
      </c>
    </row>
    <row r="173" spans="1:7">
      <c r="A173" t="s">
        <v>24</v>
      </c>
      <c r="B173" s="17" t="s">
        <v>293</v>
      </c>
      <c r="C173">
        <f t="shared" ref="C173:C185" si="26">IF(C23&gt;0,0.01,0)</f>
        <v>0.01</v>
      </c>
      <c r="D173">
        <f t="shared" si="25"/>
        <v>0.01</v>
      </c>
      <c r="E173">
        <f t="shared" si="25"/>
        <v>0</v>
      </c>
      <c r="F173">
        <f t="shared" si="25"/>
        <v>0.01</v>
      </c>
      <c r="G173">
        <f t="shared" si="25"/>
        <v>0.01</v>
      </c>
    </row>
    <row r="174" spans="1:7">
      <c r="A174" t="s">
        <v>24</v>
      </c>
      <c r="B174" s="17" t="s">
        <v>309</v>
      </c>
      <c r="C174">
        <f t="shared" si="26"/>
        <v>0.01</v>
      </c>
      <c r="D174">
        <f t="shared" si="25"/>
        <v>0.01</v>
      </c>
      <c r="E174">
        <f t="shared" si="25"/>
        <v>0.01</v>
      </c>
      <c r="F174">
        <f t="shared" si="25"/>
        <v>0</v>
      </c>
      <c r="G174">
        <f t="shared" ref="D174:AF182" si="27">IF(G24&gt;0,0.01,0)</f>
        <v>0.01</v>
      </c>
    </row>
    <row r="175" spans="1:7">
      <c r="A175" t="s">
        <v>24</v>
      </c>
      <c r="B175" s="17" t="s">
        <v>296</v>
      </c>
      <c r="C175">
        <f t="shared" si="26"/>
        <v>0.01</v>
      </c>
      <c r="D175">
        <f t="shared" si="27"/>
        <v>0.01</v>
      </c>
      <c r="E175">
        <f t="shared" si="27"/>
        <v>0.01</v>
      </c>
      <c r="F175">
        <f t="shared" si="27"/>
        <v>0.01</v>
      </c>
      <c r="G175">
        <f t="shared" si="27"/>
        <v>0</v>
      </c>
    </row>
    <row r="176" spans="1:7">
      <c r="A176" t="s">
        <v>24</v>
      </c>
      <c r="B176" s="17" t="s">
        <v>297</v>
      </c>
      <c r="C176" t="e">
        <f t="shared" si="26"/>
        <v>#REF!</v>
      </c>
      <c r="D176" t="e">
        <f t="shared" si="27"/>
        <v>#REF!</v>
      </c>
      <c r="E176" t="e">
        <f t="shared" si="27"/>
        <v>#REF!</v>
      </c>
      <c r="F176" t="e">
        <f t="shared" si="27"/>
        <v>#REF!</v>
      </c>
      <c r="G176" t="e">
        <f t="shared" si="27"/>
        <v>#REF!</v>
      </c>
    </row>
    <row r="177" spans="1:7">
      <c r="A177" t="s">
        <v>24</v>
      </c>
      <c r="B177" s="17" t="s">
        <v>355</v>
      </c>
      <c r="C177">
        <f t="shared" si="26"/>
        <v>0</v>
      </c>
      <c r="D177">
        <f t="shared" si="27"/>
        <v>0.01</v>
      </c>
      <c r="E177">
        <f t="shared" si="27"/>
        <v>0.01</v>
      </c>
      <c r="F177">
        <f t="shared" si="27"/>
        <v>0.01</v>
      </c>
      <c r="G177">
        <f t="shared" si="27"/>
        <v>0.01</v>
      </c>
    </row>
    <row r="178" spans="1:7">
      <c r="A178" t="s">
        <v>24</v>
      </c>
      <c r="B178" s="17" t="s">
        <v>298</v>
      </c>
      <c r="C178">
        <f t="shared" si="26"/>
        <v>0.01</v>
      </c>
      <c r="D178">
        <f t="shared" si="27"/>
        <v>0</v>
      </c>
      <c r="E178">
        <f t="shared" si="27"/>
        <v>0.01</v>
      </c>
      <c r="F178">
        <f t="shared" si="27"/>
        <v>0.01</v>
      </c>
      <c r="G178">
        <f t="shared" si="27"/>
        <v>0.01</v>
      </c>
    </row>
    <row r="179" spans="1:7">
      <c r="A179" t="s">
        <v>24</v>
      </c>
      <c r="B179" s="17" t="s">
        <v>299</v>
      </c>
      <c r="C179">
        <f t="shared" si="26"/>
        <v>0.01</v>
      </c>
      <c r="D179">
        <f t="shared" si="27"/>
        <v>0.01</v>
      </c>
      <c r="E179">
        <f t="shared" si="27"/>
        <v>0</v>
      </c>
      <c r="F179">
        <f t="shared" si="27"/>
        <v>0.01</v>
      </c>
      <c r="G179">
        <f t="shared" si="27"/>
        <v>0.01</v>
      </c>
    </row>
    <row r="180" spans="1:7">
      <c r="A180" t="s">
        <v>24</v>
      </c>
      <c r="B180" s="17" t="s">
        <v>300</v>
      </c>
      <c r="C180">
        <f t="shared" si="26"/>
        <v>0.01</v>
      </c>
      <c r="D180">
        <f t="shared" si="27"/>
        <v>0.01</v>
      </c>
      <c r="E180">
        <f t="shared" si="27"/>
        <v>0.01</v>
      </c>
      <c r="F180">
        <f t="shared" si="27"/>
        <v>0</v>
      </c>
      <c r="G180">
        <f t="shared" si="27"/>
        <v>0.01</v>
      </c>
    </row>
    <row r="181" spans="1:7">
      <c r="A181" t="s">
        <v>24</v>
      </c>
      <c r="B181" s="17" t="s">
        <v>302</v>
      </c>
      <c r="C181">
        <f t="shared" si="26"/>
        <v>0.01</v>
      </c>
      <c r="D181">
        <f t="shared" si="27"/>
        <v>0.01</v>
      </c>
      <c r="E181">
        <f t="shared" si="27"/>
        <v>0.01</v>
      </c>
      <c r="F181">
        <f t="shared" si="27"/>
        <v>0.01</v>
      </c>
      <c r="G181">
        <f t="shared" si="27"/>
        <v>0</v>
      </c>
    </row>
    <row r="182" spans="1:7">
      <c r="A182" t="s">
        <v>24</v>
      </c>
      <c r="B182" s="17" t="s">
        <v>303</v>
      </c>
      <c r="C182" t="e">
        <f t="shared" si="26"/>
        <v>#REF!</v>
      </c>
      <c r="D182" t="e">
        <f t="shared" si="27"/>
        <v>#REF!</v>
      </c>
      <c r="E182" t="e">
        <f t="shared" si="27"/>
        <v>#REF!</v>
      </c>
      <c r="F182" t="e">
        <f t="shared" si="27"/>
        <v>#REF!</v>
      </c>
      <c r="G182" t="e">
        <f t="shared" si="27"/>
        <v>#REF!</v>
      </c>
    </row>
    <row r="183" spans="1:7">
      <c r="A183" t="s">
        <v>24</v>
      </c>
      <c r="B183" s="17" t="s">
        <v>304</v>
      </c>
      <c r="C183">
        <f t="shared" si="26"/>
        <v>0</v>
      </c>
      <c r="D183">
        <f t="shared" ref="D182:AF185" si="28">IF(D33&gt;0,0.01,0)</f>
        <v>0.01</v>
      </c>
      <c r="E183">
        <f t="shared" si="28"/>
        <v>0</v>
      </c>
      <c r="F183">
        <f t="shared" si="28"/>
        <v>0.01</v>
      </c>
      <c r="G183">
        <f t="shared" si="28"/>
        <v>0</v>
      </c>
    </row>
    <row r="184" spans="1:7">
      <c r="A184" t="s">
        <v>24</v>
      </c>
      <c r="B184" t="s">
        <v>354</v>
      </c>
      <c r="C184">
        <f t="shared" si="26"/>
        <v>0.01</v>
      </c>
      <c r="D184">
        <f t="shared" si="28"/>
        <v>0</v>
      </c>
      <c r="E184">
        <f t="shared" si="28"/>
        <v>0.01</v>
      </c>
      <c r="F184">
        <f t="shared" si="28"/>
        <v>0</v>
      </c>
      <c r="G184">
        <f t="shared" si="28"/>
        <v>0.01</v>
      </c>
    </row>
    <row r="185" spans="1:7">
      <c r="A185" t="s">
        <v>24</v>
      </c>
      <c r="B185" s="17" t="s">
        <v>306</v>
      </c>
      <c r="C185">
        <f t="shared" si="26"/>
        <v>0</v>
      </c>
      <c r="D185">
        <f t="shared" si="28"/>
        <v>0.01</v>
      </c>
      <c r="E185">
        <f t="shared" si="28"/>
        <v>0</v>
      </c>
      <c r="F185">
        <f t="shared" si="28"/>
        <v>0</v>
      </c>
      <c r="G185">
        <f t="shared" si="28"/>
        <v>0</v>
      </c>
    </row>
    <row r="186" spans="1:7" s="33" customFormat="1">
      <c r="A186" s="33" t="s">
        <v>342</v>
      </c>
      <c r="B186" s="55" t="s">
        <v>278</v>
      </c>
      <c r="C186" s="33">
        <f>ROUND((EXP(7.032824+1*0.622482)*((C6/1.852)^ 0.40303))/(1.15*0.0059)/1000000,3)</f>
        <v>0</v>
      </c>
      <c r="D186" s="33">
        <f t="shared" ref="D186:AF195" si="29">ROUND((EXP(7.032824+1*0.622482)*((D6/1.852)^ 0.40303))/(1.15*0.0059)/1000000,3)</f>
        <v>1.0029999999999999</v>
      </c>
      <c r="E186" s="33">
        <f t="shared" si="29"/>
        <v>1.119</v>
      </c>
      <c r="F186" s="33">
        <f t="shared" si="29"/>
        <v>1.044</v>
      </c>
      <c r="G186" s="33">
        <f t="shared" si="29"/>
        <v>1.198</v>
      </c>
    </row>
    <row r="187" spans="1:7">
      <c r="A187" t="s">
        <v>342</v>
      </c>
      <c r="B187" s="17" t="s">
        <v>280</v>
      </c>
      <c r="C187">
        <f t="shared" ref="C187:R202" si="30">ROUND((EXP(7.032824+1*0.622482)*((C7/1.852)^ 0.40303))/(1.15*0.0059)/1000000,3)</f>
        <v>1.0029999999999999</v>
      </c>
      <c r="D187">
        <f t="shared" si="30"/>
        <v>0</v>
      </c>
      <c r="E187">
        <f t="shared" si="30"/>
        <v>1.1870000000000001</v>
      </c>
      <c r="F187">
        <f t="shared" si="30"/>
        <v>1.329</v>
      </c>
      <c r="G187">
        <f t="shared" si="30"/>
        <v>1.018</v>
      </c>
    </row>
    <row r="188" spans="1:7">
      <c r="A188" t="s">
        <v>342</v>
      </c>
      <c r="B188" s="17" t="s">
        <v>281</v>
      </c>
      <c r="C188">
        <f t="shared" si="30"/>
        <v>1.119</v>
      </c>
      <c r="D188">
        <f t="shared" si="29"/>
        <v>1.1870000000000001</v>
      </c>
      <c r="E188">
        <f t="shared" si="29"/>
        <v>0</v>
      </c>
      <c r="F188">
        <f t="shared" si="29"/>
        <v>1.1479999999999999</v>
      </c>
      <c r="G188">
        <f t="shared" si="29"/>
        <v>1.008</v>
      </c>
    </row>
    <row r="189" spans="1:7">
      <c r="A189" t="s">
        <v>342</v>
      </c>
      <c r="B189" s="17" t="s">
        <v>282</v>
      </c>
      <c r="C189">
        <f t="shared" si="30"/>
        <v>1.044</v>
      </c>
      <c r="D189">
        <f t="shared" si="29"/>
        <v>1.329</v>
      </c>
      <c r="E189">
        <f t="shared" si="29"/>
        <v>1.1479999999999999</v>
      </c>
      <c r="F189">
        <f t="shared" si="29"/>
        <v>0</v>
      </c>
      <c r="G189">
        <f t="shared" si="29"/>
        <v>1.3759999999999999</v>
      </c>
    </row>
    <row r="190" spans="1:7">
      <c r="A190" t="s">
        <v>342</v>
      </c>
      <c r="B190" s="17" t="s">
        <v>283</v>
      </c>
      <c r="C190">
        <f t="shared" si="30"/>
        <v>1.198</v>
      </c>
      <c r="D190">
        <f t="shared" si="29"/>
        <v>1.018</v>
      </c>
      <c r="E190">
        <f t="shared" si="29"/>
        <v>1.008</v>
      </c>
      <c r="F190">
        <f t="shared" si="29"/>
        <v>1.3759999999999999</v>
      </c>
      <c r="G190">
        <f t="shared" si="29"/>
        <v>0</v>
      </c>
    </row>
    <row r="191" spans="1:7">
      <c r="A191" t="s">
        <v>342</v>
      </c>
      <c r="B191" s="17" t="s">
        <v>509</v>
      </c>
      <c r="C191">
        <f t="shared" si="30"/>
        <v>0</v>
      </c>
      <c r="D191">
        <f t="shared" si="29"/>
        <v>1.0029999999999999</v>
      </c>
      <c r="E191">
        <f t="shared" si="29"/>
        <v>1.119</v>
      </c>
      <c r="F191">
        <f t="shared" si="29"/>
        <v>1.044</v>
      </c>
      <c r="G191">
        <f t="shared" si="29"/>
        <v>1.198</v>
      </c>
    </row>
    <row r="192" spans="1:7">
      <c r="A192" t="s">
        <v>342</v>
      </c>
      <c r="B192" s="17" t="s">
        <v>284</v>
      </c>
      <c r="C192">
        <f t="shared" si="30"/>
        <v>1.0029999999999999</v>
      </c>
      <c r="D192">
        <f t="shared" si="29"/>
        <v>0</v>
      </c>
      <c r="E192">
        <f t="shared" si="29"/>
        <v>1.1870000000000001</v>
      </c>
      <c r="F192">
        <f t="shared" si="29"/>
        <v>1.329</v>
      </c>
      <c r="G192">
        <f t="shared" si="29"/>
        <v>1.018</v>
      </c>
    </row>
    <row r="193" spans="1:7">
      <c r="A193" t="s">
        <v>342</v>
      </c>
      <c r="B193" s="17" t="s">
        <v>307</v>
      </c>
      <c r="C193">
        <f t="shared" si="30"/>
        <v>1.119</v>
      </c>
      <c r="D193">
        <f t="shared" si="29"/>
        <v>1.1870000000000001</v>
      </c>
      <c r="E193">
        <f t="shared" si="29"/>
        <v>0</v>
      </c>
      <c r="F193">
        <f t="shared" si="29"/>
        <v>1.1479999999999999</v>
      </c>
      <c r="G193">
        <f t="shared" si="29"/>
        <v>1.008</v>
      </c>
    </row>
    <row r="194" spans="1:7">
      <c r="A194" t="s">
        <v>342</v>
      </c>
      <c r="B194" s="17" t="s">
        <v>285</v>
      </c>
      <c r="C194">
        <f t="shared" si="30"/>
        <v>1.044</v>
      </c>
      <c r="D194">
        <f t="shared" si="29"/>
        <v>1.329</v>
      </c>
      <c r="E194">
        <f t="shared" si="29"/>
        <v>1.1479999999999999</v>
      </c>
      <c r="F194">
        <f t="shared" si="29"/>
        <v>0</v>
      </c>
      <c r="G194">
        <f t="shared" si="29"/>
        <v>1.3759999999999999</v>
      </c>
    </row>
    <row r="195" spans="1:7">
      <c r="A195" t="s">
        <v>342</v>
      </c>
      <c r="B195" s="17" t="s">
        <v>286</v>
      </c>
      <c r="C195">
        <f t="shared" si="30"/>
        <v>1.198</v>
      </c>
      <c r="D195">
        <f t="shared" si="29"/>
        <v>1.018</v>
      </c>
      <c r="E195">
        <f t="shared" si="29"/>
        <v>1.008</v>
      </c>
      <c r="F195">
        <f t="shared" si="29"/>
        <v>1.3759999999999999</v>
      </c>
      <c r="G195">
        <f t="shared" si="29"/>
        <v>0</v>
      </c>
    </row>
    <row r="196" spans="1:7">
      <c r="A196" t="s">
        <v>342</v>
      </c>
      <c r="B196" s="17" t="s">
        <v>287</v>
      </c>
      <c r="C196">
        <f t="shared" si="30"/>
        <v>0</v>
      </c>
      <c r="D196">
        <f t="shared" ref="D195:AF204" si="31">ROUND((EXP(7.032824+1*0.622482)*((D16/1.852)^ 0.40303))/(1.15*0.0059)/1000000,3)</f>
        <v>1.0029999999999999</v>
      </c>
      <c r="E196">
        <f t="shared" si="31"/>
        <v>1.119</v>
      </c>
      <c r="F196">
        <f t="shared" si="31"/>
        <v>1.044</v>
      </c>
      <c r="G196">
        <f t="shared" si="31"/>
        <v>1.198</v>
      </c>
    </row>
    <row r="197" spans="1:7">
      <c r="A197" t="s">
        <v>342</v>
      </c>
      <c r="B197" s="17" t="s">
        <v>288</v>
      </c>
      <c r="C197">
        <f t="shared" si="30"/>
        <v>1.0029999999999999</v>
      </c>
      <c r="D197">
        <f t="shared" si="31"/>
        <v>0</v>
      </c>
      <c r="E197">
        <f t="shared" si="31"/>
        <v>1.1870000000000001</v>
      </c>
      <c r="F197">
        <f t="shared" si="31"/>
        <v>1.329</v>
      </c>
      <c r="G197">
        <f t="shared" si="31"/>
        <v>1.018</v>
      </c>
    </row>
    <row r="198" spans="1:7">
      <c r="A198" t="s">
        <v>342</v>
      </c>
      <c r="B198" s="17" t="s">
        <v>289</v>
      </c>
      <c r="C198">
        <f t="shared" si="30"/>
        <v>1.119</v>
      </c>
      <c r="D198">
        <f t="shared" si="31"/>
        <v>1.1870000000000001</v>
      </c>
      <c r="E198">
        <f t="shared" si="31"/>
        <v>0</v>
      </c>
      <c r="F198">
        <f t="shared" si="31"/>
        <v>1.1479999999999999</v>
      </c>
      <c r="G198">
        <f t="shared" si="31"/>
        <v>1.008</v>
      </c>
    </row>
    <row r="199" spans="1:7">
      <c r="A199" t="s">
        <v>342</v>
      </c>
      <c r="B199" s="17" t="s">
        <v>290</v>
      </c>
      <c r="C199">
        <f t="shared" si="30"/>
        <v>1.044</v>
      </c>
      <c r="D199">
        <f t="shared" si="31"/>
        <v>1.329</v>
      </c>
      <c r="E199">
        <f t="shared" si="31"/>
        <v>1.1479999999999999</v>
      </c>
      <c r="F199">
        <f t="shared" si="31"/>
        <v>0</v>
      </c>
      <c r="G199">
        <f t="shared" si="31"/>
        <v>1.3759999999999999</v>
      </c>
    </row>
    <row r="200" spans="1:7">
      <c r="A200" t="s">
        <v>342</v>
      </c>
      <c r="B200" s="17" t="s">
        <v>291</v>
      </c>
      <c r="C200">
        <f t="shared" si="30"/>
        <v>1.198</v>
      </c>
      <c r="D200">
        <f t="shared" si="31"/>
        <v>1.018</v>
      </c>
      <c r="E200">
        <f t="shared" si="31"/>
        <v>1.008</v>
      </c>
      <c r="F200">
        <f t="shared" si="31"/>
        <v>1.3759999999999999</v>
      </c>
      <c r="G200">
        <f t="shared" si="31"/>
        <v>0</v>
      </c>
    </row>
    <row r="201" spans="1:7">
      <c r="A201" t="s">
        <v>342</v>
      </c>
      <c r="B201" s="17" t="s">
        <v>292</v>
      </c>
      <c r="C201">
        <f t="shared" si="30"/>
        <v>0</v>
      </c>
      <c r="D201">
        <f t="shared" si="31"/>
        <v>1.0029999999999999</v>
      </c>
      <c r="E201">
        <f t="shared" si="31"/>
        <v>1.119</v>
      </c>
      <c r="F201">
        <f t="shared" si="31"/>
        <v>1.044</v>
      </c>
      <c r="G201">
        <f t="shared" si="31"/>
        <v>1.198</v>
      </c>
    </row>
    <row r="202" spans="1:7">
      <c r="A202" t="s">
        <v>342</v>
      </c>
      <c r="B202" s="17" t="s">
        <v>308</v>
      </c>
      <c r="C202">
        <f t="shared" si="30"/>
        <v>1.0029999999999999</v>
      </c>
      <c r="D202">
        <f t="shared" si="31"/>
        <v>0</v>
      </c>
      <c r="E202">
        <f t="shared" si="31"/>
        <v>1.1870000000000001</v>
      </c>
      <c r="F202">
        <f t="shared" si="31"/>
        <v>1.329</v>
      </c>
      <c r="G202">
        <f t="shared" si="31"/>
        <v>1.018</v>
      </c>
    </row>
    <row r="203" spans="1:7">
      <c r="A203" t="s">
        <v>342</v>
      </c>
      <c r="B203" s="17" t="s">
        <v>293</v>
      </c>
      <c r="C203">
        <f t="shared" ref="C203:C215" si="32">ROUND((EXP(7.032824+1*0.622482)*((C23/1.852)^ 0.40303))/(1.15*0.0059)/1000000,3)</f>
        <v>1.119</v>
      </c>
      <c r="D203">
        <f t="shared" si="31"/>
        <v>1.1870000000000001</v>
      </c>
      <c r="E203">
        <f t="shared" si="31"/>
        <v>0</v>
      </c>
      <c r="F203">
        <f t="shared" si="31"/>
        <v>1.1479999999999999</v>
      </c>
      <c r="G203">
        <f t="shared" si="31"/>
        <v>1.008</v>
      </c>
    </row>
    <row r="204" spans="1:7">
      <c r="A204" t="s">
        <v>342</v>
      </c>
      <c r="B204" s="17" t="s">
        <v>309</v>
      </c>
      <c r="C204">
        <f t="shared" si="32"/>
        <v>1.044</v>
      </c>
      <c r="D204">
        <f t="shared" si="31"/>
        <v>1.329</v>
      </c>
      <c r="E204">
        <f t="shared" si="31"/>
        <v>1.1479999999999999</v>
      </c>
      <c r="F204">
        <f t="shared" si="31"/>
        <v>0</v>
      </c>
      <c r="G204">
        <f t="shared" ref="D204:AF212" si="33">ROUND((EXP(7.032824+1*0.622482)*((G24/1.852)^ 0.40303))/(1.15*0.0059)/1000000,3)</f>
        <v>1.3759999999999999</v>
      </c>
    </row>
    <row r="205" spans="1:7">
      <c r="A205" t="s">
        <v>342</v>
      </c>
      <c r="B205" s="17" t="s">
        <v>296</v>
      </c>
      <c r="C205">
        <f t="shared" si="32"/>
        <v>1.198</v>
      </c>
      <c r="D205">
        <f t="shared" si="33"/>
        <v>1.018</v>
      </c>
      <c r="E205">
        <f t="shared" si="33"/>
        <v>1.008</v>
      </c>
      <c r="F205">
        <f t="shared" si="33"/>
        <v>1.3759999999999999</v>
      </c>
      <c r="G205">
        <f t="shared" si="33"/>
        <v>0</v>
      </c>
    </row>
    <row r="206" spans="1:7">
      <c r="A206" t="s">
        <v>342</v>
      </c>
      <c r="B206" s="17" t="s">
        <v>297</v>
      </c>
      <c r="C206" t="e">
        <f t="shared" si="32"/>
        <v>#REF!</v>
      </c>
      <c r="D206" t="e">
        <f t="shared" si="33"/>
        <v>#REF!</v>
      </c>
      <c r="E206" t="e">
        <f t="shared" si="33"/>
        <v>#REF!</v>
      </c>
      <c r="F206" t="e">
        <f t="shared" si="33"/>
        <v>#REF!</v>
      </c>
      <c r="G206" t="e">
        <f t="shared" si="33"/>
        <v>#REF!</v>
      </c>
    </row>
    <row r="207" spans="1:7">
      <c r="A207" t="s">
        <v>342</v>
      </c>
      <c r="B207" s="17" t="s">
        <v>355</v>
      </c>
      <c r="C207">
        <f t="shared" si="32"/>
        <v>0</v>
      </c>
      <c r="D207">
        <f t="shared" si="33"/>
        <v>1.0029999999999999</v>
      </c>
      <c r="E207">
        <f t="shared" si="33"/>
        <v>1.119</v>
      </c>
      <c r="F207">
        <f t="shared" si="33"/>
        <v>1.044</v>
      </c>
      <c r="G207">
        <f t="shared" si="33"/>
        <v>1.198</v>
      </c>
    </row>
    <row r="208" spans="1:7">
      <c r="A208" t="s">
        <v>342</v>
      </c>
      <c r="B208" s="17" t="s">
        <v>298</v>
      </c>
      <c r="C208">
        <f t="shared" si="32"/>
        <v>1.0029999999999999</v>
      </c>
      <c r="D208">
        <f t="shared" si="33"/>
        <v>0</v>
      </c>
      <c r="E208">
        <f t="shared" si="33"/>
        <v>1.1870000000000001</v>
      </c>
      <c r="F208">
        <f t="shared" si="33"/>
        <v>1.329</v>
      </c>
      <c r="G208">
        <f t="shared" si="33"/>
        <v>1.018</v>
      </c>
    </row>
    <row r="209" spans="1:7">
      <c r="A209" t="s">
        <v>342</v>
      </c>
      <c r="B209" s="17" t="s">
        <v>299</v>
      </c>
      <c r="C209">
        <f t="shared" si="32"/>
        <v>1.119</v>
      </c>
      <c r="D209">
        <f t="shared" si="33"/>
        <v>1.1870000000000001</v>
      </c>
      <c r="E209">
        <f t="shared" si="33"/>
        <v>0</v>
      </c>
      <c r="F209">
        <f t="shared" si="33"/>
        <v>1.1479999999999999</v>
      </c>
      <c r="G209">
        <f t="shared" si="33"/>
        <v>1.008</v>
      </c>
    </row>
    <row r="210" spans="1:7">
      <c r="A210" t="s">
        <v>342</v>
      </c>
      <c r="B210" s="17" t="s">
        <v>300</v>
      </c>
      <c r="C210">
        <f t="shared" si="32"/>
        <v>1.044</v>
      </c>
      <c r="D210">
        <f t="shared" si="33"/>
        <v>1.329</v>
      </c>
      <c r="E210">
        <f t="shared" si="33"/>
        <v>1.1479999999999999</v>
      </c>
      <c r="F210">
        <f t="shared" si="33"/>
        <v>0</v>
      </c>
      <c r="G210">
        <f t="shared" si="33"/>
        <v>1.3759999999999999</v>
      </c>
    </row>
    <row r="211" spans="1:7">
      <c r="A211" t="s">
        <v>342</v>
      </c>
      <c r="B211" s="17" t="s">
        <v>302</v>
      </c>
      <c r="C211">
        <f t="shared" si="32"/>
        <v>1.198</v>
      </c>
      <c r="D211">
        <f t="shared" si="33"/>
        <v>1.018</v>
      </c>
      <c r="E211">
        <f t="shared" si="33"/>
        <v>1.008</v>
      </c>
      <c r="F211">
        <f t="shared" si="33"/>
        <v>1.3759999999999999</v>
      </c>
      <c r="G211">
        <f t="shared" si="33"/>
        <v>0</v>
      </c>
    </row>
    <row r="212" spans="1:7">
      <c r="A212" t="s">
        <v>342</v>
      </c>
      <c r="B212" s="17" t="s">
        <v>303</v>
      </c>
      <c r="C212" t="e">
        <f t="shared" si="32"/>
        <v>#REF!</v>
      </c>
      <c r="D212" t="e">
        <f t="shared" si="33"/>
        <v>#REF!</v>
      </c>
      <c r="E212" t="e">
        <f t="shared" si="33"/>
        <v>#REF!</v>
      </c>
      <c r="F212" t="e">
        <f t="shared" si="33"/>
        <v>#REF!</v>
      </c>
      <c r="G212" t="e">
        <f t="shared" si="33"/>
        <v>#REF!</v>
      </c>
    </row>
    <row r="213" spans="1:7">
      <c r="A213" t="s">
        <v>342</v>
      </c>
      <c r="B213" s="17" t="s">
        <v>304</v>
      </c>
      <c r="C213">
        <f t="shared" si="32"/>
        <v>0</v>
      </c>
      <c r="D213">
        <f t="shared" ref="D212:AF215" si="34">ROUND((EXP(7.032824+1*0.622482)*((D33/1.852)^ 0.40303))/(1.15*0.0059)/1000000,3)</f>
        <v>0.441</v>
      </c>
      <c r="E213">
        <f t="shared" si="34"/>
        <v>0</v>
      </c>
      <c r="F213">
        <f t="shared" si="34"/>
        <v>0.93100000000000005</v>
      </c>
      <c r="G213">
        <f t="shared" si="34"/>
        <v>0</v>
      </c>
    </row>
    <row r="214" spans="1:7">
      <c r="A214" t="s">
        <v>342</v>
      </c>
      <c r="B214" t="s">
        <v>354</v>
      </c>
      <c r="C214">
        <f t="shared" si="32"/>
        <v>0.441</v>
      </c>
      <c r="D214">
        <f t="shared" si="34"/>
        <v>0</v>
      </c>
      <c r="E214">
        <f t="shared" si="34"/>
        <v>0.99</v>
      </c>
      <c r="F214">
        <f t="shared" si="34"/>
        <v>0</v>
      </c>
      <c r="G214">
        <f t="shared" si="34"/>
        <v>0.85299999999999998</v>
      </c>
    </row>
    <row r="215" spans="1:7">
      <c r="A215" t="s">
        <v>342</v>
      </c>
      <c r="B215" s="17" t="s">
        <v>306</v>
      </c>
      <c r="C215">
        <f t="shared" si="32"/>
        <v>0</v>
      </c>
      <c r="D215">
        <f t="shared" si="34"/>
        <v>0.99</v>
      </c>
      <c r="E215">
        <f t="shared" si="34"/>
        <v>0</v>
      </c>
      <c r="F215">
        <f t="shared" si="34"/>
        <v>0</v>
      </c>
      <c r="G215">
        <f t="shared" si="34"/>
        <v>0</v>
      </c>
    </row>
    <row r="216" spans="1:7" s="33" customFormat="1">
      <c r="A216" s="33" t="s">
        <v>343</v>
      </c>
      <c r="B216" s="55" t="s">
        <v>278</v>
      </c>
      <c r="C216" s="33">
        <f>ROUND((EXP(7.032824+1*0.622482)*((C6/1.852)^ 0.40303))/(1.15*0.0059)/1000000,3)</f>
        <v>0</v>
      </c>
      <c r="D216" s="33">
        <f t="shared" ref="D216:AF225" si="35">ROUND((EXP(7.032824+1*0.622482)*((D6/1.852)^ 0.40303))/(1.15*0.0059)/1000000,3)</f>
        <v>1.0029999999999999</v>
      </c>
      <c r="E216" s="33">
        <f t="shared" si="35"/>
        <v>1.119</v>
      </c>
      <c r="F216" s="33">
        <f t="shared" si="35"/>
        <v>1.044</v>
      </c>
      <c r="G216" s="33">
        <f t="shared" si="35"/>
        <v>1.198</v>
      </c>
    </row>
    <row r="217" spans="1:7">
      <c r="A217" t="s">
        <v>343</v>
      </c>
      <c r="B217" s="17" t="s">
        <v>280</v>
      </c>
      <c r="C217">
        <f t="shared" ref="C217:R232" si="36">ROUND((EXP(7.032824+1*0.622482)*((C7/1.852)^ 0.40303))/(1.15*0.0059)/1000000,3)</f>
        <v>1.0029999999999999</v>
      </c>
      <c r="D217">
        <f t="shared" si="36"/>
        <v>0</v>
      </c>
      <c r="E217">
        <f t="shared" si="36"/>
        <v>1.1870000000000001</v>
      </c>
      <c r="F217">
        <f t="shared" si="36"/>
        <v>1.329</v>
      </c>
      <c r="G217">
        <f t="shared" si="36"/>
        <v>1.018</v>
      </c>
    </row>
    <row r="218" spans="1:7">
      <c r="A218" t="s">
        <v>343</v>
      </c>
      <c r="B218" s="17" t="s">
        <v>281</v>
      </c>
      <c r="C218">
        <f t="shared" si="36"/>
        <v>1.119</v>
      </c>
      <c r="D218">
        <f t="shared" si="35"/>
        <v>1.1870000000000001</v>
      </c>
      <c r="E218">
        <f t="shared" si="35"/>
        <v>0</v>
      </c>
      <c r="F218">
        <f t="shared" si="35"/>
        <v>1.1479999999999999</v>
      </c>
      <c r="G218">
        <f t="shared" si="35"/>
        <v>1.008</v>
      </c>
    </row>
    <row r="219" spans="1:7">
      <c r="A219" t="s">
        <v>343</v>
      </c>
      <c r="B219" s="17" t="s">
        <v>282</v>
      </c>
      <c r="C219">
        <f t="shared" si="36"/>
        <v>1.044</v>
      </c>
      <c r="D219">
        <f t="shared" si="35"/>
        <v>1.329</v>
      </c>
      <c r="E219">
        <f t="shared" si="35"/>
        <v>1.1479999999999999</v>
      </c>
      <c r="F219">
        <f t="shared" si="35"/>
        <v>0</v>
      </c>
      <c r="G219">
        <f t="shared" si="35"/>
        <v>1.3759999999999999</v>
      </c>
    </row>
    <row r="220" spans="1:7">
      <c r="A220" t="s">
        <v>343</v>
      </c>
      <c r="B220" s="17" t="s">
        <v>283</v>
      </c>
      <c r="C220">
        <f t="shared" si="36"/>
        <v>1.198</v>
      </c>
      <c r="D220">
        <f t="shared" si="35"/>
        <v>1.018</v>
      </c>
      <c r="E220">
        <f t="shared" si="35"/>
        <v>1.008</v>
      </c>
      <c r="F220">
        <f t="shared" si="35"/>
        <v>1.3759999999999999</v>
      </c>
      <c r="G220">
        <f t="shared" si="35"/>
        <v>0</v>
      </c>
    </row>
    <row r="221" spans="1:7">
      <c r="A221" t="s">
        <v>343</v>
      </c>
      <c r="B221" s="17" t="s">
        <v>509</v>
      </c>
      <c r="C221">
        <f t="shared" si="36"/>
        <v>0</v>
      </c>
      <c r="D221">
        <f t="shared" si="35"/>
        <v>1.0029999999999999</v>
      </c>
      <c r="E221">
        <f t="shared" si="35"/>
        <v>1.119</v>
      </c>
      <c r="F221">
        <f t="shared" si="35"/>
        <v>1.044</v>
      </c>
      <c r="G221">
        <f t="shared" si="35"/>
        <v>1.198</v>
      </c>
    </row>
    <row r="222" spans="1:7">
      <c r="A222" t="s">
        <v>343</v>
      </c>
      <c r="B222" s="17" t="s">
        <v>284</v>
      </c>
      <c r="C222">
        <f t="shared" si="36"/>
        <v>1.0029999999999999</v>
      </c>
      <c r="D222">
        <f t="shared" si="35"/>
        <v>0</v>
      </c>
      <c r="E222">
        <f t="shared" si="35"/>
        <v>1.1870000000000001</v>
      </c>
      <c r="F222">
        <f t="shared" si="35"/>
        <v>1.329</v>
      </c>
      <c r="G222">
        <f t="shared" si="35"/>
        <v>1.018</v>
      </c>
    </row>
    <row r="223" spans="1:7">
      <c r="A223" t="s">
        <v>343</v>
      </c>
      <c r="B223" s="17" t="s">
        <v>307</v>
      </c>
      <c r="C223">
        <f t="shared" si="36"/>
        <v>1.119</v>
      </c>
      <c r="D223">
        <f t="shared" si="35"/>
        <v>1.1870000000000001</v>
      </c>
      <c r="E223">
        <f t="shared" si="35"/>
        <v>0</v>
      </c>
      <c r="F223">
        <f t="shared" si="35"/>
        <v>1.1479999999999999</v>
      </c>
      <c r="G223">
        <f t="shared" si="35"/>
        <v>1.008</v>
      </c>
    </row>
    <row r="224" spans="1:7">
      <c r="A224" t="s">
        <v>343</v>
      </c>
      <c r="B224" s="17" t="s">
        <v>285</v>
      </c>
      <c r="C224">
        <f t="shared" si="36"/>
        <v>1.044</v>
      </c>
      <c r="D224">
        <f t="shared" si="35"/>
        <v>1.329</v>
      </c>
      <c r="E224">
        <f t="shared" si="35"/>
        <v>1.1479999999999999</v>
      </c>
      <c r="F224">
        <f t="shared" si="35"/>
        <v>0</v>
      </c>
      <c r="G224">
        <f t="shared" si="35"/>
        <v>1.3759999999999999</v>
      </c>
    </row>
    <row r="225" spans="1:7">
      <c r="A225" t="s">
        <v>343</v>
      </c>
      <c r="B225" s="17" t="s">
        <v>286</v>
      </c>
      <c r="C225">
        <f t="shared" si="36"/>
        <v>1.198</v>
      </c>
      <c r="D225">
        <f t="shared" si="35"/>
        <v>1.018</v>
      </c>
      <c r="E225">
        <f t="shared" si="35"/>
        <v>1.008</v>
      </c>
      <c r="F225">
        <f t="shared" si="35"/>
        <v>1.3759999999999999</v>
      </c>
      <c r="G225">
        <f t="shared" si="35"/>
        <v>0</v>
      </c>
    </row>
    <row r="226" spans="1:7">
      <c r="A226" t="s">
        <v>343</v>
      </c>
      <c r="B226" s="17" t="s">
        <v>287</v>
      </c>
      <c r="C226">
        <f t="shared" si="36"/>
        <v>0</v>
      </c>
      <c r="D226">
        <f t="shared" ref="D225:AF234" si="37">ROUND((EXP(7.032824+1*0.622482)*((D16/1.852)^ 0.40303))/(1.15*0.0059)/1000000,3)</f>
        <v>1.0029999999999999</v>
      </c>
      <c r="E226">
        <f t="shared" si="37"/>
        <v>1.119</v>
      </c>
      <c r="F226">
        <f t="shared" si="37"/>
        <v>1.044</v>
      </c>
      <c r="G226">
        <f t="shared" si="37"/>
        <v>1.198</v>
      </c>
    </row>
    <row r="227" spans="1:7">
      <c r="A227" t="s">
        <v>343</v>
      </c>
      <c r="B227" s="17" t="s">
        <v>288</v>
      </c>
      <c r="C227">
        <f t="shared" si="36"/>
        <v>1.0029999999999999</v>
      </c>
      <c r="D227">
        <f t="shared" si="37"/>
        <v>0</v>
      </c>
      <c r="E227">
        <f t="shared" si="37"/>
        <v>1.1870000000000001</v>
      </c>
      <c r="F227">
        <f t="shared" si="37"/>
        <v>1.329</v>
      </c>
      <c r="G227">
        <f t="shared" si="37"/>
        <v>1.018</v>
      </c>
    </row>
    <row r="228" spans="1:7">
      <c r="A228" t="s">
        <v>343</v>
      </c>
      <c r="B228" s="17" t="s">
        <v>289</v>
      </c>
      <c r="C228">
        <f t="shared" si="36"/>
        <v>1.119</v>
      </c>
      <c r="D228">
        <f t="shared" si="37"/>
        <v>1.1870000000000001</v>
      </c>
      <c r="E228">
        <f t="shared" si="37"/>
        <v>0</v>
      </c>
      <c r="F228">
        <f t="shared" si="37"/>
        <v>1.1479999999999999</v>
      </c>
      <c r="G228">
        <f t="shared" si="37"/>
        <v>1.008</v>
      </c>
    </row>
    <row r="229" spans="1:7">
      <c r="A229" t="s">
        <v>343</v>
      </c>
      <c r="B229" s="17" t="s">
        <v>290</v>
      </c>
      <c r="C229">
        <f t="shared" si="36"/>
        <v>1.044</v>
      </c>
      <c r="D229">
        <f t="shared" si="37"/>
        <v>1.329</v>
      </c>
      <c r="E229">
        <f t="shared" si="37"/>
        <v>1.1479999999999999</v>
      </c>
      <c r="F229">
        <f t="shared" si="37"/>
        <v>0</v>
      </c>
      <c r="G229">
        <f t="shared" si="37"/>
        <v>1.3759999999999999</v>
      </c>
    </row>
    <row r="230" spans="1:7">
      <c r="A230" t="s">
        <v>343</v>
      </c>
      <c r="B230" s="17" t="s">
        <v>291</v>
      </c>
      <c r="C230">
        <f t="shared" si="36"/>
        <v>1.198</v>
      </c>
      <c r="D230">
        <f t="shared" si="37"/>
        <v>1.018</v>
      </c>
      <c r="E230">
        <f t="shared" si="37"/>
        <v>1.008</v>
      </c>
      <c r="F230">
        <f t="shared" si="37"/>
        <v>1.3759999999999999</v>
      </c>
      <c r="G230">
        <f t="shared" si="37"/>
        <v>0</v>
      </c>
    </row>
    <row r="231" spans="1:7">
      <c r="A231" t="s">
        <v>343</v>
      </c>
      <c r="B231" s="17" t="s">
        <v>292</v>
      </c>
      <c r="C231">
        <f t="shared" si="36"/>
        <v>0</v>
      </c>
      <c r="D231">
        <f t="shared" si="37"/>
        <v>1.0029999999999999</v>
      </c>
      <c r="E231">
        <f t="shared" si="37"/>
        <v>1.119</v>
      </c>
      <c r="F231">
        <f t="shared" si="37"/>
        <v>1.044</v>
      </c>
      <c r="G231">
        <f t="shared" si="37"/>
        <v>1.198</v>
      </c>
    </row>
    <row r="232" spans="1:7">
      <c r="A232" t="s">
        <v>343</v>
      </c>
      <c r="B232" s="17" t="s">
        <v>308</v>
      </c>
      <c r="C232">
        <f t="shared" si="36"/>
        <v>1.0029999999999999</v>
      </c>
      <c r="D232">
        <f t="shared" si="37"/>
        <v>0</v>
      </c>
      <c r="E232">
        <f t="shared" si="37"/>
        <v>1.1870000000000001</v>
      </c>
      <c r="F232">
        <f t="shared" si="37"/>
        <v>1.329</v>
      </c>
      <c r="G232">
        <f t="shared" si="37"/>
        <v>1.018</v>
      </c>
    </row>
    <row r="233" spans="1:7">
      <c r="A233" t="s">
        <v>343</v>
      </c>
      <c r="B233" s="17" t="s">
        <v>293</v>
      </c>
      <c r="C233">
        <f t="shared" ref="C233:C245" si="38">ROUND((EXP(7.032824+1*0.622482)*((C23/1.852)^ 0.40303))/(1.15*0.0059)/1000000,3)</f>
        <v>1.119</v>
      </c>
      <c r="D233">
        <f t="shared" si="37"/>
        <v>1.1870000000000001</v>
      </c>
      <c r="E233">
        <f t="shared" si="37"/>
        <v>0</v>
      </c>
      <c r="F233">
        <f t="shared" si="37"/>
        <v>1.1479999999999999</v>
      </c>
      <c r="G233">
        <f t="shared" si="37"/>
        <v>1.008</v>
      </c>
    </row>
    <row r="234" spans="1:7">
      <c r="A234" t="s">
        <v>343</v>
      </c>
      <c r="B234" s="17" t="s">
        <v>309</v>
      </c>
      <c r="C234">
        <f t="shared" si="38"/>
        <v>1.044</v>
      </c>
      <c r="D234">
        <f t="shared" si="37"/>
        <v>1.329</v>
      </c>
      <c r="E234">
        <f t="shared" si="37"/>
        <v>1.1479999999999999</v>
      </c>
      <c r="F234">
        <f t="shared" si="37"/>
        <v>0</v>
      </c>
      <c r="G234">
        <f t="shared" ref="D234:AF242" si="39">ROUND((EXP(7.032824+1*0.622482)*((G24/1.852)^ 0.40303))/(1.15*0.0059)/1000000,3)</f>
        <v>1.3759999999999999</v>
      </c>
    </row>
    <row r="235" spans="1:7">
      <c r="A235" t="s">
        <v>343</v>
      </c>
      <c r="B235" s="17" t="s">
        <v>296</v>
      </c>
      <c r="C235">
        <f t="shared" si="38"/>
        <v>1.198</v>
      </c>
      <c r="D235">
        <f t="shared" si="39"/>
        <v>1.018</v>
      </c>
      <c r="E235">
        <f t="shared" si="39"/>
        <v>1.008</v>
      </c>
      <c r="F235">
        <f t="shared" si="39"/>
        <v>1.3759999999999999</v>
      </c>
      <c r="G235">
        <f t="shared" si="39"/>
        <v>0</v>
      </c>
    </row>
    <row r="236" spans="1:7">
      <c r="A236" t="s">
        <v>343</v>
      </c>
      <c r="B236" s="17" t="s">
        <v>297</v>
      </c>
      <c r="C236" t="e">
        <f t="shared" si="38"/>
        <v>#REF!</v>
      </c>
      <c r="D236" t="e">
        <f t="shared" si="39"/>
        <v>#REF!</v>
      </c>
      <c r="E236" t="e">
        <f t="shared" si="39"/>
        <v>#REF!</v>
      </c>
      <c r="F236" t="e">
        <f t="shared" si="39"/>
        <v>#REF!</v>
      </c>
      <c r="G236" t="e">
        <f t="shared" si="39"/>
        <v>#REF!</v>
      </c>
    </row>
    <row r="237" spans="1:7">
      <c r="A237" t="s">
        <v>343</v>
      </c>
      <c r="B237" s="17" t="s">
        <v>355</v>
      </c>
      <c r="C237">
        <f t="shared" si="38"/>
        <v>0</v>
      </c>
      <c r="D237">
        <f t="shared" si="39"/>
        <v>1.0029999999999999</v>
      </c>
      <c r="E237">
        <f t="shared" si="39"/>
        <v>1.119</v>
      </c>
      <c r="F237">
        <f t="shared" si="39"/>
        <v>1.044</v>
      </c>
      <c r="G237">
        <f t="shared" si="39"/>
        <v>1.198</v>
      </c>
    </row>
    <row r="238" spans="1:7">
      <c r="A238" t="s">
        <v>343</v>
      </c>
      <c r="B238" s="17" t="s">
        <v>298</v>
      </c>
      <c r="C238">
        <f t="shared" si="38"/>
        <v>1.0029999999999999</v>
      </c>
      <c r="D238">
        <f t="shared" si="39"/>
        <v>0</v>
      </c>
      <c r="E238">
        <f t="shared" si="39"/>
        <v>1.1870000000000001</v>
      </c>
      <c r="F238">
        <f t="shared" si="39"/>
        <v>1.329</v>
      </c>
      <c r="G238">
        <f t="shared" si="39"/>
        <v>1.018</v>
      </c>
    </row>
    <row r="239" spans="1:7">
      <c r="A239" t="s">
        <v>343</v>
      </c>
      <c r="B239" s="17" t="s">
        <v>299</v>
      </c>
      <c r="C239">
        <f t="shared" si="38"/>
        <v>1.119</v>
      </c>
      <c r="D239">
        <f t="shared" si="39"/>
        <v>1.1870000000000001</v>
      </c>
      <c r="E239">
        <f t="shared" si="39"/>
        <v>0</v>
      </c>
      <c r="F239">
        <f t="shared" si="39"/>
        <v>1.1479999999999999</v>
      </c>
      <c r="G239">
        <f t="shared" si="39"/>
        <v>1.008</v>
      </c>
    </row>
    <row r="240" spans="1:7">
      <c r="A240" t="s">
        <v>343</v>
      </c>
      <c r="B240" s="17" t="s">
        <v>300</v>
      </c>
      <c r="C240">
        <f t="shared" si="38"/>
        <v>1.044</v>
      </c>
      <c r="D240">
        <f t="shared" si="39"/>
        <v>1.329</v>
      </c>
      <c r="E240">
        <f t="shared" si="39"/>
        <v>1.1479999999999999</v>
      </c>
      <c r="F240">
        <f t="shared" si="39"/>
        <v>0</v>
      </c>
      <c r="G240">
        <f t="shared" si="39"/>
        <v>1.3759999999999999</v>
      </c>
    </row>
    <row r="241" spans="1:7">
      <c r="A241" t="s">
        <v>343</v>
      </c>
      <c r="B241" s="17" t="s">
        <v>302</v>
      </c>
      <c r="C241">
        <f t="shared" si="38"/>
        <v>1.198</v>
      </c>
      <c r="D241">
        <f t="shared" si="39"/>
        <v>1.018</v>
      </c>
      <c r="E241">
        <f t="shared" si="39"/>
        <v>1.008</v>
      </c>
      <c r="F241">
        <f t="shared" si="39"/>
        <v>1.3759999999999999</v>
      </c>
      <c r="G241">
        <f t="shared" si="39"/>
        <v>0</v>
      </c>
    </row>
    <row r="242" spans="1:7">
      <c r="A242" t="s">
        <v>343</v>
      </c>
      <c r="B242" s="17" t="s">
        <v>303</v>
      </c>
      <c r="C242" t="e">
        <f t="shared" si="38"/>
        <v>#REF!</v>
      </c>
      <c r="D242" t="e">
        <f t="shared" si="39"/>
        <v>#REF!</v>
      </c>
      <c r="E242" t="e">
        <f t="shared" si="39"/>
        <v>#REF!</v>
      </c>
      <c r="F242" t="e">
        <f t="shared" si="39"/>
        <v>#REF!</v>
      </c>
      <c r="G242" t="e">
        <f t="shared" si="39"/>
        <v>#REF!</v>
      </c>
    </row>
    <row r="243" spans="1:7">
      <c r="A243" t="s">
        <v>343</v>
      </c>
      <c r="B243" s="17" t="s">
        <v>304</v>
      </c>
      <c r="C243">
        <f t="shared" si="38"/>
        <v>0</v>
      </c>
      <c r="D243">
        <f t="shared" ref="D242:AF245" si="40">ROUND((EXP(7.032824+1*0.622482)*((D33/1.852)^ 0.40303))/(1.15*0.0059)/1000000,3)</f>
        <v>0.441</v>
      </c>
      <c r="E243">
        <f t="shared" si="40"/>
        <v>0</v>
      </c>
      <c r="F243">
        <f t="shared" si="40"/>
        <v>0.93100000000000005</v>
      </c>
      <c r="G243">
        <f t="shared" si="40"/>
        <v>0</v>
      </c>
    </row>
    <row r="244" spans="1:7">
      <c r="A244" t="s">
        <v>343</v>
      </c>
      <c r="B244" t="s">
        <v>354</v>
      </c>
      <c r="C244">
        <f t="shared" si="38"/>
        <v>0.441</v>
      </c>
      <c r="D244">
        <f t="shared" si="40"/>
        <v>0</v>
      </c>
      <c r="E244">
        <f t="shared" si="40"/>
        <v>0.99</v>
      </c>
      <c r="F244">
        <f t="shared" si="40"/>
        <v>0</v>
      </c>
      <c r="G244">
        <f t="shared" si="40"/>
        <v>0.85299999999999998</v>
      </c>
    </row>
    <row r="245" spans="1:7">
      <c r="A245" t="s">
        <v>343</v>
      </c>
      <c r="B245" s="17" t="s">
        <v>306</v>
      </c>
      <c r="C245">
        <f t="shared" si="38"/>
        <v>0</v>
      </c>
      <c r="D245">
        <f t="shared" si="40"/>
        <v>0.99</v>
      </c>
      <c r="E245">
        <f t="shared" si="40"/>
        <v>0</v>
      </c>
      <c r="F245">
        <f t="shared" si="40"/>
        <v>0</v>
      </c>
      <c r="G245">
        <f t="shared" si="40"/>
        <v>0</v>
      </c>
    </row>
    <row r="246" spans="1:7" s="33" customFormat="1">
      <c r="A246" s="33" t="s">
        <v>340</v>
      </c>
      <c r="B246" s="52" t="s">
        <v>509</v>
      </c>
      <c r="C246" s="33">
        <f>ROUND((EXP(7.032824+1*0.622482)*((C6/1.852)^ 0.40303))/(1.15*0.0059)/1000000,3)</f>
        <v>0</v>
      </c>
      <c r="D246" s="33">
        <f t="shared" ref="D246:AF255" si="41">ROUND((EXP(7.032824+1*0.622482)*((D6/1.852)^ 0.40303))/(1.15*0.0059)/1000000,3)</f>
        <v>1.0029999999999999</v>
      </c>
      <c r="E246" s="33">
        <f t="shared" si="41"/>
        <v>1.119</v>
      </c>
      <c r="F246" s="33">
        <f t="shared" si="41"/>
        <v>1.044</v>
      </c>
      <c r="G246" s="33">
        <f t="shared" si="41"/>
        <v>1.198</v>
      </c>
    </row>
    <row r="247" spans="1:7">
      <c r="A247" t="s">
        <v>340</v>
      </c>
      <c r="B247" s="52" t="s">
        <v>510</v>
      </c>
      <c r="C247">
        <f t="shared" ref="C247:R262" si="42">ROUND((EXP(7.032824+1*0.622482)*((C7/1.852)^ 0.40303))/(1.15*0.0059)/1000000,3)</f>
        <v>1.0029999999999999</v>
      </c>
      <c r="D247">
        <f t="shared" si="42"/>
        <v>0</v>
      </c>
      <c r="E247">
        <f t="shared" si="42"/>
        <v>1.1870000000000001</v>
      </c>
      <c r="F247">
        <f t="shared" si="42"/>
        <v>1.329</v>
      </c>
      <c r="G247">
        <f t="shared" si="42"/>
        <v>1.018</v>
      </c>
    </row>
    <row r="248" spans="1:7">
      <c r="A248" t="s">
        <v>340</v>
      </c>
      <c r="B248" s="52" t="s">
        <v>511</v>
      </c>
      <c r="C248">
        <f t="shared" si="42"/>
        <v>1.119</v>
      </c>
      <c r="D248">
        <f t="shared" si="41"/>
        <v>1.1870000000000001</v>
      </c>
      <c r="E248">
        <f t="shared" si="41"/>
        <v>0</v>
      </c>
      <c r="F248">
        <f t="shared" si="41"/>
        <v>1.1479999999999999</v>
      </c>
      <c r="G248">
        <f t="shared" si="41"/>
        <v>1.008</v>
      </c>
    </row>
    <row r="249" spans="1:7">
      <c r="A249" t="s">
        <v>340</v>
      </c>
      <c r="B249" s="52" t="s">
        <v>512</v>
      </c>
      <c r="C249">
        <f t="shared" si="42"/>
        <v>1.044</v>
      </c>
      <c r="D249">
        <f t="shared" si="41"/>
        <v>1.329</v>
      </c>
      <c r="E249">
        <f t="shared" si="41"/>
        <v>1.1479999999999999</v>
      </c>
      <c r="F249">
        <f t="shared" si="41"/>
        <v>0</v>
      </c>
      <c r="G249">
        <f t="shared" si="41"/>
        <v>1.3759999999999999</v>
      </c>
    </row>
    <row r="250" spans="1:7">
      <c r="A250" t="s">
        <v>340</v>
      </c>
      <c r="B250" s="52" t="s">
        <v>513</v>
      </c>
      <c r="C250">
        <f t="shared" si="42"/>
        <v>1.198</v>
      </c>
      <c r="D250">
        <f t="shared" si="41"/>
        <v>1.018</v>
      </c>
      <c r="E250">
        <f t="shared" si="41"/>
        <v>1.008</v>
      </c>
      <c r="F250">
        <f t="shared" si="41"/>
        <v>1.3759999999999999</v>
      </c>
      <c r="G250">
        <f t="shared" si="41"/>
        <v>0</v>
      </c>
    </row>
    <row r="251" spans="1:7">
      <c r="A251" t="s">
        <v>340</v>
      </c>
      <c r="B251" s="17" t="s">
        <v>509</v>
      </c>
      <c r="C251">
        <f t="shared" si="42"/>
        <v>0</v>
      </c>
      <c r="D251">
        <f t="shared" si="41"/>
        <v>1.0029999999999999</v>
      </c>
      <c r="E251">
        <f t="shared" si="41"/>
        <v>1.119</v>
      </c>
      <c r="F251">
        <f t="shared" si="41"/>
        <v>1.044</v>
      </c>
      <c r="G251">
        <f t="shared" si="41"/>
        <v>1.198</v>
      </c>
    </row>
    <row r="252" spans="1:7">
      <c r="A252" t="s">
        <v>340</v>
      </c>
      <c r="B252" s="17" t="s">
        <v>284</v>
      </c>
      <c r="C252">
        <f t="shared" si="42"/>
        <v>1.0029999999999999</v>
      </c>
      <c r="D252">
        <f t="shared" si="41"/>
        <v>0</v>
      </c>
      <c r="E252">
        <f t="shared" si="41"/>
        <v>1.1870000000000001</v>
      </c>
      <c r="F252">
        <f t="shared" si="41"/>
        <v>1.329</v>
      </c>
      <c r="G252">
        <f t="shared" si="41"/>
        <v>1.018</v>
      </c>
    </row>
    <row r="253" spans="1:7">
      <c r="A253" t="s">
        <v>340</v>
      </c>
      <c r="B253" s="17" t="s">
        <v>307</v>
      </c>
      <c r="C253">
        <f t="shared" si="42"/>
        <v>1.119</v>
      </c>
      <c r="D253">
        <f t="shared" si="41"/>
        <v>1.1870000000000001</v>
      </c>
      <c r="E253">
        <f t="shared" si="41"/>
        <v>0</v>
      </c>
      <c r="F253">
        <f t="shared" si="41"/>
        <v>1.1479999999999999</v>
      </c>
      <c r="G253">
        <f t="shared" si="41"/>
        <v>1.008</v>
      </c>
    </row>
    <row r="254" spans="1:7">
      <c r="A254" t="s">
        <v>340</v>
      </c>
      <c r="B254" s="17" t="s">
        <v>285</v>
      </c>
      <c r="C254">
        <f t="shared" si="42"/>
        <v>1.044</v>
      </c>
      <c r="D254">
        <f t="shared" si="41"/>
        <v>1.329</v>
      </c>
      <c r="E254">
        <f t="shared" si="41"/>
        <v>1.1479999999999999</v>
      </c>
      <c r="F254">
        <f t="shared" si="41"/>
        <v>0</v>
      </c>
      <c r="G254">
        <f t="shared" si="41"/>
        <v>1.3759999999999999</v>
      </c>
    </row>
    <row r="255" spans="1:7">
      <c r="A255" t="s">
        <v>340</v>
      </c>
      <c r="B255" s="17" t="s">
        <v>286</v>
      </c>
      <c r="C255">
        <f t="shared" si="42"/>
        <v>1.198</v>
      </c>
      <c r="D255">
        <f t="shared" si="41"/>
        <v>1.018</v>
      </c>
      <c r="E255">
        <f t="shared" si="41"/>
        <v>1.008</v>
      </c>
      <c r="F255">
        <f t="shared" si="41"/>
        <v>1.3759999999999999</v>
      </c>
      <c r="G255">
        <f t="shared" si="41"/>
        <v>0</v>
      </c>
    </row>
    <row r="256" spans="1:7">
      <c r="A256" t="s">
        <v>340</v>
      </c>
      <c r="B256" s="17" t="s">
        <v>287</v>
      </c>
      <c r="C256">
        <f t="shared" si="42"/>
        <v>0</v>
      </c>
      <c r="D256">
        <f t="shared" ref="D255:AF264" si="43">ROUND((EXP(7.032824+1*0.622482)*((D16/1.852)^ 0.40303))/(1.15*0.0059)/1000000,3)</f>
        <v>1.0029999999999999</v>
      </c>
      <c r="E256">
        <f t="shared" si="43"/>
        <v>1.119</v>
      </c>
      <c r="F256">
        <f t="shared" si="43"/>
        <v>1.044</v>
      </c>
      <c r="G256">
        <f t="shared" si="43"/>
        <v>1.198</v>
      </c>
    </row>
    <row r="257" spans="1:7">
      <c r="A257" t="s">
        <v>340</v>
      </c>
      <c r="B257" s="17" t="s">
        <v>288</v>
      </c>
      <c r="C257">
        <f t="shared" si="42"/>
        <v>1.0029999999999999</v>
      </c>
      <c r="D257">
        <f t="shared" si="43"/>
        <v>0</v>
      </c>
      <c r="E257">
        <f t="shared" si="43"/>
        <v>1.1870000000000001</v>
      </c>
      <c r="F257">
        <f t="shared" si="43"/>
        <v>1.329</v>
      </c>
      <c r="G257">
        <f t="shared" si="43"/>
        <v>1.018</v>
      </c>
    </row>
    <row r="258" spans="1:7">
      <c r="A258" t="s">
        <v>340</v>
      </c>
      <c r="B258" s="17" t="s">
        <v>289</v>
      </c>
      <c r="C258">
        <f t="shared" si="42"/>
        <v>1.119</v>
      </c>
      <c r="D258">
        <f t="shared" si="43"/>
        <v>1.1870000000000001</v>
      </c>
      <c r="E258">
        <f t="shared" si="43"/>
        <v>0</v>
      </c>
      <c r="F258">
        <f t="shared" si="43"/>
        <v>1.1479999999999999</v>
      </c>
      <c r="G258">
        <f t="shared" si="43"/>
        <v>1.008</v>
      </c>
    </row>
    <row r="259" spans="1:7">
      <c r="A259" t="s">
        <v>340</v>
      </c>
      <c r="B259" s="17" t="s">
        <v>290</v>
      </c>
      <c r="C259">
        <f t="shared" si="42"/>
        <v>1.044</v>
      </c>
      <c r="D259">
        <f t="shared" si="43"/>
        <v>1.329</v>
      </c>
      <c r="E259">
        <f t="shared" si="43"/>
        <v>1.1479999999999999</v>
      </c>
      <c r="F259">
        <f t="shared" si="43"/>
        <v>0</v>
      </c>
      <c r="G259">
        <f t="shared" si="43"/>
        <v>1.3759999999999999</v>
      </c>
    </row>
    <row r="260" spans="1:7">
      <c r="A260" t="s">
        <v>340</v>
      </c>
      <c r="B260" s="17" t="s">
        <v>291</v>
      </c>
      <c r="C260">
        <f t="shared" si="42"/>
        <v>1.198</v>
      </c>
      <c r="D260">
        <f t="shared" si="43"/>
        <v>1.018</v>
      </c>
      <c r="E260">
        <f t="shared" si="43"/>
        <v>1.008</v>
      </c>
      <c r="F260">
        <f t="shared" si="43"/>
        <v>1.3759999999999999</v>
      </c>
      <c r="G260">
        <f t="shared" si="43"/>
        <v>0</v>
      </c>
    </row>
    <row r="261" spans="1:7">
      <c r="A261" t="s">
        <v>340</v>
      </c>
      <c r="B261" s="17" t="s">
        <v>292</v>
      </c>
      <c r="C261">
        <f t="shared" si="42"/>
        <v>0</v>
      </c>
      <c r="D261">
        <f t="shared" si="43"/>
        <v>1.0029999999999999</v>
      </c>
      <c r="E261">
        <f t="shared" si="43"/>
        <v>1.119</v>
      </c>
      <c r="F261">
        <f t="shared" si="43"/>
        <v>1.044</v>
      </c>
      <c r="G261">
        <f t="shared" si="43"/>
        <v>1.198</v>
      </c>
    </row>
    <row r="262" spans="1:7">
      <c r="A262" t="s">
        <v>340</v>
      </c>
      <c r="B262" s="17" t="s">
        <v>308</v>
      </c>
      <c r="C262">
        <f t="shared" si="42"/>
        <v>1.0029999999999999</v>
      </c>
      <c r="D262">
        <f t="shared" si="43"/>
        <v>0</v>
      </c>
      <c r="E262">
        <f t="shared" si="43"/>
        <v>1.1870000000000001</v>
      </c>
      <c r="F262">
        <f t="shared" si="43"/>
        <v>1.329</v>
      </c>
      <c r="G262">
        <f t="shared" si="43"/>
        <v>1.018</v>
      </c>
    </row>
    <row r="263" spans="1:7">
      <c r="A263" t="s">
        <v>340</v>
      </c>
      <c r="B263" s="17" t="s">
        <v>293</v>
      </c>
      <c r="C263">
        <f t="shared" ref="C263:C275" si="44">ROUND((EXP(7.032824+1*0.622482)*((C23/1.852)^ 0.40303))/(1.15*0.0059)/1000000,3)</f>
        <v>1.119</v>
      </c>
      <c r="D263">
        <f t="shared" si="43"/>
        <v>1.1870000000000001</v>
      </c>
      <c r="E263">
        <f t="shared" si="43"/>
        <v>0</v>
      </c>
      <c r="F263">
        <f t="shared" si="43"/>
        <v>1.1479999999999999</v>
      </c>
      <c r="G263">
        <f t="shared" si="43"/>
        <v>1.008</v>
      </c>
    </row>
    <row r="264" spans="1:7">
      <c r="A264" t="s">
        <v>340</v>
      </c>
      <c r="B264" s="17" t="s">
        <v>309</v>
      </c>
      <c r="C264">
        <f t="shared" si="44"/>
        <v>1.044</v>
      </c>
      <c r="D264">
        <f t="shared" si="43"/>
        <v>1.329</v>
      </c>
      <c r="E264">
        <f t="shared" si="43"/>
        <v>1.1479999999999999</v>
      </c>
      <c r="F264">
        <f t="shared" si="43"/>
        <v>0</v>
      </c>
      <c r="G264">
        <f t="shared" ref="D264:AF272" si="45">ROUND((EXP(7.032824+1*0.622482)*((G24/1.852)^ 0.40303))/(1.15*0.0059)/1000000,3)</f>
        <v>1.3759999999999999</v>
      </c>
    </row>
    <row r="265" spans="1:7">
      <c r="A265" t="s">
        <v>340</v>
      </c>
      <c r="B265" s="17" t="s">
        <v>296</v>
      </c>
      <c r="C265">
        <f t="shared" si="44"/>
        <v>1.198</v>
      </c>
      <c r="D265">
        <f t="shared" si="45"/>
        <v>1.018</v>
      </c>
      <c r="E265">
        <f t="shared" si="45"/>
        <v>1.008</v>
      </c>
      <c r="F265">
        <f t="shared" si="45"/>
        <v>1.3759999999999999</v>
      </c>
      <c r="G265">
        <f t="shared" si="45"/>
        <v>0</v>
      </c>
    </row>
    <row r="266" spans="1:7">
      <c r="A266" t="s">
        <v>340</v>
      </c>
      <c r="B266" s="17" t="s">
        <v>297</v>
      </c>
      <c r="C266" t="e">
        <f t="shared" si="44"/>
        <v>#REF!</v>
      </c>
      <c r="D266" t="e">
        <f t="shared" si="45"/>
        <v>#REF!</v>
      </c>
      <c r="E266" t="e">
        <f t="shared" si="45"/>
        <v>#REF!</v>
      </c>
      <c r="F266" t="e">
        <f t="shared" si="45"/>
        <v>#REF!</v>
      </c>
      <c r="G266" t="e">
        <f t="shared" si="45"/>
        <v>#REF!</v>
      </c>
    </row>
    <row r="267" spans="1:7">
      <c r="A267" t="s">
        <v>340</v>
      </c>
      <c r="B267" s="17" t="s">
        <v>355</v>
      </c>
      <c r="C267">
        <f t="shared" si="44"/>
        <v>0</v>
      </c>
      <c r="D267">
        <f t="shared" si="45"/>
        <v>1.0029999999999999</v>
      </c>
      <c r="E267">
        <f t="shared" si="45"/>
        <v>1.119</v>
      </c>
      <c r="F267">
        <f t="shared" si="45"/>
        <v>1.044</v>
      </c>
      <c r="G267">
        <f t="shared" si="45"/>
        <v>1.198</v>
      </c>
    </row>
    <row r="268" spans="1:7">
      <c r="A268" t="s">
        <v>340</v>
      </c>
      <c r="B268" s="17" t="s">
        <v>298</v>
      </c>
      <c r="C268">
        <f t="shared" si="44"/>
        <v>1.0029999999999999</v>
      </c>
      <c r="D268">
        <f t="shared" si="45"/>
        <v>0</v>
      </c>
      <c r="E268">
        <f t="shared" si="45"/>
        <v>1.1870000000000001</v>
      </c>
      <c r="F268">
        <f t="shared" si="45"/>
        <v>1.329</v>
      </c>
      <c r="G268">
        <f t="shared" si="45"/>
        <v>1.018</v>
      </c>
    </row>
    <row r="269" spans="1:7">
      <c r="A269" t="s">
        <v>340</v>
      </c>
      <c r="B269" s="17" t="s">
        <v>299</v>
      </c>
      <c r="C269">
        <f t="shared" si="44"/>
        <v>1.119</v>
      </c>
      <c r="D269">
        <f t="shared" si="45"/>
        <v>1.1870000000000001</v>
      </c>
      <c r="E269">
        <f t="shared" si="45"/>
        <v>0</v>
      </c>
      <c r="F269">
        <f t="shared" si="45"/>
        <v>1.1479999999999999</v>
      </c>
      <c r="G269">
        <f t="shared" si="45"/>
        <v>1.008</v>
      </c>
    </row>
    <row r="270" spans="1:7">
      <c r="A270" t="s">
        <v>340</v>
      </c>
      <c r="B270" s="17" t="s">
        <v>300</v>
      </c>
      <c r="C270">
        <f t="shared" si="44"/>
        <v>1.044</v>
      </c>
      <c r="D270">
        <f t="shared" si="45"/>
        <v>1.329</v>
      </c>
      <c r="E270">
        <f t="shared" si="45"/>
        <v>1.1479999999999999</v>
      </c>
      <c r="F270">
        <f t="shared" si="45"/>
        <v>0</v>
      </c>
      <c r="G270">
        <f t="shared" si="45"/>
        <v>1.3759999999999999</v>
      </c>
    </row>
    <row r="271" spans="1:7">
      <c r="A271" t="s">
        <v>340</v>
      </c>
      <c r="B271" s="17" t="s">
        <v>302</v>
      </c>
      <c r="C271">
        <f t="shared" si="44"/>
        <v>1.198</v>
      </c>
      <c r="D271">
        <f t="shared" si="45"/>
        <v>1.018</v>
      </c>
      <c r="E271">
        <f t="shared" si="45"/>
        <v>1.008</v>
      </c>
      <c r="F271">
        <f t="shared" si="45"/>
        <v>1.3759999999999999</v>
      </c>
      <c r="G271">
        <f t="shared" si="45"/>
        <v>0</v>
      </c>
    </row>
    <row r="272" spans="1:7">
      <c r="A272" t="s">
        <v>340</v>
      </c>
      <c r="B272" s="17" t="s">
        <v>303</v>
      </c>
      <c r="C272" t="e">
        <f t="shared" si="44"/>
        <v>#REF!</v>
      </c>
      <c r="D272" t="e">
        <f t="shared" si="45"/>
        <v>#REF!</v>
      </c>
      <c r="E272" t="e">
        <f t="shared" si="45"/>
        <v>#REF!</v>
      </c>
      <c r="F272" t="e">
        <f t="shared" si="45"/>
        <v>#REF!</v>
      </c>
      <c r="G272" t="e">
        <f t="shared" si="45"/>
        <v>#REF!</v>
      </c>
    </row>
    <row r="273" spans="1:7">
      <c r="A273" t="s">
        <v>340</v>
      </c>
      <c r="B273" s="17" t="s">
        <v>304</v>
      </c>
      <c r="C273">
        <f t="shared" si="44"/>
        <v>0</v>
      </c>
      <c r="D273">
        <f t="shared" ref="D272:AF275" si="46">ROUND((EXP(7.032824+1*0.622482)*((D33/1.852)^ 0.40303))/(1.15*0.0059)/1000000,3)</f>
        <v>0.441</v>
      </c>
      <c r="E273">
        <f t="shared" si="46"/>
        <v>0</v>
      </c>
      <c r="F273">
        <f t="shared" si="46"/>
        <v>0.93100000000000005</v>
      </c>
      <c r="G273">
        <f t="shared" si="46"/>
        <v>0</v>
      </c>
    </row>
    <row r="274" spans="1:7">
      <c r="A274" t="s">
        <v>340</v>
      </c>
      <c r="B274" t="s">
        <v>354</v>
      </c>
      <c r="C274">
        <f t="shared" si="44"/>
        <v>0.441</v>
      </c>
      <c r="D274">
        <f t="shared" si="46"/>
        <v>0</v>
      </c>
      <c r="E274">
        <f t="shared" si="46"/>
        <v>0.99</v>
      </c>
      <c r="F274">
        <f t="shared" si="46"/>
        <v>0</v>
      </c>
      <c r="G274">
        <f t="shared" si="46"/>
        <v>0.85299999999999998</v>
      </c>
    </row>
    <row r="275" spans="1:7">
      <c r="A275" t="s">
        <v>340</v>
      </c>
      <c r="B275" s="17" t="s">
        <v>306</v>
      </c>
      <c r="C275">
        <f t="shared" si="44"/>
        <v>0</v>
      </c>
      <c r="D275">
        <f t="shared" si="46"/>
        <v>0.99</v>
      </c>
      <c r="E275">
        <f t="shared" si="46"/>
        <v>0</v>
      </c>
      <c r="F275">
        <f t="shared" si="46"/>
        <v>0</v>
      </c>
      <c r="G275">
        <f t="shared" si="46"/>
        <v>0</v>
      </c>
    </row>
    <row r="276" spans="1:7" s="33" customFormat="1">
      <c r="A276" s="33" t="s">
        <v>341</v>
      </c>
      <c r="B276" s="52" t="s">
        <v>509</v>
      </c>
      <c r="C276" s="33">
        <f>ROUND((EXP(7.032824+1*0.622482)*((C6/1.852)^ 0.40303))/(1.15*0.0059)/1000000,3)</f>
        <v>0</v>
      </c>
      <c r="D276" s="33">
        <f t="shared" ref="D276:AF285" si="47">ROUND((EXP(7.032824+1*0.622482)*((D6/1.852)^ 0.40303))/(1.15*0.0059)/1000000,3)</f>
        <v>1.0029999999999999</v>
      </c>
      <c r="E276" s="33">
        <f t="shared" si="47"/>
        <v>1.119</v>
      </c>
      <c r="F276" s="33">
        <f t="shared" si="47"/>
        <v>1.044</v>
      </c>
      <c r="G276" s="33">
        <f t="shared" si="47"/>
        <v>1.198</v>
      </c>
    </row>
    <row r="277" spans="1:7">
      <c r="A277" t="s">
        <v>341</v>
      </c>
      <c r="B277" s="52" t="s">
        <v>510</v>
      </c>
      <c r="C277">
        <f t="shared" ref="C277:R292" si="48">ROUND((EXP(7.032824+1*0.622482)*((C7/1.852)^ 0.40303))/(1.15*0.0059)/1000000,3)</f>
        <v>1.0029999999999999</v>
      </c>
      <c r="D277">
        <f t="shared" si="48"/>
        <v>0</v>
      </c>
      <c r="E277">
        <f t="shared" si="48"/>
        <v>1.1870000000000001</v>
      </c>
      <c r="F277">
        <f t="shared" si="48"/>
        <v>1.329</v>
      </c>
      <c r="G277">
        <f t="shared" si="48"/>
        <v>1.018</v>
      </c>
    </row>
    <row r="278" spans="1:7">
      <c r="A278" t="s">
        <v>341</v>
      </c>
      <c r="B278" s="52" t="s">
        <v>511</v>
      </c>
      <c r="C278">
        <f t="shared" si="48"/>
        <v>1.119</v>
      </c>
      <c r="D278">
        <f t="shared" si="47"/>
        <v>1.1870000000000001</v>
      </c>
      <c r="E278">
        <f t="shared" si="47"/>
        <v>0</v>
      </c>
      <c r="F278">
        <f t="shared" si="47"/>
        <v>1.1479999999999999</v>
      </c>
      <c r="G278">
        <f t="shared" si="47"/>
        <v>1.008</v>
      </c>
    </row>
    <row r="279" spans="1:7">
      <c r="A279" t="s">
        <v>341</v>
      </c>
      <c r="B279" s="52" t="s">
        <v>512</v>
      </c>
      <c r="C279">
        <f t="shared" si="48"/>
        <v>1.044</v>
      </c>
      <c r="D279">
        <f t="shared" si="47"/>
        <v>1.329</v>
      </c>
      <c r="E279">
        <f t="shared" si="47"/>
        <v>1.1479999999999999</v>
      </c>
      <c r="F279">
        <f t="shared" si="47"/>
        <v>0</v>
      </c>
      <c r="G279">
        <f t="shared" si="47"/>
        <v>1.3759999999999999</v>
      </c>
    </row>
    <row r="280" spans="1:7">
      <c r="A280" t="s">
        <v>341</v>
      </c>
      <c r="B280" s="52" t="s">
        <v>513</v>
      </c>
      <c r="C280">
        <f t="shared" si="48"/>
        <v>1.198</v>
      </c>
      <c r="D280">
        <f t="shared" si="47"/>
        <v>1.018</v>
      </c>
      <c r="E280">
        <f t="shared" si="47"/>
        <v>1.008</v>
      </c>
      <c r="F280">
        <f t="shared" si="47"/>
        <v>1.3759999999999999</v>
      </c>
      <c r="G280">
        <f t="shared" si="47"/>
        <v>0</v>
      </c>
    </row>
    <row r="281" spans="1:7">
      <c r="A281" t="s">
        <v>341</v>
      </c>
      <c r="B281" s="17" t="s">
        <v>509</v>
      </c>
      <c r="C281">
        <f t="shared" si="48"/>
        <v>0</v>
      </c>
      <c r="D281">
        <f t="shared" si="47"/>
        <v>1.0029999999999999</v>
      </c>
      <c r="E281">
        <f t="shared" si="47"/>
        <v>1.119</v>
      </c>
      <c r="F281">
        <f t="shared" si="47"/>
        <v>1.044</v>
      </c>
      <c r="G281">
        <f t="shared" si="47"/>
        <v>1.198</v>
      </c>
    </row>
    <row r="282" spans="1:7">
      <c r="A282" t="s">
        <v>341</v>
      </c>
      <c r="B282" s="17" t="s">
        <v>284</v>
      </c>
      <c r="C282">
        <f t="shared" si="48"/>
        <v>1.0029999999999999</v>
      </c>
      <c r="D282">
        <f t="shared" si="47"/>
        <v>0</v>
      </c>
      <c r="E282">
        <f t="shared" si="47"/>
        <v>1.1870000000000001</v>
      </c>
      <c r="F282">
        <f t="shared" si="47"/>
        <v>1.329</v>
      </c>
      <c r="G282">
        <f t="shared" si="47"/>
        <v>1.018</v>
      </c>
    </row>
    <row r="283" spans="1:7">
      <c r="A283" t="s">
        <v>341</v>
      </c>
      <c r="B283" s="17" t="s">
        <v>307</v>
      </c>
      <c r="C283">
        <f t="shared" si="48"/>
        <v>1.119</v>
      </c>
      <c r="D283">
        <f t="shared" si="47"/>
        <v>1.1870000000000001</v>
      </c>
      <c r="E283">
        <f t="shared" si="47"/>
        <v>0</v>
      </c>
      <c r="F283">
        <f t="shared" si="47"/>
        <v>1.1479999999999999</v>
      </c>
      <c r="G283">
        <f t="shared" si="47"/>
        <v>1.008</v>
      </c>
    </row>
    <row r="284" spans="1:7">
      <c r="A284" t="s">
        <v>341</v>
      </c>
      <c r="B284" s="17" t="s">
        <v>285</v>
      </c>
      <c r="C284">
        <f t="shared" si="48"/>
        <v>1.044</v>
      </c>
      <c r="D284">
        <f t="shared" si="47"/>
        <v>1.329</v>
      </c>
      <c r="E284">
        <f t="shared" si="47"/>
        <v>1.1479999999999999</v>
      </c>
      <c r="F284">
        <f t="shared" si="47"/>
        <v>0</v>
      </c>
      <c r="G284">
        <f t="shared" si="47"/>
        <v>1.3759999999999999</v>
      </c>
    </row>
    <row r="285" spans="1:7">
      <c r="A285" t="s">
        <v>341</v>
      </c>
      <c r="B285" s="17" t="s">
        <v>286</v>
      </c>
      <c r="C285">
        <f t="shared" si="48"/>
        <v>1.198</v>
      </c>
      <c r="D285">
        <f t="shared" si="47"/>
        <v>1.018</v>
      </c>
      <c r="E285">
        <f t="shared" si="47"/>
        <v>1.008</v>
      </c>
      <c r="F285">
        <f t="shared" si="47"/>
        <v>1.3759999999999999</v>
      </c>
      <c r="G285">
        <f t="shared" si="47"/>
        <v>0</v>
      </c>
    </row>
    <row r="286" spans="1:7">
      <c r="A286" t="s">
        <v>341</v>
      </c>
      <c r="B286" s="17" t="s">
        <v>287</v>
      </c>
      <c r="C286">
        <f t="shared" si="48"/>
        <v>0</v>
      </c>
      <c r="D286">
        <f t="shared" ref="D285:AF294" si="49">ROUND((EXP(7.032824+1*0.622482)*((D16/1.852)^ 0.40303))/(1.15*0.0059)/1000000,3)</f>
        <v>1.0029999999999999</v>
      </c>
      <c r="E286">
        <f t="shared" si="49"/>
        <v>1.119</v>
      </c>
      <c r="F286">
        <f t="shared" si="49"/>
        <v>1.044</v>
      </c>
      <c r="G286">
        <f t="shared" si="49"/>
        <v>1.198</v>
      </c>
    </row>
    <row r="287" spans="1:7">
      <c r="A287" t="s">
        <v>341</v>
      </c>
      <c r="B287" s="17" t="s">
        <v>288</v>
      </c>
      <c r="C287">
        <f t="shared" si="48"/>
        <v>1.0029999999999999</v>
      </c>
      <c r="D287">
        <f t="shared" si="49"/>
        <v>0</v>
      </c>
      <c r="E287">
        <f t="shared" si="49"/>
        <v>1.1870000000000001</v>
      </c>
      <c r="F287">
        <f t="shared" si="49"/>
        <v>1.329</v>
      </c>
      <c r="G287">
        <f t="shared" si="49"/>
        <v>1.018</v>
      </c>
    </row>
    <row r="288" spans="1:7">
      <c r="A288" t="s">
        <v>341</v>
      </c>
      <c r="B288" s="17" t="s">
        <v>289</v>
      </c>
      <c r="C288">
        <f t="shared" si="48"/>
        <v>1.119</v>
      </c>
      <c r="D288">
        <f t="shared" si="49"/>
        <v>1.1870000000000001</v>
      </c>
      <c r="E288">
        <f t="shared" si="49"/>
        <v>0</v>
      </c>
      <c r="F288">
        <f t="shared" si="49"/>
        <v>1.1479999999999999</v>
      </c>
      <c r="G288">
        <f t="shared" si="49"/>
        <v>1.008</v>
      </c>
    </row>
    <row r="289" spans="1:7">
      <c r="A289" t="s">
        <v>341</v>
      </c>
      <c r="B289" s="17" t="s">
        <v>290</v>
      </c>
      <c r="C289">
        <f t="shared" si="48"/>
        <v>1.044</v>
      </c>
      <c r="D289">
        <f t="shared" si="49"/>
        <v>1.329</v>
      </c>
      <c r="E289">
        <f t="shared" si="49"/>
        <v>1.1479999999999999</v>
      </c>
      <c r="F289">
        <f t="shared" si="49"/>
        <v>0</v>
      </c>
      <c r="G289">
        <f t="shared" si="49"/>
        <v>1.3759999999999999</v>
      </c>
    </row>
    <row r="290" spans="1:7">
      <c r="A290" t="s">
        <v>341</v>
      </c>
      <c r="B290" s="17" t="s">
        <v>291</v>
      </c>
      <c r="C290">
        <f t="shared" si="48"/>
        <v>1.198</v>
      </c>
      <c r="D290">
        <f t="shared" si="49"/>
        <v>1.018</v>
      </c>
      <c r="E290">
        <f t="shared" si="49"/>
        <v>1.008</v>
      </c>
      <c r="F290">
        <f t="shared" si="49"/>
        <v>1.3759999999999999</v>
      </c>
      <c r="G290">
        <f t="shared" si="49"/>
        <v>0</v>
      </c>
    </row>
    <row r="291" spans="1:7">
      <c r="A291" t="s">
        <v>341</v>
      </c>
      <c r="B291" s="17" t="s">
        <v>292</v>
      </c>
      <c r="C291">
        <f t="shared" si="48"/>
        <v>0</v>
      </c>
      <c r="D291">
        <f t="shared" si="49"/>
        <v>1.0029999999999999</v>
      </c>
      <c r="E291">
        <f t="shared" si="49"/>
        <v>1.119</v>
      </c>
      <c r="F291">
        <f t="shared" si="49"/>
        <v>1.044</v>
      </c>
      <c r="G291">
        <f t="shared" si="49"/>
        <v>1.198</v>
      </c>
    </row>
    <row r="292" spans="1:7">
      <c r="A292" t="s">
        <v>341</v>
      </c>
      <c r="B292" s="17" t="s">
        <v>308</v>
      </c>
      <c r="C292">
        <f t="shared" si="48"/>
        <v>1.0029999999999999</v>
      </c>
      <c r="D292">
        <f t="shared" si="49"/>
        <v>0</v>
      </c>
      <c r="E292">
        <f t="shared" si="49"/>
        <v>1.1870000000000001</v>
      </c>
      <c r="F292">
        <f t="shared" si="49"/>
        <v>1.329</v>
      </c>
      <c r="G292">
        <f t="shared" si="49"/>
        <v>1.018</v>
      </c>
    </row>
    <row r="293" spans="1:7">
      <c r="A293" t="s">
        <v>341</v>
      </c>
      <c r="B293" s="17" t="s">
        <v>293</v>
      </c>
      <c r="C293">
        <f t="shared" ref="C293:C305" si="50">ROUND((EXP(7.032824+1*0.622482)*((C23/1.852)^ 0.40303))/(1.15*0.0059)/1000000,3)</f>
        <v>1.119</v>
      </c>
      <c r="D293">
        <f t="shared" si="49"/>
        <v>1.1870000000000001</v>
      </c>
      <c r="E293">
        <f t="shared" si="49"/>
        <v>0</v>
      </c>
      <c r="F293">
        <f t="shared" si="49"/>
        <v>1.1479999999999999</v>
      </c>
      <c r="G293">
        <f t="shared" si="49"/>
        <v>1.008</v>
      </c>
    </row>
    <row r="294" spans="1:7">
      <c r="A294" t="s">
        <v>341</v>
      </c>
      <c r="B294" s="17" t="s">
        <v>309</v>
      </c>
      <c r="C294">
        <f t="shared" si="50"/>
        <v>1.044</v>
      </c>
      <c r="D294">
        <f t="shared" si="49"/>
        <v>1.329</v>
      </c>
      <c r="E294">
        <f t="shared" si="49"/>
        <v>1.1479999999999999</v>
      </c>
      <c r="F294">
        <f t="shared" si="49"/>
        <v>0</v>
      </c>
      <c r="G294">
        <f t="shared" ref="D294:AF302" si="51">ROUND((EXP(7.032824+1*0.622482)*((G24/1.852)^ 0.40303))/(1.15*0.0059)/1000000,3)</f>
        <v>1.3759999999999999</v>
      </c>
    </row>
    <row r="295" spans="1:7">
      <c r="A295" t="s">
        <v>341</v>
      </c>
      <c r="B295" s="17" t="s">
        <v>296</v>
      </c>
      <c r="C295">
        <f t="shared" si="50"/>
        <v>1.198</v>
      </c>
      <c r="D295">
        <f t="shared" si="51"/>
        <v>1.018</v>
      </c>
      <c r="E295">
        <f t="shared" si="51"/>
        <v>1.008</v>
      </c>
      <c r="F295">
        <f t="shared" si="51"/>
        <v>1.3759999999999999</v>
      </c>
      <c r="G295">
        <f t="shared" si="51"/>
        <v>0</v>
      </c>
    </row>
    <row r="296" spans="1:7">
      <c r="A296" t="s">
        <v>341</v>
      </c>
      <c r="B296" s="17" t="s">
        <v>297</v>
      </c>
      <c r="C296" t="e">
        <f t="shared" si="50"/>
        <v>#REF!</v>
      </c>
      <c r="D296" t="e">
        <f t="shared" si="51"/>
        <v>#REF!</v>
      </c>
      <c r="E296" t="e">
        <f t="shared" si="51"/>
        <v>#REF!</v>
      </c>
      <c r="F296" t="e">
        <f t="shared" si="51"/>
        <v>#REF!</v>
      </c>
      <c r="G296" t="e">
        <f t="shared" si="51"/>
        <v>#REF!</v>
      </c>
    </row>
    <row r="297" spans="1:7">
      <c r="A297" t="s">
        <v>341</v>
      </c>
      <c r="B297" s="17" t="s">
        <v>355</v>
      </c>
      <c r="C297">
        <f t="shared" si="50"/>
        <v>0</v>
      </c>
      <c r="D297">
        <f t="shared" si="51"/>
        <v>1.0029999999999999</v>
      </c>
      <c r="E297">
        <f t="shared" si="51"/>
        <v>1.119</v>
      </c>
      <c r="F297">
        <f t="shared" si="51"/>
        <v>1.044</v>
      </c>
      <c r="G297">
        <f t="shared" si="51"/>
        <v>1.198</v>
      </c>
    </row>
    <row r="298" spans="1:7">
      <c r="A298" t="s">
        <v>341</v>
      </c>
      <c r="B298" s="17" t="s">
        <v>298</v>
      </c>
      <c r="C298">
        <f t="shared" si="50"/>
        <v>1.0029999999999999</v>
      </c>
      <c r="D298">
        <f t="shared" si="51"/>
        <v>0</v>
      </c>
      <c r="E298">
        <f t="shared" si="51"/>
        <v>1.1870000000000001</v>
      </c>
      <c r="F298">
        <f t="shared" si="51"/>
        <v>1.329</v>
      </c>
      <c r="G298">
        <f t="shared" si="51"/>
        <v>1.018</v>
      </c>
    </row>
    <row r="299" spans="1:7">
      <c r="A299" t="s">
        <v>341</v>
      </c>
      <c r="B299" s="17" t="s">
        <v>299</v>
      </c>
      <c r="C299">
        <f t="shared" si="50"/>
        <v>1.119</v>
      </c>
      <c r="D299">
        <f t="shared" si="51"/>
        <v>1.1870000000000001</v>
      </c>
      <c r="E299">
        <f t="shared" si="51"/>
        <v>0</v>
      </c>
      <c r="F299">
        <f t="shared" si="51"/>
        <v>1.1479999999999999</v>
      </c>
      <c r="G299">
        <f t="shared" si="51"/>
        <v>1.008</v>
      </c>
    </row>
    <row r="300" spans="1:7">
      <c r="A300" t="s">
        <v>341</v>
      </c>
      <c r="B300" s="17" t="s">
        <v>300</v>
      </c>
      <c r="C300">
        <f t="shared" si="50"/>
        <v>1.044</v>
      </c>
      <c r="D300">
        <f t="shared" si="51"/>
        <v>1.329</v>
      </c>
      <c r="E300">
        <f t="shared" si="51"/>
        <v>1.1479999999999999</v>
      </c>
      <c r="F300">
        <f t="shared" si="51"/>
        <v>0</v>
      </c>
      <c r="G300">
        <f t="shared" si="51"/>
        <v>1.3759999999999999</v>
      </c>
    </row>
    <row r="301" spans="1:7">
      <c r="A301" t="s">
        <v>341</v>
      </c>
      <c r="B301" s="17" t="s">
        <v>302</v>
      </c>
      <c r="C301">
        <f t="shared" si="50"/>
        <v>1.198</v>
      </c>
      <c r="D301">
        <f t="shared" si="51"/>
        <v>1.018</v>
      </c>
      <c r="E301">
        <f t="shared" si="51"/>
        <v>1.008</v>
      </c>
      <c r="F301">
        <f t="shared" si="51"/>
        <v>1.3759999999999999</v>
      </c>
      <c r="G301">
        <f t="shared" si="51"/>
        <v>0</v>
      </c>
    </row>
    <row r="302" spans="1:7">
      <c r="A302" t="s">
        <v>341</v>
      </c>
      <c r="B302" s="17" t="s">
        <v>303</v>
      </c>
      <c r="C302" t="e">
        <f t="shared" si="50"/>
        <v>#REF!</v>
      </c>
      <c r="D302" t="e">
        <f t="shared" si="51"/>
        <v>#REF!</v>
      </c>
      <c r="E302" t="e">
        <f t="shared" si="51"/>
        <v>#REF!</v>
      </c>
      <c r="F302" t="e">
        <f t="shared" si="51"/>
        <v>#REF!</v>
      </c>
      <c r="G302" t="e">
        <f t="shared" si="51"/>
        <v>#REF!</v>
      </c>
    </row>
    <row r="303" spans="1:7">
      <c r="A303" t="s">
        <v>341</v>
      </c>
      <c r="B303" s="17" t="s">
        <v>304</v>
      </c>
      <c r="C303">
        <f t="shared" si="50"/>
        <v>0</v>
      </c>
      <c r="D303">
        <f t="shared" ref="D302:AF305" si="52">ROUND((EXP(7.032824+1*0.622482)*((D33/1.852)^ 0.40303))/(1.15*0.0059)/1000000,3)</f>
        <v>0.441</v>
      </c>
      <c r="E303">
        <f t="shared" si="52"/>
        <v>0</v>
      </c>
      <c r="F303">
        <f t="shared" si="52"/>
        <v>0.93100000000000005</v>
      </c>
      <c r="G303">
        <f t="shared" si="52"/>
        <v>0</v>
      </c>
    </row>
    <row r="304" spans="1:7">
      <c r="A304" t="s">
        <v>341</v>
      </c>
      <c r="B304" t="s">
        <v>354</v>
      </c>
      <c r="C304">
        <f t="shared" si="50"/>
        <v>0.441</v>
      </c>
      <c r="D304">
        <f t="shared" si="52"/>
        <v>0</v>
      </c>
      <c r="E304">
        <f t="shared" si="52"/>
        <v>0.99</v>
      </c>
      <c r="F304">
        <f t="shared" si="52"/>
        <v>0</v>
      </c>
      <c r="G304">
        <f t="shared" si="52"/>
        <v>0.85299999999999998</v>
      </c>
    </row>
    <row r="305" spans="1:7">
      <c r="A305" t="s">
        <v>341</v>
      </c>
      <c r="B305" s="17" t="s">
        <v>306</v>
      </c>
      <c r="C305">
        <f t="shared" si="50"/>
        <v>0</v>
      </c>
      <c r="D305">
        <f t="shared" si="52"/>
        <v>0.99</v>
      </c>
      <c r="E305">
        <f t="shared" si="52"/>
        <v>0</v>
      </c>
      <c r="F305">
        <f t="shared" si="52"/>
        <v>0</v>
      </c>
      <c r="G305">
        <f t="shared" si="52"/>
        <v>0</v>
      </c>
    </row>
    <row r="306" spans="1:7" s="33" customFormat="1">
      <c r="A306" s="33" t="s">
        <v>327</v>
      </c>
      <c r="B306" s="55" t="s">
        <v>278</v>
      </c>
      <c r="C306" s="33">
        <f>ROUND((EXP(7.032824+1*0.622482)*((C6/1.852)^ 0.40303))/(1.15*0.0059)/1000000,3)</f>
        <v>0</v>
      </c>
      <c r="D306" s="33">
        <f t="shared" ref="D306:AF315" si="53">ROUND((EXP(7.032824+1*0.622482)*((D6/1.852)^ 0.40303))/(1.15*0.0059)/1000000,3)</f>
        <v>1.0029999999999999</v>
      </c>
      <c r="E306" s="33">
        <f t="shared" si="53"/>
        <v>1.119</v>
      </c>
      <c r="F306" s="33">
        <f t="shared" si="53"/>
        <v>1.044</v>
      </c>
      <c r="G306" s="33">
        <f t="shared" si="53"/>
        <v>1.198</v>
      </c>
    </row>
    <row r="307" spans="1:7">
      <c r="A307" t="s">
        <v>327</v>
      </c>
      <c r="B307" s="17" t="s">
        <v>280</v>
      </c>
      <c r="C307">
        <f t="shared" ref="C307:R322" si="54">ROUND((EXP(7.032824+1*0.622482)*((C7/1.852)^ 0.40303))/(1.15*0.0059)/1000000,3)</f>
        <v>1.0029999999999999</v>
      </c>
      <c r="D307">
        <f t="shared" si="54"/>
        <v>0</v>
      </c>
      <c r="E307">
        <f t="shared" si="54"/>
        <v>1.1870000000000001</v>
      </c>
      <c r="F307">
        <f t="shared" si="54"/>
        <v>1.329</v>
      </c>
      <c r="G307">
        <f t="shared" si="54"/>
        <v>1.018</v>
      </c>
    </row>
    <row r="308" spans="1:7">
      <c r="A308" t="s">
        <v>327</v>
      </c>
      <c r="B308" s="17" t="s">
        <v>281</v>
      </c>
      <c r="C308">
        <f t="shared" si="54"/>
        <v>1.119</v>
      </c>
      <c r="D308">
        <f t="shared" si="53"/>
        <v>1.1870000000000001</v>
      </c>
      <c r="E308">
        <f t="shared" si="53"/>
        <v>0</v>
      </c>
      <c r="F308">
        <f t="shared" si="53"/>
        <v>1.1479999999999999</v>
      </c>
      <c r="G308">
        <f t="shared" si="53"/>
        <v>1.008</v>
      </c>
    </row>
    <row r="309" spans="1:7">
      <c r="A309" t="s">
        <v>327</v>
      </c>
      <c r="B309" s="17" t="s">
        <v>282</v>
      </c>
      <c r="C309">
        <f t="shared" si="54"/>
        <v>1.044</v>
      </c>
      <c r="D309">
        <f t="shared" si="53"/>
        <v>1.329</v>
      </c>
      <c r="E309">
        <f t="shared" si="53"/>
        <v>1.1479999999999999</v>
      </c>
      <c r="F309">
        <f t="shared" si="53"/>
        <v>0</v>
      </c>
      <c r="G309">
        <f t="shared" si="53"/>
        <v>1.3759999999999999</v>
      </c>
    </row>
    <row r="310" spans="1:7">
      <c r="A310" t="s">
        <v>327</v>
      </c>
      <c r="B310" s="17" t="s">
        <v>283</v>
      </c>
      <c r="C310">
        <f t="shared" si="54"/>
        <v>1.198</v>
      </c>
      <c r="D310">
        <f t="shared" si="53"/>
        <v>1.018</v>
      </c>
      <c r="E310">
        <f t="shared" si="53"/>
        <v>1.008</v>
      </c>
      <c r="F310">
        <f t="shared" si="53"/>
        <v>1.3759999999999999</v>
      </c>
      <c r="G310">
        <f t="shared" si="53"/>
        <v>0</v>
      </c>
    </row>
    <row r="311" spans="1:7">
      <c r="A311" t="s">
        <v>327</v>
      </c>
      <c r="B311" s="17" t="s">
        <v>509</v>
      </c>
      <c r="C311">
        <f t="shared" si="54"/>
        <v>0</v>
      </c>
      <c r="D311">
        <f t="shared" si="53"/>
        <v>1.0029999999999999</v>
      </c>
      <c r="E311">
        <f t="shared" si="53"/>
        <v>1.119</v>
      </c>
      <c r="F311">
        <f t="shared" si="53"/>
        <v>1.044</v>
      </c>
      <c r="G311">
        <f t="shared" si="53"/>
        <v>1.198</v>
      </c>
    </row>
    <row r="312" spans="1:7">
      <c r="A312" t="s">
        <v>327</v>
      </c>
      <c r="B312" s="17" t="s">
        <v>284</v>
      </c>
      <c r="C312">
        <f t="shared" si="54"/>
        <v>1.0029999999999999</v>
      </c>
      <c r="D312">
        <f t="shared" si="53"/>
        <v>0</v>
      </c>
      <c r="E312">
        <f t="shared" si="53"/>
        <v>1.1870000000000001</v>
      </c>
      <c r="F312">
        <f t="shared" si="53"/>
        <v>1.329</v>
      </c>
      <c r="G312">
        <f t="shared" si="53"/>
        <v>1.018</v>
      </c>
    </row>
    <row r="313" spans="1:7">
      <c r="A313" t="s">
        <v>327</v>
      </c>
      <c r="B313" s="17" t="s">
        <v>307</v>
      </c>
      <c r="C313">
        <f t="shared" si="54"/>
        <v>1.119</v>
      </c>
      <c r="D313">
        <f t="shared" si="53"/>
        <v>1.1870000000000001</v>
      </c>
      <c r="E313">
        <f t="shared" si="53"/>
        <v>0</v>
      </c>
      <c r="F313">
        <f t="shared" si="53"/>
        <v>1.1479999999999999</v>
      </c>
      <c r="G313">
        <f t="shared" si="53"/>
        <v>1.008</v>
      </c>
    </row>
    <row r="314" spans="1:7">
      <c r="A314" t="s">
        <v>327</v>
      </c>
      <c r="B314" s="17" t="s">
        <v>285</v>
      </c>
      <c r="C314">
        <f t="shared" si="54"/>
        <v>1.044</v>
      </c>
      <c r="D314">
        <f t="shared" si="53"/>
        <v>1.329</v>
      </c>
      <c r="E314">
        <f t="shared" si="53"/>
        <v>1.1479999999999999</v>
      </c>
      <c r="F314">
        <f t="shared" si="53"/>
        <v>0</v>
      </c>
      <c r="G314">
        <f t="shared" si="53"/>
        <v>1.3759999999999999</v>
      </c>
    </row>
    <row r="315" spans="1:7">
      <c r="A315" t="s">
        <v>327</v>
      </c>
      <c r="B315" s="17" t="s">
        <v>286</v>
      </c>
      <c r="C315">
        <f t="shared" si="54"/>
        <v>1.198</v>
      </c>
      <c r="D315">
        <f t="shared" si="53"/>
        <v>1.018</v>
      </c>
      <c r="E315">
        <f t="shared" si="53"/>
        <v>1.008</v>
      </c>
      <c r="F315">
        <f t="shared" si="53"/>
        <v>1.3759999999999999</v>
      </c>
      <c r="G315">
        <f t="shared" si="53"/>
        <v>0</v>
      </c>
    </row>
    <row r="316" spans="1:7">
      <c r="A316" t="s">
        <v>327</v>
      </c>
      <c r="B316" s="17" t="s">
        <v>287</v>
      </c>
      <c r="C316">
        <f t="shared" si="54"/>
        <v>0</v>
      </c>
      <c r="D316">
        <f t="shared" ref="D315:AF324" si="55">ROUND((EXP(7.032824+1*0.622482)*((D16/1.852)^ 0.40303))/(1.15*0.0059)/1000000,3)</f>
        <v>1.0029999999999999</v>
      </c>
      <c r="E316">
        <f t="shared" si="55"/>
        <v>1.119</v>
      </c>
      <c r="F316">
        <f t="shared" si="55"/>
        <v>1.044</v>
      </c>
      <c r="G316">
        <f t="shared" si="55"/>
        <v>1.198</v>
      </c>
    </row>
    <row r="317" spans="1:7">
      <c r="A317" t="s">
        <v>327</v>
      </c>
      <c r="B317" s="17" t="s">
        <v>288</v>
      </c>
      <c r="C317">
        <f t="shared" si="54"/>
        <v>1.0029999999999999</v>
      </c>
      <c r="D317">
        <f t="shared" si="55"/>
        <v>0</v>
      </c>
      <c r="E317">
        <f t="shared" si="55"/>
        <v>1.1870000000000001</v>
      </c>
      <c r="F317">
        <f t="shared" si="55"/>
        <v>1.329</v>
      </c>
      <c r="G317">
        <f t="shared" si="55"/>
        <v>1.018</v>
      </c>
    </row>
    <row r="318" spans="1:7">
      <c r="A318" t="s">
        <v>327</v>
      </c>
      <c r="B318" s="17" t="s">
        <v>289</v>
      </c>
      <c r="C318">
        <f t="shared" si="54"/>
        <v>1.119</v>
      </c>
      <c r="D318">
        <f t="shared" si="55"/>
        <v>1.1870000000000001</v>
      </c>
      <c r="E318">
        <f t="shared" si="55"/>
        <v>0</v>
      </c>
      <c r="F318">
        <f t="shared" si="55"/>
        <v>1.1479999999999999</v>
      </c>
      <c r="G318">
        <f t="shared" si="55"/>
        <v>1.008</v>
      </c>
    </row>
    <row r="319" spans="1:7">
      <c r="A319" t="s">
        <v>327</v>
      </c>
      <c r="B319" s="17" t="s">
        <v>290</v>
      </c>
      <c r="C319">
        <f t="shared" si="54"/>
        <v>1.044</v>
      </c>
      <c r="D319">
        <f t="shared" si="55"/>
        <v>1.329</v>
      </c>
      <c r="E319">
        <f t="shared" si="55"/>
        <v>1.1479999999999999</v>
      </c>
      <c r="F319">
        <f t="shared" si="55"/>
        <v>0</v>
      </c>
      <c r="G319">
        <f t="shared" si="55"/>
        <v>1.3759999999999999</v>
      </c>
    </row>
    <row r="320" spans="1:7">
      <c r="A320" t="s">
        <v>327</v>
      </c>
      <c r="B320" s="17" t="s">
        <v>291</v>
      </c>
      <c r="C320">
        <f t="shared" si="54"/>
        <v>1.198</v>
      </c>
      <c r="D320">
        <f t="shared" si="55"/>
        <v>1.018</v>
      </c>
      <c r="E320">
        <f t="shared" si="55"/>
        <v>1.008</v>
      </c>
      <c r="F320">
        <f t="shared" si="55"/>
        <v>1.3759999999999999</v>
      </c>
      <c r="G320">
        <f t="shared" si="55"/>
        <v>0</v>
      </c>
    </row>
    <row r="321" spans="1:7">
      <c r="A321" t="s">
        <v>327</v>
      </c>
      <c r="B321" s="17" t="s">
        <v>292</v>
      </c>
      <c r="C321">
        <f t="shared" si="54"/>
        <v>0</v>
      </c>
      <c r="D321">
        <f t="shared" si="55"/>
        <v>1.0029999999999999</v>
      </c>
      <c r="E321">
        <f t="shared" si="55"/>
        <v>1.119</v>
      </c>
      <c r="F321">
        <f t="shared" si="55"/>
        <v>1.044</v>
      </c>
      <c r="G321">
        <f t="shared" si="55"/>
        <v>1.198</v>
      </c>
    </row>
    <row r="322" spans="1:7">
      <c r="A322" t="s">
        <v>327</v>
      </c>
      <c r="B322" s="17" t="s">
        <v>308</v>
      </c>
      <c r="C322">
        <f t="shared" si="54"/>
        <v>1.0029999999999999</v>
      </c>
      <c r="D322">
        <f t="shared" si="55"/>
        <v>0</v>
      </c>
      <c r="E322">
        <f t="shared" si="55"/>
        <v>1.1870000000000001</v>
      </c>
      <c r="F322">
        <f t="shared" si="55"/>
        <v>1.329</v>
      </c>
      <c r="G322">
        <f t="shared" si="55"/>
        <v>1.018</v>
      </c>
    </row>
    <row r="323" spans="1:7">
      <c r="A323" t="s">
        <v>327</v>
      </c>
      <c r="B323" s="17" t="s">
        <v>293</v>
      </c>
      <c r="C323">
        <f t="shared" ref="C323:C335" si="56">ROUND((EXP(7.032824+1*0.622482)*((C23/1.852)^ 0.40303))/(1.15*0.0059)/1000000,3)</f>
        <v>1.119</v>
      </c>
      <c r="D323">
        <f t="shared" si="55"/>
        <v>1.1870000000000001</v>
      </c>
      <c r="E323">
        <f t="shared" si="55"/>
        <v>0</v>
      </c>
      <c r="F323">
        <f t="shared" si="55"/>
        <v>1.1479999999999999</v>
      </c>
      <c r="G323">
        <f t="shared" si="55"/>
        <v>1.008</v>
      </c>
    </row>
    <row r="324" spans="1:7">
      <c r="A324" t="s">
        <v>327</v>
      </c>
      <c r="B324" s="17" t="s">
        <v>309</v>
      </c>
      <c r="C324">
        <f t="shared" si="56"/>
        <v>1.044</v>
      </c>
      <c r="D324">
        <f t="shared" si="55"/>
        <v>1.329</v>
      </c>
      <c r="E324">
        <f t="shared" si="55"/>
        <v>1.1479999999999999</v>
      </c>
      <c r="F324">
        <f t="shared" si="55"/>
        <v>0</v>
      </c>
      <c r="G324">
        <f t="shared" ref="D324:AF332" si="57">ROUND((EXP(7.032824+1*0.622482)*((G24/1.852)^ 0.40303))/(1.15*0.0059)/1000000,3)</f>
        <v>1.3759999999999999</v>
      </c>
    </row>
    <row r="325" spans="1:7">
      <c r="A325" t="s">
        <v>327</v>
      </c>
      <c r="B325" s="17" t="s">
        <v>296</v>
      </c>
      <c r="C325">
        <f t="shared" si="56"/>
        <v>1.198</v>
      </c>
      <c r="D325">
        <f t="shared" si="57"/>
        <v>1.018</v>
      </c>
      <c r="E325">
        <f t="shared" si="57"/>
        <v>1.008</v>
      </c>
      <c r="F325">
        <f t="shared" si="57"/>
        <v>1.3759999999999999</v>
      </c>
      <c r="G325">
        <f t="shared" si="57"/>
        <v>0</v>
      </c>
    </row>
    <row r="326" spans="1:7">
      <c r="A326" t="s">
        <v>327</v>
      </c>
      <c r="B326" s="17" t="s">
        <v>297</v>
      </c>
      <c r="C326" t="e">
        <f t="shared" si="56"/>
        <v>#REF!</v>
      </c>
      <c r="D326" t="e">
        <f t="shared" si="57"/>
        <v>#REF!</v>
      </c>
      <c r="E326" t="e">
        <f t="shared" si="57"/>
        <v>#REF!</v>
      </c>
      <c r="F326" t="e">
        <f t="shared" si="57"/>
        <v>#REF!</v>
      </c>
      <c r="G326" t="e">
        <f t="shared" si="57"/>
        <v>#REF!</v>
      </c>
    </row>
    <row r="327" spans="1:7">
      <c r="A327" t="s">
        <v>327</v>
      </c>
      <c r="B327" s="17" t="s">
        <v>355</v>
      </c>
      <c r="C327">
        <f t="shared" si="56"/>
        <v>0</v>
      </c>
      <c r="D327">
        <f t="shared" si="57"/>
        <v>1.0029999999999999</v>
      </c>
      <c r="E327">
        <f t="shared" si="57"/>
        <v>1.119</v>
      </c>
      <c r="F327">
        <f t="shared" si="57"/>
        <v>1.044</v>
      </c>
      <c r="G327">
        <f t="shared" si="57"/>
        <v>1.198</v>
      </c>
    </row>
    <row r="328" spans="1:7">
      <c r="A328" t="s">
        <v>327</v>
      </c>
      <c r="B328" s="17" t="s">
        <v>298</v>
      </c>
      <c r="C328">
        <f t="shared" si="56"/>
        <v>1.0029999999999999</v>
      </c>
      <c r="D328">
        <f t="shared" si="57"/>
        <v>0</v>
      </c>
      <c r="E328">
        <f t="shared" si="57"/>
        <v>1.1870000000000001</v>
      </c>
      <c r="F328">
        <f t="shared" si="57"/>
        <v>1.329</v>
      </c>
      <c r="G328">
        <f t="shared" si="57"/>
        <v>1.018</v>
      </c>
    </row>
    <row r="329" spans="1:7">
      <c r="A329" t="s">
        <v>327</v>
      </c>
      <c r="B329" s="17" t="s">
        <v>299</v>
      </c>
      <c r="C329">
        <f t="shared" si="56"/>
        <v>1.119</v>
      </c>
      <c r="D329">
        <f t="shared" si="57"/>
        <v>1.1870000000000001</v>
      </c>
      <c r="E329">
        <f t="shared" si="57"/>
        <v>0</v>
      </c>
      <c r="F329">
        <f t="shared" si="57"/>
        <v>1.1479999999999999</v>
      </c>
      <c r="G329">
        <f t="shared" si="57"/>
        <v>1.008</v>
      </c>
    </row>
    <row r="330" spans="1:7">
      <c r="A330" t="s">
        <v>327</v>
      </c>
      <c r="B330" s="17" t="s">
        <v>300</v>
      </c>
      <c r="C330">
        <f t="shared" si="56"/>
        <v>1.044</v>
      </c>
      <c r="D330">
        <f t="shared" si="57"/>
        <v>1.329</v>
      </c>
      <c r="E330">
        <f t="shared" si="57"/>
        <v>1.1479999999999999</v>
      </c>
      <c r="F330">
        <f t="shared" si="57"/>
        <v>0</v>
      </c>
      <c r="G330">
        <f t="shared" si="57"/>
        <v>1.3759999999999999</v>
      </c>
    </row>
    <row r="331" spans="1:7">
      <c r="A331" t="s">
        <v>327</v>
      </c>
      <c r="B331" s="17" t="s">
        <v>302</v>
      </c>
      <c r="C331">
        <f t="shared" si="56"/>
        <v>1.198</v>
      </c>
      <c r="D331">
        <f t="shared" si="57"/>
        <v>1.018</v>
      </c>
      <c r="E331">
        <f t="shared" si="57"/>
        <v>1.008</v>
      </c>
      <c r="F331">
        <f t="shared" si="57"/>
        <v>1.3759999999999999</v>
      </c>
      <c r="G331">
        <f t="shared" si="57"/>
        <v>0</v>
      </c>
    </row>
    <row r="332" spans="1:7">
      <c r="A332" t="s">
        <v>327</v>
      </c>
      <c r="B332" s="17" t="s">
        <v>303</v>
      </c>
      <c r="C332" t="e">
        <f t="shared" si="56"/>
        <v>#REF!</v>
      </c>
      <c r="D332" t="e">
        <f t="shared" si="57"/>
        <v>#REF!</v>
      </c>
      <c r="E332" t="e">
        <f t="shared" si="57"/>
        <v>#REF!</v>
      </c>
      <c r="F332" t="e">
        <f t="shared" si="57"/>
        <v>#REF!</v>
      </c>
      <c r="G332" t="e">
        <f t="shared" si="57"/>
        <v>#REF!</v>
      </c>
    </row>
    <row r="333" spans="1:7">
      <c r="A333" t="s">
        <v>327</v>
      </c>
      <c r="B333" s="17" t="s">
        <v>304</v>
      </c>
      <c r="C333">
        <f t="shared" si="56"/>
        <v>0</v>
      </c>
      <c r="D333">
        <f t="shared" ref="D332:AF335" si="58">ROUND((EXP(7.032824+1*0.622482)*((D33/1.852)^ 0.40303))/(1.15*0.0059)/1000000,3)</f>
        <v>0.441</v>
      </c>
      <c r="E333">
        <f t="shared" si="58"/>
        <v>0</v>
      </c>
      <c r="F333">
        <f t="shared" si="58"/>
        <v>0.93100000000000005</v>
      </c>
      <c r="G333">
        <f t="shared" si="58"/>
        <v>0</v>
      </c>
    </row>
    <row r="334" spans="1:7">
      <c r="A334" t="s">
        <v>327</v>
      </c>
      <c r="B334" t="s">
        <v>354</v>
      </c>
      <c r="C334">
        <f t="shared" si="56"/>
        <v>0.441</v>
      </c>
      <c r="D334">
        <f t="shared" si="58"/>
        <v>0</v>
      </c>
      <c r="E334">
        <f t="shared" si="58"/>
        <v>0.99</v>
      </c>
      <c r="F334">
        <f t="shared" si="58"/>
        <v>0</v>
      </c>
      <c r="G334">
        <f t="shared" si="58"/>
        <v>0.85299999999999998</v>
      </c>
    </row>
    <row r="335" spans="1:7">
      <c r="A335" t="s">
        <v>327</v>
      </c>
      <c r="B335" s="17" t="s">
        <v>306</v>
      </c>
      <c r="C335">
        <f t="shared" si="56"/>
        <v>0</v>
      </c>
      <c r="D335">
        <f t="shared" si="58"/>
        <v>0.99</v>
      </c>
      <c r="E335">
        <f t="shared" si="58"/>
        <v>0</v>
      </c>
      <c r="F335">
        <f t="shared" si="58"/>
        <v>0</v>
      </c>
      <c r="G335">
        <f t="shared" si="58"/>
        <v>0</v>
      </c>
    </row>
    <row r="336" spans="1:7" s="33" customFormat="1">
      <c r="A336" s="33" t="s">
        <v>364</v>
      </c>
      <c r="B336" s="55" t="s">
        <v>278</v>
      </c>
      <c r="C336" s="33">
        <f>IF(C186&gt;0,0.01,0)</f>
        <v>0</v>
      </c>
      <c r="D336" s="33">
        <f t="shared" ref="D336:AF345" si="59">IF(D186&gt;0,0.01,0)</f>
        <v>0.01</v>
      </c>
      <c r="E336" s="33">
        <f t="shared" si="59"/>
        <v>0.01</v>
      </c>
      <c r="F336" s="33">
        <f t="shared" si="59"/>
        <v>0.01</v>
      </c>
      <c r="G336" s="33">
        <f t="shared" si="59"/>
        <v>0.01</v>
      </c>
    </row>
    <row r="337" spans="1:7">
      <c r="A337" t="s">
        <v>364</v>
      </c>
      <c r="B337" s="17" t="s">
        <v>280</v>
      </c>
      <c r="C337">
        <f t="shared" ref="C337:R352" si="60">IF(C187&gt;0,0.01,0)</f>
        <v>0.01</v>
      </c>
      <c r="D337">
        <f t="shared" si="60"/>
        <v>0</v>
      </c>
      <c r="E337">
        <f t="shared" si="60"/>
        <v>0.01</v>
      </c>
      <c r="F337">
        <f t="shared" si="60"/>
        <v>0.01</v>
      </c>
      <c r="G337">
        <f t="shared" si="60"/>
        <v>0.01</v>
      </c>
    </row>
    <row r="338" spans="1:7">
      <c r="A338" t="s">
        <v>364</v>
      </c>
      <c r="B338" s="17" t="s">
        <v>281</v>
      </c>
      <c r="C338">
        <f t="shared" si="60"/>
        <v>0.01</v>
      </c>
      <c r="D338">
        <f t="shared" si="59"/>
        <v>0.01</v>
      </c>
      <c r="E338">
        <f t="shared" si="59"/>
        <v>0</v>
      </c>
      <c r="F338">
        <f t="shared" si="59"/>
        <v>0.01</v>
      </c>
      <c r="G338">
        <f t="shared" si="59"/>
        <v>0.01</v>
      </c>
    </row>
    <row r="339" spans="1:7">
      <c r="A339" t="s">
        <v>364</v>
      </c>
      <c r="B339" s="17" t="s">
        <v>282</v>
      </c>
      <c r="C339">
        <f t="shared" si="60"/>
        <v>0.01</v>
      </c>
      <c r="D339">
        <f t="shared" si="59"/>
        <v>0.01</v>
      </c>
      <c r="E339">
        <f t="shared" si="59"/>
        <v>0.01</v>
      </c>
      <c r="F339">
        <f t="shared" si="59"/>
        <v>0</v>
      </c>
      <c r="G339">
        <f t="shared" si="59"/>
        <v>0.01</v>
      </c>
    </row>
    <row r="340" spans="1:7">
      <c r="A340" t="s">
        <v>364</v>
      </c>
      <c r="B340" s="17" t="s">
        <v>283</v>
      </c>
      <c r="C340">
        <f t="shared" si="60"/>
        <v>0.01</v>
      </c>
      <c r="D340">
        <f t="shared" si="59"/>
        <v>0.01</v>
      </c>
      <c r="E340">
        <f t="shared" si="59"/>
        <v>0.01</v>
      </c>
      <c r="F340">
        <f t="shared" si="59"/>
        <v>0.01</v>
      </c>
      <c r="G340">
        <f t="shared" si="59"/>
        <v>0</v>
      </c>
    </row>
    <row r="341" spans="1:7">
      <c r="A341" t="s">
        <v>364</v>
      </c>
      <c r="B341" s="17" t="s">
        <v>509</v>
      </c>
      <c r="C341">
        <f t="shared" si="60"/>
        <v>0</v>
      </c>
      <c r="D341">
        <f t="shared" si="59"/>
        <v>0.01</v>
      </c>
      <c r="E341">
        <f t="shared" si="59"/>
        <v>0.01</v>
      </c>
      <c r="F341">
        <f t="shared" si="59"/>
        <v>0.01</v>
      </c>
      <c r="G341">
        <f t="shared" si="59"/>
        <v>0.01</v>
      </c>
    </row>
    <row r="342" spans="1:7">
      <c r="A342" t="s">
        <v>364</v>
      </c>
      <c r="B342" s="17" t="s">
        <v>284</v>
      </c>
      <c r="C342">
        <f t="shared" si="60"/>
        <v>0.01</v>
      </c>
      <c r="D342">
        <f t="shared" si="59"/>
        <v>0</v>
      </c>
      <c r="E342">
        <f t="shared" si="59"/>
        <v>0.01</v>
      </c>
      <c r="F342">
        <f t="shared" si="59"/>
        <v>0.01</v>
      </c>
      <c r="G342">
        <f t="shared" si="59"/>
        <v>0.01</v>
      </c>
    </row>
    <row r="343" spans="1:7">
      <c r="A343" t="s">
        <v>364</v>
      </c>
      <c r="B343" s="17" t="s">
        <v>307</v>
      </c>
      <c r="C343">
        <f t="shared" si="60"/>
        <v>0.01</v>
      </c>
      <c r="D343">
        <f t="shared" si="59"/>
        <v>0.01</v>
      </c>
      <c r="E343">
        <f t="shared" si="59"/>
        <v>0</v>
      </c>
      <c r="F343">
        <f t="shared" si="59"/>
        <v>0.01</v>
      </c>
      <c r="G343">
        <f t="shared" si="59"/>
        <v>0.01</v>
      </c>
    </row>
    <row r="344" spans="1:7">
      <c r="A344" t="s">
        <v>364</v>
      </c>
      <c r="B344" s="17" t="s">
        <v>285</v>
      </c>
      <c r="C344">
        <f t="shared" si="60"/>
        <v>0.01</v>
      </c>
      <c r="D344">
        <f t="shared" si="59"/>
        <v>0.01</v>
      </c>
      <c r="E344">
        <f t="shared" si="59"/>
        <v>0.01</v>
      </c>
      <c r="F344">
        <f t="shared" si="59"/>
        <v>0</v>
      </c>
      <c r="G344">
        <f t="shared" si="59"/>
        <v>0.01</v>
      </c>
    </row>
    <row r="345" spans="1:7">
      <c r="A345" t="s">
        <v>364</v>
      </c>
      <c r="B345" s="17" t="s">
        <v>286</v>
      </c>
      <c r="C345">
        <f t="shared" si="60"/>
        <v>0.01</v>
      </c>
      <c r="D345">
        <f t="shared" si="59"/>
        <v>0.01</v>
      </c>
      <c r="E345">
        <f t="shared" si="59"/>
        <v>0.01</v>
      </c>
      <c r="F345">
        <f t="shared" si="59"/>
        <v>0.01</v>
      </c>
      <c r="G345">
        <f t="shared" si="59"/>
        <v>0</v>
      </c>
    </row>
    <row r="346" spans="1:7">
      <c r="A346" t="s">
        <v>364</v>
      </c>
      <c r="B346" s="17" t="s">
        <v>287</v>
      </c>
      <c r="C346">
        <f t="shared" si="60"/>
        <v>0</v>
      </c>
      <c r="D346">
        <f t="shared" ref="D345:AF354" si="61">IF(D196&gt;0,0.01,0)</f>
        <v>0.01</v>
      </c>
      <c r="E346">
        <f t="shared" si="61"/>
        <v>0.01</v>
      </c>
      <c r="F346">
        <f t="shared" si="61"/>
        <v>0.01</v>
      </c>
      <c r="G346">
        <f t="shared" si="61"/>
        <v>0.01</v>
      </c>
    </row>
    <row r="347" spans="1:7">
      <c r="A347" t="s">
        <v>364</v>
      </c>
      <c r="B347" s="17" t="s">
        <v>288</v>
      </c>
      <c r="C347">
        <f t="shared" si="60"/>
        <v>0.01</v>
      </c>
      <c r="D347">
        <f t="shared" si="61"/>
        <v>0</v>
      </c>
      <c r="E347">
        <f t="shared" si="61"/>
        <v>0.01</v>
      </c>
      <c r="F347">
        <f t="shared" si="61"/>
        <v>0.01</v>
      </c>
      <c r="G347">
        <f t="shared" si="61"/>
        <v>0.01</v>
      </c>
    </row>
    <row r="348" spans="1:7">
      <c r="A348" t="s">
        <v>364</v>
      </c>
      <c r="B348" s="17" t="s">
        <v>289</v>
      </c>
      <c r="C348">
        <f t="shared" si="60"/>
        <v>0.01</v>
      </c>
      <c r="D348">
        <f t="shared" si="61"/>
        <v>0.01</v>
      </c>
      <c r="E348">
        <f t="shared" si="61"/>
        <v>0</v>
      </c>
      <c r="F348">
        <f t="shared" si="61"/>
        <v>0.01</v>
      </c>
      <c r="G348">
        <f t="shared" si="61"/>
        <v>0.01</v>
      </c>
    </row>
    <row r="349" spans="1:7">
      <c r="A349" t="s">
        <v>364</v>
      </c>
      <c r="B349" s="17" t="s">
        <v>290</v>
      </c>
      <c r="C349">
        <f t="shared" si="60"/>
        <v>0.01</v>
      </c>
      <c r="D349">
        <f t="shared" si="61"/>
        <v>0.01</v>
      </c>
      <c r="E349">
        <f t="shared" si="61"/>
        <v>0.01</v>
      </c>
      <c r="F349">
        <f t="shared" si="61"/>
        <v>0</v>
      </c>
      <c r="G349">
        <f t="shared" si="61"/>
        <v>0.01</v>
      </c>
    </row>
    <row r="350" spans="1:7">
      <c r="A350" t="s">
        <v>364</v>
      </c>
      <c r="B350" s="17" t="s">
        <v>291</v>
      </c>
      <c r="C350">
        <f t="shared" si="60"/>
        <v>0.01</v>
      </c>
      <c r="D350">
        <f t="shared" si="61"/>
        <v>0.01</v>
      </c>
      <c r="E350">
        <f t="shared" si="61"/>
        <v>0.01</v>
      </c>
      <c r="F350">
        <f t="shared" si="61"/>
        <v>0.01</v>
      </c>
      <c r="G350">
        <f t="shared" si="61"/>
        <v>0</v>
      </c>
    </row>
    <row r="351" spans="1:7">
      <c r="A351" t="s">
        <v>364</v>
      </c>
      <c r="B351" s="17" t="s">
        <v>292</v>
      </c>
      <c r="C351">
        <f t="shared" si="60"/>
        <v>0</v>
      </c>
      <c r="D351">
        <f t="shared" si="61"/>
        <v>0.01</v>
      </c>
      <c r="E351">
        <f t="shared" si="61"/>
        <v>0.01</v>
      </c>
      <c r="F351">
        <f t="shared" si="61"/>
        <v>0.01</v>
      </c>
      <c r="G351">
        <f t="shared" si="61"/>
        <v>0.01</v>
      </c>
    </row>
    <row r="352" spans="1:7">
      <c r="A352" t="s">
        <v>364</v>
      </c>
      <c r="B352" s="17" t="s">
        <v>308</v>
      </c>
      <c r="C352">
        <f t="shared" si="60"/>
        <v>0.01</v>
      </c>
      <c r="D352">
        <f t="shared" si="61"/>
        <v>0</v>
      </c>
      <c r="E352">
        <f t="shared" si="61"/>
        <v>0.01</v>
      </c>
      <c r="F352">
        <f t="shared" si="61"/>
        <v>0.01</v>
      </c>
      <c r="G352">
        <f t="shared" si="61"/>
        <v>0.01</v>
      </c>
    </row>
    <row r="353" spans="1:7">
      <c r="A353" t="s">
        <v>364</v>
      </c>
      <c r="B353" s="17" t="s">
        <v>293</v>
      </c>
      <c r="C353">
        <f t="shared" ref="C353:R365" si="62">IF(C203&gt;0,0.01,0)</f>
        <v>0.01</v>
      </c>
      <c r="D353">
        <f t="shared" si="61"/>
        <v>0.01</v>
      </c>
      <c r="E353">
        <f t="shared" si="61"/>
        <v>0</v>
      </c>
      <c r="F353">
        <f t="shared" si="61"/>
        <v>0.01</v>
      </c>
      <c r="G353">
        <f t="shared" si="61"/>
        <v>0.01</v>
      </c>
    </row>
    <row r="354" spans="1:7">
      <c r="A354" t="s">
        <v>364</v>
      </c>
      <c r="B354" s="17" t="s">
        <v>309</v>
      </c>
      <c r="C354">
        <f t="shared" si="62"/>
        <v>0.01</v>
      </c>
      <c r="D354">
        <f t="shared" si="61"/>
        <v>0.01</v>
      </c>
      <c r="E354">
        <f t="shared" si="61"/>
        <v>0.01</v>
      </c>
      <c r="F354">
        <f t="shared" si="61"/>
        <v>0</v>
      </c>
      <c r="G354">
        <f t="shared" ref="D354:AF362" si="63">IF(G204&gt;0,0.01,0)</f>
        <v>0.01</v>
      </c>
    </row>
    <row r="355" spans="1:7">
      <c r="A355" t="s">
        <v>364</v>
      </c>
      <c r="B355" s="17" t="s">
        <v>296</v>
      </c>
      <c r="C355">
        <f t="shared" si="62"/>
        <v>0.01</v>
      </c>
      <c r="D355">
        <f t="shared" si="63"/>
        <v>0.01</v>
      </c>
      <c r="E355">
        <f t="shared" si="63"/>
        <v>0.01</v>
      </c>
      <c r="F355">
        <f t="shared" si="63"/>
        <v>0.01</v>
      </c>
      <c r="G355">
        <f t="shared" si="63"/>
        <v>0</v>
      </c>
    </row>
    <row r="356" spans="1:7">
      <c r="A356" t="s">
        <v>364</v>
      </c>
      <c r="B356" s="17" t="s">
        <v>297</v>
      </c>
      <c r="C356" t="e">
        <f t="shared" si="62"/>
        <v>#REF!</v>
      </c>
      <c r="D356" t="e">
        <f t="shared" si="63"/>
        <v>#REF!</v>
      </c>
      <c r="E356" t="e">
        <f t="shared" si="63"/>
        <v>#REF!</v>
      </c>
      <c r="F356" t="e">
        <f t="shared" si="63"/>
        <v>#REF!</v>
      </c>
      <c r="G356" t="e">
        <f t="shared" si="63"/>
        <v>#REF!</v>
      </c>
    </row>
    <row r="357" spans="1:7">
      <c r="A357" t="s">
        <v>364</v>
      </c>
      <c r="B357" s="17" t="s">
        <v>355</v>
      </c>
      <c r="C357">
        <f t="shared" si="62"/>
        <v>0</v>
      </c>
      <c r="D357">
        <f t="shared" si="63"/>
        <v>0.01</v>
      </c>
      <c r="E357">
        <f t="shared" si="63"/>
        <v>0.01</v>
      </c>
      <c r="F357">
        <f t="shared" si="63"/>
        <v>0.01</v>
      </c>
      <c r="G357">
        <f t="shared" si="63"/>
        <v>0.01</v>
      </c>
    </row>
    <row r="358" spans="1:7">
      <c r="A358" t="s">
        <v>364</v>
      </c>
      <c r="B358" s="17" t="s">
        <v>298</v>
      </c>
      <c r="C358">
        <f t="shared" si="62"/>
        <v>0.01</v>
      </c>
      <c r="D358">
        <f t="shared" si="63"/>
        <v>0</v>
      </c>
      <c r="E358">
        <f t="shared" si="63"/>
        <v>0.01</v>
      </c>
      <c r="F358">
        <f t="shared" si="63"/>
        <v>0.01</v>
      </c>
      <c r="G358">
        <f t="shared" si="63"/>
        <v>0.01</v>
      </c>
    </row>
    <row r="359" spans="1:7">
      <c r="A359" t="s">
        <v>364</v>
      </c>
      <c r="B359" s="17" t="s">
        <v>299</v>
      </c>
      <c r="C359">
        <f t="shared" si="62"/>
        <v>0.01</v>
      </c>
      <c r="D359">
        <f t="shared" si="63"/>
        <v>0.01</v>
      </c>
      <c r="E359">
        <f t="shared" si="63"/>
        <v>0</v>
      </c>
      <c r="F359">
        <f t="shared" si="63"/>
        <v>0.01</v>
      </c>
      <c r="G359">
        <f t="shared" si="63"/>
        <v>0.01</v>
      </c>
    </row>
    <row r="360" spans="1:7">
      <c r="A360" t="s">
        <v>364</v>
      </c>
      <c r="B360" s="17" t="s">
        <v>300</v>
      </c>
      <c r="C360">
        <f t="shared" si="62"/>
        <v>0.01</v>
      </c>
      <c r="D360">
        <f t="shared" si="63"/>
        <v>0.01</v>
      </c>
      <c r="E360">
        <f t="shared" si="63"/>
        <v>0.01</v>
      </c>
      <c r="F360">
        <f t="shared" si="63"/>
        <v>0</v>
      </c>
      <c r="G360">
        <f t="shared" si="63"/>
        <v>0.01</v>
      </c>
    </row>
    <row r="361" spans="1:7">
      <c r="A361" t="s">
        <v>364</v>
      </c>
      <c r="B361" s="17" t="s">
        <v>302</v>
      </c>
      <c r="C361">
        <f t="shared" si="62"/>
        <v>0.01</v>
      </c>
      <c r="D361">
        <f t="shared" si="63"/>
        <v>0.01</v>
      </c>
      <c r="E361">
        <f t="shared" si="63"/>
        <v>0.01</v>
      </c>
      <c r="F361">
        <f t="shared" si="63"/>
        <v>0.01</v>
      </c>
      <c r="G361">
        <f t="shared" si="63"/>
        <v>0</v>
      </c>
    </row>
    <row r="362" spans="1:7">
      <c r="A362" t="s">
        <v>364</v>
      </c>
      <c r="B362" s="17" t="s">
        <v>303</v>
      </c>
      <c r="C362" t="e">
        <f t="shared" si="62"/>
        <v>#REF!</v>
      </c>
      <c r="D362" t="e">
        <f t="shared" si="63"/>
        <v>#REF!</v>
      </c>
      <c r="E362" t="e">
        <f t="shared" si="63"/>
        <v>#REF!</v>
      </c>
      <c r="F362" t="e">
        <f t="shared" si="63"/>
        <v>#REF!</v>
      </c>
      <c r="G362" t="e">
        <f t="shared" si="63"/>
        <v>#REF!</v>
      </c>
    </row>
    <row r="363" spans="1:7">
      <c r="A363" t="s">
        <v>364</v>
      </c>
      <c r="B363" s="17" t="s">
        <v>304</v>
      </c>
      <c r="C363">
        <f t="shared" si="62"/>
        <v>0</v>
      </c>
      <c r="D363">
        <f t="shared" si="62"/>
        <v>0.01</v>
      </c>
      <c r="E363">
        <f t="shared" si="62"/>
        <v>0</v>
      </c>
      <c r="F363">
        <f t="shared" si="62"/>
        <v>0.01</v>
      </c>
      <c r="G363">
        <f t="shared" si="62"/>
        <v>0</v>
      </c>
    </row>
    <row r="364" spans="1:7">
      <c r="A364" t="s">
        <v>364</v>
      </c>
      <c r="B364" t="s">
        <v>354</v>
      </c>
      <c r="C364">
        <f t="shared" si="62"/>
        <v>0.01</v>
      </c>
      <c r="D364">
        <f t="shared" si="62"/>
        <v>0</v>
      </c>
      <c r="E364">
        <f t="shared" si="62"/>
        <v>0.01</v>
      </c>
      <c r="F364">
        <f t="shared" si="62"/>
        <v>0</v>
      </c>
      <c r="G364">
        <f t="shared" si="62"/>
        <v>0.01</v>
      </c>
    </row>
    <row r="365" spans="1:7">
      <c r="A365" t="s">
        <v>364</v>
      </c>
      <c r="B365" s="17" t="s">
        <v>306</v>
      </c>
      <c r="C365">
        <f>IF(C215&gt;0,0.01,0)</f>
        <v>0</v>
      </c>
      <c r="D365">
        <f t="shared" si="62"/>
        <v>0.01</v>
      </c>
      <c r="E365">
        <f t="shared" si="62"/>
        <v>0</v>
      </c>
      <c r="F365">
        <f t="shared" si="62"/>
        <v>0</v>
      </c>
      <c r="G365">
        <f t="shared" si="62"/>
        <v>0</v>
      </c>
    </row>
    <row r="366" spans="1:7" s="33" customFormat="1">
      <c r="A366" s="33" t="s">
        <v>275</v>
      </c>
      <c r="B366" s="52" t="s">
        <v>509</v>
      </c>
      <c r="C366" s="33">
        <f>ROUND((EXP(7.032824+1*0.622482)*((C6/1.852)^ 0.40303))/(1.15*0.0059)/1000000,3)</f>
        <v>0</v>
      </c>
      <c r="D366" s="33">
        <f t="shared" ref="D366:AF375" si="64">ROUND((EXP(7.032824+1*0.622482)*((D6/1.852)^ 0.40303))/(1.15*0.0059)/1000000,3)</f>
        <v>1.0029999999999999</v>
      </c>
      <c r="E366" s="33">
        <f t="shared" si="64"/>
        <v>1.119</v>
      </c>
      <c r="F366" s="33">
        <f t="shared" si="64"/>
        <v>1.044</v>
      </c>
      <c r="G366" s="33">
        <f t="shared" si="64"/>
        <v>1.198</v>
      </c>
    </row>
    <row r="367" spans="1:7">
      <c r="A367" t="s">
        <v>275</v>
      </c>
      <c r="B367" s="52" t="s">
        <v>510</v>
      </c>
      <c r="C367">
        <f>ROUND((EXP(7.032824+1*0.622482)*((C7/1.852)^ 0.40303))/(1.15*0.0059)/1000000,3)</f>
        <v>1.0029999999999999</v>
      </c>
      <c r="D367">
        <f t="shared" ref="C367:R382" si="65">ROUND((EXP(7.032824+1*0.622482)*((D7/1.852)^ 0.40303))/(1.15*0.0059)/1000000,3)</f>
        <v>0</v>
      </c>
      <c r="E367">
        <f t="shared" si="65"/>
        <v>1.1870000000000001</v>
      </c>
      <c r="F367">
        <f t="shared" si="65"/>
        <v>1.329</v>
      </c>
      <c r="G367">
        <f t="shared" si="65"/>
        <v>1.018</v>
      </c>
    </row>
    <row r="368" spans="1:7">
      <c r="A368" t="s">
        <v>275</v>
      </c>
      <c r="B368" s="52" t="s">
        <v>511</v>
      </c>
      <c r="C368">
        <f t="shared" si="65"/>
        <v>1.119</v>
      </c>
      <c r="D368">
        <f t="shared" si="64"/>
        <v>1.1870000000000001</v>
      </c>
      <c r="E368">
        <f t="shared" si="64"/>
        <v>0</v>
      </c>
      <c r="F368">
        <f t="shared" si="64"/>
        <v>1.1479999999999999</v>
      </c>
      <c r="G368">
        <f t="shared" si="64"/>
        <v>1.008</v>
      </c>
    </row>
    <row r="369" spans="1:7">
      <c r="A369" t="s">
        <v>275</v>
      </c>
      <c r="B369" s="52" t="s">
        <v>512</v>
      </c>
      <c r="C369">
        <f t="shared" si="65"/>
        <v>1.044</v>
      </c>
      <c r="D369">
        <f t="shared" si="64"/>
        <v>1.329</v>
      </c>
      <c r="E369">
        <f t="shared" si="64"/>
        <v>1.1479999999999999</v>
      </c>
      <c r="F369">
        <f t="shared" si="64"/>
        <v>0</v>
      </c>
      <c r="G369">
        <f t="shared" si="64"/>
        <v>1.3759999999999999</v>
      </c>
    </row>
    <row r="370" spans="1:7">
      <c r="A370" t="s">
        <v>275</v>
      </c>
      <c r="B370" s="52" t="s">
        <v>513</v>
      </c>
      <c r="C370">
        <f t="shared" si="65"/>
        <v>1.198</v>
      </c>
      <c r="D370">
        <f t="shared" si="64"/>
        <v>1.018</v>
      </c>
      <c r="E370">
        <f t="shared" si="64"/>
        <v>1.008</v>
      </c>
      <c r="F370">
        <f t="shared" si="64"/>
        <v>1.3759999999999999</v>
      </c>
      <c r="G370">
        <f t="shared" si="64"/>
        <v>0</v>
      </c>
    </row>
    <row r="371" spans="1:7">
      <c r="A371" t="s">
        <v>275</v>
      </c>
      <c r="B371" s="17" t="s">
        <v>509</v>
      </c>
      <c r="C371">
        <f t="shared" si="65"/>
        <v>0</v>
      </c>
      <c r="D371">
        <f t="shared" si="64"/>
        <v>1.0029999999999999</v>
      </c>
      <c r="E371">
        <f t="shared" si="64"/>
        <v>1.119</v>
      </c>
      <c r="F371">
        <f t="shared" si="64"/>
        <v>1.044</v>
      </c>
      <c r="G371">
        <f t="shared" si="64"/>
        <v>1.198</v>
      </c>
    </row>
    <row r="372" spans="1:7">
      <c r="A372" t="s">
        <v>275</v>
      </c>
      <c r="B372" s="17" t="s">
        <v>284</v>
      </c>
      <c r="C372">
        <f t="shared" si="65"/>
        <v>1.0029999999999999</v>
      </c>
      <c r="D372">
        <f t="shared" si="64"/>
        <v>0</v>
      </c>
      <c r="E372">
        <f t="shared" si="64"/>
        <v>1.1870000000000001</v>
      </c>
      <c r="F372">
        <f t="shared" si="64"/>
        <v>1.329</v>
      </c>
      <c r="G372">
        <f t="shared" si="64"/>
        <v>1.018</v>
      </c>
    </row>
    <row r="373" spans="1:7">
      <c r="A373" t="s">
        <v>275</v>
      </c>
      <c r="B373" s="17" t="s">
        <v>307</v>
      </c>
      <c r="C373">
        <f t="shared" si="65"/>
        <v>1.119</v>
      </c>
      <c r="D373">
        <f t="shared" si="64"/>
        <v>1.1870000000000001</v>
      </c>
      <c r="E373">
        <f t="shared" si="64"/>
        <v>0</v>
      </c>
      <c r="F373">
        <f t="shared" si="64"/>
        <v>1.1479999999999999</v>
      </c>
      <c r="G373">
        <f t="shared" si="64"/>
        <v>1.008</v>
      </c>
    </row>
    <row r="374" spans="1:7">
      <c r="A374" t="s">
        <v>275</v>
      </c>
      <c r="B374" s="17" t="s">
        <v>285</v>
      </c>
      <c r="C374">
        <f t="shared" si="65"/>
        <v>1.044</v>
      </c>
      <c r="D374">
        <f t="shared" si="64"/>
        <v>1.329</v>
      </c>
      <c r="E374">
        <f t="shared" si="64"/>
        <v>1.1479999999999999</v>
      </c>
      <c r="F374">
        <f t="shared" si="64"/>
        <v>0</v>
      </c>
      <c r="G374">
        <f t="shared" si="64"/>
        <v>1.3759999999999999</v>
      </c>
    </row>
    <row r="375" spans="1:7">
      <c r="A375" t="s">
        <v>275</v>
      </c>
      <c r="B375" s="17" t="s">
        <v>286</v>
      </c>
      <c r="C375">
        <f t="shared" si="65"/>
        <v>1.198</v>
      </c>
      <c r="D375">
        <f t="shared" si="64"/>
        <v>1.018</v>
      </c>
      <c r="E375">
        <f t="shared" si="64"/>
        <v>1.008</v>
      </c>
      <c r="F375">
        <f t="shared" si="64"/>
        <v>1.3759999999999999</v>
      </c>
      <c r="G375">
        <f t="shared" si="64"/>
        <v>0</v>
      </c>
    </row>
    <row r="376" spans="1:7">
      <c r="A376" t="s">
        <v>275</v>
      </c>
      <c r="B376" s="17" t="s">
        <v>287</v>
      </c>
      <c r="C376">
        <f t="shared" si="65"/>
        <v>0</v>
      </c>
      <c r="D376">
        <f t="shared" ref="D375:AF384" si="66">ROUND((EXP(7.032824+1*0.622482)*((D16/1.852)^ 0.40303))/(1.15*0.0059)/1000000,3)</f>
        <v>1.0029999999999999</v>
      </c>
      <c r="E376">
        <f t="shared" si="66"/>
        <v>1.119</v>
      </c>
      <c r="F376">
        <f t="shared" si="66"/>
        <v>1.044</v>
      </c>
      <c r="G376">
        <f t="shared" si="66"/>
        <v>1.198</v>
      </c>
    </row>
    <row r="377" spans="1:7">
      <c r="A377" t="s">
        <v>275</v>
      </c>
      <c r="B377" s="17" t="s">
        <v>288</v>
      </c>
      <c r="C377">
        <f t="shared" si="65"/>
        <v>1.0029999999999999</v>
      </c>
      <c r="D377">
        <f t="shared" si="66"/>
        <v>0</v>
      </c>
      <c r="E377">
        <f t="shared" si="66"/>
        <v>1.1870000000000001</v>
      </c>
      <c r="F377">
        <f t="shared" si="66"/>
        <v>1.329</v>
      </c>
      <c r="G377">
        <f t="shared" si="66"/>
        <v>1.018</v>
      </c>
    </row>
    <row r="378" spans="1:7">
      <c r="A378" t="s">
        <v>275</v>
      </c>
      <c r="B378" s="17" t="s">
        <v>289</v>
      </c>
      <c r="C378">
        <f t="shared" si="65"/>
        <v>1.119</v>
      </c>
      <c r="D378">
        <f t="shared" si="66"/>
        <v>1.1870000000000001</v>
      </c>
      <c r="E378">
        <f t="shared" si="66"/>
        <v>0</v>
      </c>
      <c r="F378">
        <f t="shared" si="66"/>
        <v>1.1479999999999999</v>
      </c>
      <c r="G378">
        <f t="shared" si="66"/>
        <v>1.008</v>
      </c>
    </row>
    <row r="379" spans="1:7">
      <c r="A379" t="s">
        <v>275</v>
      </c>
      <c r="B379" s="17" t="s">
        <v>290</v>
      </c>
      <c r="C379">
        <f t="shared" si="65"/>
        <v>1.044</v>
      </c>
      <c r="D379">
        <f t="shared" si="66"/>
        <v>1.329</v>
      </c>
      <c r="E379">
        <f t="shared" si="66"/>
        <v>1.1479999999999999</v>
      </c>
      <c r="F379">
        <f t="shared" si="66"/>
        <v>0</v>
      </c>
      <c r="G379">
        <f t="shared" si="66"/>
        <v>1.3759999999999999</v>
      </c>
    </row>
    <row r="380" spans="1:7">
      <c r="A380" t="s">
        <v>275</v>
      </c>
      <c r="B380" s="17" t="s">
        <v>291</v>
      </c>
      <c r="C380">
        <f t="shared" si="65"/>
        <v>1.198</v>
      </c>
      <c r="D380">
        <f t="shared" si="66"/>
        <v>1.018</v>
      </c>
      <c r="E380">
        <f t="shared" si="66"/>
        <v>1.008</v>
      </c>
      <c r="F380">
        <f t="shared" si="66"/>
        <v>1.3759999999999999</v>
      </c>
      <c r="G380">
        <f t="shared" si="66"/>
        <v>0</v>
      </c>
    </row>
    <row r="381" spans="1:7">
      <c r="A381" t="s">
        <v>275</v>
      </c>
      <c r="B381" s="17" t="s">
        <v>292</v>
      </c>
      <c r="C381">
        <f t="shared" si="65"/>
        <v>0</v>
      </c>
      <c r="D381">
        <f t="shared" si="66"/>
        <v>1.0029999999999999</v>
      </c>
      <c r="E381">
        <f t="shared" si="66"/>
        <v>1.119</v>
      </c>
      <c r="F381">
        <f t="shared" si="66"/>
        <v>1.044</v>
      </c>
      <c r="G381">
        <f t="shared" si="66"/>
        <v>1.198</v>
      </c>
    </row>
    <row r="382" spans="1:7">
      <c r="A382" t="s">
        <v>275</v>
      </c>
      <c r="B382" s="17" t="s">
        <v>308</v>
      </c>
      <c r="C382">
        <f t="shared" si="65"/>
        <v>1.0029999999999999</v>
      </c>
      <c r="D382">
        <f t="shared" si="66"/>
        <v>0</v>
      </c>
      <c r="E382">
        <f t="shared" si="66"/>
        <v>1.1870000000000001</v>
      </c>
      <c r="F382">
        <f t="shared" si="66"/>
        <v>1.329</v>
      </c>
      <c r="G382">
        <f t="shared" si="66"/>
        <v>1.018</v>
      </c>
    </row>
    <row r="383" spans="1:7">
      <c r="A383" t="s">
        <v>275</v>
      </c>
      <c r="B383" s="17" t="s">
        <v>293</v>
      </c>
      <c r="C383">
        <f t="shared" ref="C383:C395" si="67">ROUND((EXP(7.032824+1*0.622482)*((C23/1.852)^ 0.40303))/(1.15*0.0059)/1000000,3)</f>
        <v>1.119</v>
      </c>
      <c r="D383">
        <f t="shared" si="66"/>
        <v>1.1870000000000001</v>
      </c>
      <c r="E383">
        <f t="shared" si="66"/>
        <v>0</v>
      </c>
      <c r="F383">
        <f t="shared" si="66"/>
        <v>1.1479999999999999</v>
      </c>
      <c r="G383">
        <f t="shared" si="66"/>
        <v>1.008</v>
      </c>
    </row>
    <row r="384" spans="1:7">
      <c r="A384" t="s">
        <v>275</v>
      </c>
      <c r="B384" s="17" t="s">
        <v>309</v>
      </c>
      <c r="C384">
        <f t="shared" si="67"/>
        <v>1.044</v>
      </c>
      <c r="D384">
        <f t="shared" si="66"/>
        <v>1.329</v>
      </c>
      <c r="E384">
        <f t="shared" si="66"/>
        <v>1.1479999999999999</v>
      </c>
      <c r="F384">
        <f t="shared" si="66"/>
        <v>0</v>
      </c>
      <c r="G384">
        <f t="shared" ref="D384:AF392" si="68">ROUND((EXP(7.032824+1*0.622482)*((G24/1.852)^ 0.40303))/(1.15*0.0059)/1000000,3)</f>
        <v>1.3759999999999999</v>
      </c>
    </row>
    <row r="385" spans="1:7">
      <c r="A385" t="s">
        <v>275</v>
      </c>
      <c r="B385" s="17" t="s">
        <v>296</v>
      </c>
      <c r="C385">
        <f t="shared" si="67"/>
        <v>1.198</v>
      </c>
      <c r="D385">
        <f t="shared" si="68"/>
        <v>1.018</v>
      </c>
      <c r="E385">
        <f t="shared" si="68"/>
        <v>1.008</v>
      </c>
      <c r="F385">
        <f t="shared" si="68"/>
        <v>1.3759999999999999</v>
      </c>
      <c r="G385">
        <f t="shared" si="68"/>
        <v>0</v>
      </c>
    </row>
    <row r="386" spans="1:7">
      <c r="A386" t="s">
        <v>275</v>
      </c>
      <c r="B386" s="17" t="s">
        <v>297</v>
      </c>
      <c r="C386" t="e">
        <f t="shared" si="67"/>
        <v>#REF!</v>
      </c>
      <c r="D386" t="e">
        <f t="shared" si="68"/>
        <v>#REF!</v>
      </c>
      <c r="E386" t="e">
        <f t="shared" si="68"/>
        <v>#REF!</v>
      </c>
      <c r="F386" t="e">
        <f t="shared" si="68"/>
        <v>#REF!</v>
      </c>
      <c r="G386" t="e">
        <f t="shared" si="68"/>
        <v>#REF!</v>
      </c>
    </row>
    <row r="387" spans="1:7">
      <c r="A387" t="s">
        <v>275</v>
      </c>
      <c r="B387" s="17" t="s">
        <v>355</v>
      </c>
      <c r="C387">
        <f t="shared" si="67"/>
        <v>0</v>
      </c>
      <c r="D387">
        <f t="shared" si="68"/>
        <v>1.0029999999999999</v>
      </c>
      <c r="E387">
        <f t="shared" si="68"/>
        <v>1.119</v>
      </c>
      <c r="F387">
        <f t="shared" si="68"/>
        <v>1.044</v>
      </c>
      <c r="G387">
        <f t="shared" si="68"/>
        <v>1.198</v>
      </c>
    </row>
    <row r="388" spans="1:7">
      <c r="A388" t="s">
        <v>275</v>
      </c>
      <c r="B388" s="17" t="s">
        <v>298</v>
      </c>
      <c r="C388">
        <f t="shared" si="67"/>
        <v>1.0029999999999999</v>
      </c>
      <c r="D388">
        <f t="shared" si="68"/>
        <v>0</v>
      </c>
      <c r="E388">
        <f t="shared" si="68"/>
        <v>1.1870000000000001</v>
      </c>
      <c r="F388">
        <f t="shared" si="68"/>
        <v>1.329</v>
      </c>
      <c r="G388">
        <f t="shared" si="68"/>
        <v>1.018</v>
      </c>
    </row>
    <row r="389" spans="1:7">
      <c r="A389" t="s">
        <v>275</v>
      </c>
      <c r="B389" s="17" t="s">
        <v>299</v>
      </c>
      <c r="C389">
        <f t="shared" si="67"/>
        <v>1.119</v>
      </c>
      <c r="D389">
        <f t="shared" si="68"/>
        <v>1.1870000000000001</v>
      </c>
      <c r="E389">
        <f t="shared" si="68"/>
        <v>0</v>
      </c>
      <c r="F389">
        <f t="shared" si="68"/>
        <v>1.1479999999999999</v>
      </c>
      <c r="G389">
        <f t="shared" si="68"/>
        <v>1.008</v>
      </c>
    </row>
    <row r="390" spans="1:7">
      <c r="A390" t="s">
        <v>275</v>
      </c>
      <c r="B390" s="17" t="s">
        <v>300</v>
      </c>
      <c r="C390">
        <f t="shared" si="67"/>
        <v>1.044</v>
      </c>
      <c r="D390">
        <f t="shared" si="68"/>
        <v>1.329</v>
      </c>
      <c r="E390">
        <f t="shared" si="68"/>
        <v>1.1479999999999999</v>
      </c>
      <c r="F390">
        <f t="shared" si="68"/>
        <v>0</v>
      </c>
      <c r="G390">
        <f t="shared" si="68"/>
        <v>1.3759999999999999</v>
      </c>
    </row>
    <row r="391" spans="1:7">
      <c r="A391" t="s">
        <v>275</v>
      </c>
      <c r="B391" s="17" t="s">
        <v>302</v>
      </c>
      <c r="C391">
        <f t="shared" si="67"/>
        <v>1.198</v>
      </c>
      <c r="D391">
        <f t="shared" si="68"/>
        <v>1.018</v>
      </c>
      <c r="E391">
        <f t="shared" si="68"/>
        <v>1.008</v>
      </c>
      <c r="F391">
        <f t="shared" si="68"/>
        <v>1.3759999999999999</v>
      </c>
      <c r="G391">
        <f t="shared" si="68"/>
        <v>0</v>
      </c>
    </row>
    <row r="392" spans="1:7">
      <c r="A392" t="s">
        <v>275</v>
      </c>
      <c r="B392" s="17" t="s">
        <v>303</v>
      </c>
      <c r="C392" t="e">
        <f t="shared" si="67"/>
        <v>#REF!</v>
      </c>
      <c r="D392" t="e">
        <f t="shared" si="68"/>
        <v>#REF!</v>
      </c>
      <c r="E392" t="e">
        <f t="shared" si="68"/>
        <v>#REF!</v>
      </c>
      <c r="F392" t="e">
        <f t="shared" si="68"/>
        <v>#REF!</v>
      </c>
      <c r="G392" t="e">
        <f t="shared" si="68"/>
        <v>#REF!</v>
      </c>
    </row>
    <row r="393" spans="1:7">
      <c r="A393" t="s">
        <v>275</v>
      </c>
      <c r="B393" s="17" t="s">
        <v>304</v>
      </c>
      <c r="C393">
        <f t="shared" si="67"/>
        <v>0</v>
      </c>
      <c r="D393">
        <f t="shared" ref="D392:AF395" si="69">ROUND((EXP(7.032824+1*0.622482)*((D33/1.852)^ 0.40303))/(1.15*0.0059)/1000000,3)</f>
        <v>0.441</v>
      </c>
      <c r="E393">
        <f t="shared" si="69"/>
        <v>0</v>
      </c>
      <c r="F393">
        <f t="shared" si="69"/>
        <v>0.93100000000000005</v>
      </c>
      <c r="G393">
        <f t="shared" si="69"/>
        <v>0</v>
      </c>
    </row>
    <row r="394" spans="1:7">
      <c r="A394" t="s">
        <v>275</v>
      </c>
      <c r="B394" t="s">
        <v>354</v>
      </c>
      <c r="C394">
        <f t="shared" si="67"/>
        <v>0.441</v>
      </c>
      <c r="D394">
        <f t="shared" si="69"/>
        <v>0</v>
      </c>
      <c r="E394">
        <f t="shared" si="69"/>
        <v>0.99</v>
      </c>
      <c r="F394">
        <f t="shared" si="69"/>
        <v>0</v>
      </c>
      <c r="G394">
        <f t="shared" si="69"/>
        <v>0.85299999999999998</v>
      </c>
    </row>
    <row r="395" spans="1:7">
      <c r="A395" t="s">
        <v>275</v>
      </c>
      <c r="B395" s="17" t="s">
        <v>306</v>
      </c>
      <c r="C395">
        <f t="shared" si="67"/>
        <v>0</v>
      </c>
      <c r="D395">
        <f t="shared" si="69"/>
        <v>0.99</v>
      </c>
      <c r="E395">
        <f t="shared" si="69"/>
        <v>0</v>
      </c>
      <c r="F395">
        <f t="shared" si="69"/>
        <v>0</v>
      </c>
      <c r="G395">
        <f t="shared" si="69"/>
        <v>0</v>
      </c>
    </row>
    <row r="396" spans="1:7" s="33" customFormat="1">
      <c r="A396" s="33" t="s">
        <v>202</v>
      </c>
      <c r="B396" s="55" t="s">
        <v>278</v>
      </c>
      <c r="C396" s="33">
        <f>ROUND(C6*0.00003215271,3)</f>
        <v>0</v>
      </c>
      <c r="D396" s="33">
        <f t="shared" ref="D396:AF405" si="70">ROUND(D6*0.00003215271,3)</f>
        <v>1E-3</v>
      </c>
      <c r="E396" s="33">
        <f t="shared" si="70"/>
        <v>1E-3</v>
      </c>
      <c r="F396" s="33">
        <f t="shared" si="70"/>
        <v>1E-3</v>
      </c>
      <c r="G396" s="33">
        <f t="shared" si="70"/>
        <v>2E-3</v>
      </c>
    </row>
    <row r="397" spans="1:7">
      <c r="A397" t="s">
        <v>202</v>
      </c>
      <c r="B397" s="17" t="s">
        <v>280</v>
      </c>
      <c r="C397">
        <f t="shared" ref="C397:R412" si="71">ROUND(C7*0.00003215271,3)</f>
        <v>1E-3</v>
      </c>
      <c r="D397">
        <f t="shared" si="71"/>
        <v>0</v>
      </c>
      <c r="E397">
        <f t="shared" si="71"/>
        <v>2E-3</v>
      </c>
      <c r="F397">
        <f t="shared" si="71"/>
        <v>2E-3</v>
      </c>
      <c r="G397">
        <f t="shared" si="71"/>
        <v>1E-3</v>
      </c>
    </row>
    <row r="398" spans="1:7">
      <c r="A398" t="s">
        <v>202</v>
      </c>
      <c r="B398" s="17" t="s">
        <v>281</v>
      </c>
      <c r="C398">
        <f t="shared" si="71"/>
        <v>1E-3</v>
      </c>
      <c r="D398">
        <f t="shared" si="70"/>
        <v>2E-3</v>
      </c>
      <c r="E398">
        <f t="shared" si="70"/>
        <v>0</v>
      </c>
      <c r="F398">
        <f t="shared" si="70"/>
        <v>2E-3</v>
      </c>
      <c r="G398">
        <f t="shared" si="70"/>
        <v>1E-3</v>
      </c>
    </row>
    <row r="399" spans="1:7">
      <c r="A399" t="s">
        <v>202</v>
      </c>
      <c r="B399" s="17" t="s">
        <v>282</v>
      </c>
      <c r="C399">
        <f t="shared" si="71"/>
        <v>1E-3</v>
      </c>
      <c r="D399">
        <f t="shared" si="70"/>
        <v>2E-3</v>
      </c>
      <c r="E399">
        <f t="shared" si="70"/>
        <v>2E-3</v>
      </c>
      <c r="F399">
        <f t="shared" si="70"/>
        <v>0</v>
      </c>
      <c r="G399">
        <f t="shared" si="70"/>
        <v>2E-3</v>
      </c>
    </row>
    <row r="400" spans="1:7">
      <c r="A400" t="s">
        <v>202</v>
      </c>
      <c r="B400" s="17" t="s">
        <v>283</v>
      </c>
      <c r="C400">
        <f t="shared" si="71"/>
        <v>2E-3</v>
      </c>
      <c r="D400">
        <f t="shared" si="70"/>
        <v>1E-3</v>
      </c>
      <c r="E400">
        <f t="shared" si="70"/>
        <v>1E-3</v>
      </c>
      <c r="F400">
        <f t="shared" si="70"/>
        <v>2E-3</v>
      </c>
      <c r="G400">
        <f t="shared" si="70"/>
        <v>0</v>
      </c>
    </row>
    <row r="401" spans="1:7">
      <c r="A401" t="s">
        <v>202</v>
      </c>
      <c r="B401" s="17" t="s">
        <v>509</v>
      </c>
      <c r="C401">
        <f t="shared" si="71"/>
        <v>0</v>
      </c>
      <c r="D401">
        <f t="shared" si="70"/>
        <v>1E-3</v>
      </c>
      <c r="E401">
        <f t="shared" si="70"/>
        <v>1E-3</v>
      </c>
      <c r="F401">
        <f t="shared" si="70"/>
        <v>1E-3</v>
      </c>
      <c r="G401">
        <f t="shared" si="70"/>
        <v>2E-3</v>
      </c>
    </row>
    <row r="402" spans="1:7">
      <c r="A402" t="s">
        <v>202</v>
      </c>
      <c r="B402" s="17" t="s">
        <v>284</v>
      </c>
      <c r="C402">
        <f t="shared" si="71"/>
        <v>1E-3</v>
      </c>
      <c r="D402">
        <f t="shared" si="70"/>
        <v>0</v>
      </c>
      <c r="E402">
        <f t="shared" si="70"/>
        <v>2E-3</v>
      </c>
      <c r="F402">
        <f t="shared" si="70"/>
        <v>2E-3</v>
      </c>
      <c r="G402">
        <f t="shared" si="70"/>
        <v>1E-3</v>
      </c>
    </row>
    <row r="403" spans="1:7">
      <c r="A403" t="s">
        <v>202</v>
      </c>
      <c r="B403" s="17" t="s">
        <v>307</v>
      </c>
      <c r="C403">
        <f t="shared" si="71"/>
        <v>1E-3</v>
      </c>
      <c r="D403">
        <f t="shared" si="70"/>
        <v>2E-3</v>
      </c>
      <c r="E403">
        <f t="shared" si="70"/>
        <v>0</v>
      </c>
      <c r="F403">
        <f t="shared" si="70"/>
        <v>2E-3</v>
      </c>
      <c r="G403">
        <f t="shared" si="70"/>
        <v>1E-3</v>
      </c>
    </row>
    <row r="404" spans="1:7">
      <c r="A404" t="s">
        <v>202</v>
      </c>
      <c r="B404" s="17" t="s">
        <v>285</v>
      </c>
      <c r="C404">
        <f t="shared" si="71"/>
        <v>1E-3</v>
      </c>
      <c r="D404">
        <f t="shared" si="70"/>
        <v>2E-3</v>
      </c>
      <c r="E404">
        <f t="shared" si="70"/>
        <v>2E-3</v>
      </c>
      <c r="F404">
        <f t="shared" si="70"/>
        <v>0</v>
      </c>
      <c r="G404">
        <f t="shared" si="70"/>
        <v>2E-3</v>
      </c>
    </row>
    <row r="405" spans="1:7">
      <c r="A405" t="s">
        <v>202</v>
      </c>
      <c r="B405" s="17" t="s">
        <v>286</v>
      </c>
      <c r="C405">
        <f t="shared" si="71"/>
        <v>2E-3</v>
      </c>
      <c r="D405">
        <f t="shared" si="70"/>
        <v>1E-3</v>
      </c>
      <c r="E405">
        <f t="shared" si="70"/>
        <v>1E-3</v>
      </c>
      <c r="F405">
        <f t="shared" si="70"/>
        <v>2E-3</v>
      </c>
      <c r="G405">
        <f t="shared" si="70"/>
        <v>0</v>
      </c>
    </row>
    <row r="406" spans="1:7">
      <c r="A406" t="s">
        <v>202</v>
      </c>
      <c r="B406" s="17" t="s">
        <v>287</v>
      </c>
      <c r="C406">
        <f t="shared" si="71"/>
        <v>0</v>
      </c>
      <c r="D406">
        <f t="shared" ref="D405:AF414" si="72">ROUND(D16*0.00003215271,3)</f>
        <v>1E-3</v>
      </c>
      <c r="E406">
        <f t="shared" si="72"/>
        <v>1E-3</v>
      </c>
      <c r="F406">
        <f t="shared" si="72"/>
        <v>1E-3</v>
      </c>
      <c r="G406">
        <f t="shared" si="72"/>
        <v>2E-3</v>
      </c>
    </row>
    <row r="407" spans="1:7">
      <c r="A407" t="s">
        <v>202</v>
      </c>
      <c r="B407" s="17" t="s">
        <v>288</v>
      </c>
      <c r="C407">
        <f t="shared" si="71"/>
        <v>1E-3</v>
      </c>
      <c r="D407">
        <f t="shared" si="72"/>
        <v>0</v>
      </c>
      <c r="E407">
        <f t="shared" si="72"/>
        <v>2E-3</v>
      </c>
      <c r="F407">
        <f t="shared" si="72"/>
        <v>2E-3</v>
      </c>
      <c r="G407">
        <f t="shared" si="72"/>
        <v>1E-3</v>
      </c>
    </row>
    <row r="408" spans="1:7">
      <c r="A408" t="s">
        <v>202</v>
      </c>
      <c r="B408" s="17" t="s">
        <v>289</v>
      </c>
      <c r="C408">
        <f t="shared" si="71"/>
        <v>1E-3</v>
      </c>
      <c r="D408">
        <f t="shared" si="72"/>
        <v>2E-3</v>
      </c>
      <c r="E408">
        <f t="shared" si="72"/>
        <v>0</v>
      </c>
      <c r="F408">
        <f t="shared" si="72"/>
        <v>2E-3</v>
      </c>
      <c r="G408">
        <f t="shared" si="72"/>
        <v>1E-3</v>
      </c>
    </row>
    <row r="409" spans="1:7">
      <c r="A409" t="s">
        <v>202</v>
      </c>
      <c r="B409" s="17" t="s">
        <v>290</v>
      </c>
      <c r="C409">
        <f t="shared" si="71"/>
        <v>1E-3</v>
      </c>
      <c r="D409">
        <f t="shared" si="72"/>
        <v>2E-3</v>
      </c>
      <c r="E409">
        <f t="shared" si="72"/>
        <v>2E-3</v>
      </c>
      <c r="F409">
        <f t="shared" si="72"/>
        <v>0</v>
      </c>
      <c r="G409">
        <f t="shared" si="72"/>
        <v>2E-3</v>
      </c>
    </row>
    <row r="410" spans="1:7">
      <c r="A410" t="s">
        <v>202</v>
      </c>
      <c r="B410" s="17" t="s">
        <v>291</v>
      </c>
      <c r="C410">
        <f t="shared" si="71"/>
        <v>2E-3</v>
      </c>
      <c r="D410">
        <f t="shared" si="72"/>
        <v>1E-3</v>
      </c>
      <c r="E410">
        <f t="shared" si="72"/>
        <v>1E-3</v>
      </c>
      <c r="F410">
        <f t="shared" si="72"/>
        <v>2E-3</v>
      </c>
      <c r="G410">
        <f t="shared" si="72"/>
        <v>0</v>
      </c>
    </row>
    <row r="411" spans="1:7">
      <c r="A411" t="s">
        <v>202</v>
      </c>
      <c r="B411" s="17" t="s">
        <v>292</v>
      </c>
      <c r="C411">
        <f t="shared" si="71"/>
        <v>0</v>
      </c>
      <c r="D411">
        <f t="shared" si="72"/>
        <v>1E-3</v>
      </c>
      <c r="E411">
        <f t="shared" si="72"/>
        <v>1E-3</v>
      </c>
      <c r="F411">
        <f t="shared" si="72"/>
        <v>1E-3</v>
      </c>
      <c r="G411">
        <f t="shared" si="72"/>
        <v>2E-3</v>
      </c>
    </row>
    <row r="412" spans="1:7">
      <c r="A412" t="s">
        <v>202</v>
      </c>
      <c r="B412" s="17" t="s">
        <v>308</v>
      </c>
      <c r="C412">
        <f t="shared" si="71"/>
        <v>1E-3</v>
      </c>
      <c r="D412">
        <f t="shared" si="72"/>
        <v>0</v>
      </c>
      <c r="E412">
        <f t="shared" si="72"/>
        <v>2E-3</v>
      </c>
      <c r="F412">
        <f t="shared" si="72"/>
        <v>2E-3</v>
      </c>
      <c r="G412">
        <f t="shared" si="72"/>
        <v>1E-3</v>
      </c>
    </row>
    <row r="413" spans="1:7">
      <c r="A413" t="s">
        <v>202</v>
      </c>
      <c r="B413" s="17" t="s">
        <v>293</v>
      </c>
      <c r="C413">
        <f t="shared" ref="C413:C425" si="73">ROUND(C23*0.00003215271,3)</f>
        <v>1E-3</v>
      </c>
      <c r="D413">
        <f t="shared" si="72"/>
        <v>2E-3</v>
      </c>
      <c r="E413">
        <f t="shared" si="72"/>
        <v>0</v>
      </c>
      <c r="F413">
        <f t="shared" si="72"/>
        <v>2E-3</v>
      </c>
      <c r="G413">
        <f t="shared" si="72"/>
        <v>1E-3</v>
      </c>
    </row>
    <row r="414" spans="1:7">
      <c r="A414" t="s">
        <v>202</v>
      </c>
      <c r="B414" s="17" t="s">
        <v>309</v>
      </c>
      <c r="C414">
        <f t="shared" si="73"/>
        <v>1E-3</v>
      </c>
      <c r="D414">
        <f t="shared" si="72"/>
        <v>2E-3</v>
      </c>
      <c r="E414">
        <f t="shared" si="72"/>
        <v>2E-3</v>
      </c>
      <c r="F414">
        <f t="shared" si="72"/>
        <v>0</v>
      </c>
      <c r="G414">
        <f t="shared" ref="D414:AF422" si="74">ROUND(G24*0.00003215271,3)</f>
        <v>2E-3</v>
      </c>
    </row>
    <row r="415" spans="1:7">
      <c r="A415" t="s">
        <v>202</v>
      </c>
      <c r="B415" s="17" t="s">
        <v>296</v>
      </c>
      <c r="C415">
        <f t="shared" si="73"/>
        <v>2E-3</v>
      </c>
      <c r="D415">
        <f t="shared" si="74"/>
        <v>1E-3</v>
      </c>
      <c r="E415">
        <f t="shared" si="74"/>
        <v>1E-3</v>
      </c>
      <c r="F415">
        <f t="shared" si="74"/>
        <v>2E-3</v>
      </c>
      <c r="G415">
        <f t="shared" si="74"/>
        <v>0</v>
      </c>
    </row>
    <row r="416" spans="1:7">
      <c r="A416" t="s">
        <v>202</v>
      </c>
      <c r="B416" s="17" t="s">
        <v>297</v>
      </c>
      <c r="C416" t="e">
        <f t="shared" si="73"/>
        <v>#REF!</v>
      </c>
      <c r="D416" t="e">
        <f t="shared" si="74"/>
        <v>#REF!</v>
      </c>
      <c r="E416" t="e">
        <f t="shared" si="74"/>
        <v>#REF!</v>
      </c>
      <c r="F416" t="e">
        <f t="shared" si="74"/>
        <v>#REF!</v>
      </c>
      <c r="G416" t="e">
        <f t="shared" si="74"/>
        <v>#REF!</v>
      </c>
    </row>
    <row r="417" spans="1:7">
      <c r="A417" t="s">
        <v>202</v>
      </c>
      <c r="B417" s="17" t="s">
        <v>355</v>
      </c>
      <c r="C417">
        <f t="shared" si="73"/>
        <v>0</v>
      </c>
      <c r="D417">
        <f t="shared" si="74"/>
        <v>1E-3</v>
      </c>
      <c r="E417">
        <f t="shared" si="74"/>
        <v>1E-3</v>
      </c>
      <c r="F417">
        <f t="shared" si="74"/>
        <v>1E-3</v>
      </c>
      <c r="G417">
        <f t="shared" si="74"/>
        <v>2E-3</v>
      </c>
    </row>
    <row r="418" spans="1:7">
      <c r="A418" t="s">
        <v>202</v>
      </c>
      <c r="B418" s="17" t="s">
        <v>298</v>
      </c>
      <c r="C418">
        <f t="shared" si="73"/>
        <v>1E-3</v>
      </c>
      <c r="D418">
        <f t="shared" si="74"/>
        <v>0</v>
      </c>
      <c r="E418">
        <f t="shared" si="74"/>
        <v>2E-3</v>
      </c>
      <c r="F418">
        <f t="shared" si="74"/>
        <v>2E-3</v>
      </c>
      <c r="G418">
        <f t="shared" si="74"/>
        <v>1E-3</v>
      </c>
    </row>
    <row r="419" spans="1:7">
      <c r="A419" t="s">
        <v>202</v>
      </c>
      <c r="B419" s="17" t="s">
        <v>299</v>
      </c>
      <c r="C419">
        <f t="shared" si="73"/>
        <v>1E-3</v>
      </c>
      <c r="D419">
        <f t="shared" si="74"/>
        <v>2E-3</v>
      </c>
      <c r="E419">
        <f t="shared" si="74"/>
        <v>0</v>
      </c>
      <c r="F419">
        <f t="shared" si="74"/>
        <v>2E-3</v>
      </c>
      <c r="G419">
        <f t="shared" si="74"/>
        <v>1E-3</v>
      </c>
    </row>
    <row r="420" spans="1:7">
      <c r="A420" t="s">
        <v>202</v>
      </c>
      <c r="B420" s="17" t="s">
        <v>300</v>
      </c>
      <c r="C420">
        <f t="shared" si="73"/>
        <v>1E-3</v>
      </c>
      <c r="D420">
        <f t="shared" si="74"/>
        <v>2E-3</v>
      </c>
      <c r="E420">
        <f t="shared" si="74"/>
        <v>2E-3</v>
      </c>
      <c r="F420">
        <f t="shared" si="74"/>
        <v>0</v>
      </c>
      <c r="G420">
        <f t="shared" si="74"/>
        <v>2E-3</v>
      </c>
    </row>
    <row r="421" spans="1:7">
      <c r="A421" t="s">
        <v>202</v>
      </c>
      <c r="B421" s="17" t="s">
        <v>302</v>
      </c>
      <c r="C421">
        <f t="shared" si="73"/>
        <v>2E-3</v>
      </c>
      <c r="D421">
        <f t="shared" si="74"/>
        <v>1E-3</v>
      </c>
      <c r="E421">
        <f t="shared" si="74"/>
        <v>1E-3</v>
      </c>
      <c r="F421">
        <f t="shared" si="74"/>
        <v>2E-3</v>
      </c>
      <c r="G421">
        <f t="shared" si="74"/>
        <v>0</v>
      </c>
    </row>
    <row r="422" spans="1:7">
      <c r="A422" t="s">
        <v>202</v>
      </c>
      <c r="B422" s="17" t="s">
        <v>303</v>
      </c>
      <c r="C422" t="e">
        <f t="shared" si="73"/>
        <v>#REF!</v>
      </c>
      <c r="D422" t="e">
        <f t="shared" si="74"/>
        <v>#REF!</v>
      </c>
      <c r="E422" t="e">
        <f t="shared" si="74"/>
        <v>#REF!</v>
      </c>
      <c r="F422" t="e">
        <f t="shared" si="74"/>
        <v>#REF!</v>
      </c>
      <c r="G422" t="e">
        <f t="shared" si="74"/>
        <v>#REF!</v>
      </c>
    </row>
    <row r="423" spans="1:7">
      <c r="A423" t="s">
        <v>202</v>
      </c>
      <c r="B423" s="17" t="s">
        <v>304</v>
      </c>
      <c r="C423">
        <f t="shared" si="73"/>
        <v>0</v>
      </c>
      <c r="D423">
        <f t="shared" ref="D422:AF425" si="75">ROUND(D33*0.00003215271,3)</f>
        <v>0</v>
      </c>
      <c r="E423">
        <f t="shared" si="75"/>
        <v>0</v>
      </c>
      <c r="F423">
        <f t="shared" si="75"/>
        <v>1E-3</v>
      </c>
      <c r="G423">
        <f t="shared" si="75"/>
        <v>0</v>
      </c>
    </row>
    <row r="424" spans="1:7">
      <c r="A424" t="s">
        <v>202</v>
      </c>
      <c r="B424" t="s">
        <v>354</v>
      </c>
      <c r="C424">
        <f t="shared" si="73"/>
        <v>0</v>
      </c>
      <c r="D424">
        <f t="shared" si="75"/>
        <v>0</v>
      </c>
      <c r="E424">
        <f t="shared" si="75"/>
        <v>1E-3</v>
      </c>
      <c r="F424">
        <f t="shared" si="75"/>
        <v>0</v>
      </c>
      <c r="G424">
        <f t="shared" si="75"/>
        <v>1E-3</v>
      </c>
    </row>
    <row r="425" spans="1:7">
      <c r="A425" t="s">
        <v>202</v>
      </c>
      <c r="B425" s="17" t="s">
        <v>306</v>
      </c>
      <c r="C425">
        <f t="shared" si="73"/>
        <v>0</v>
      </c>
      <c r="D425">
        <f t="shared" si="75"/>
        <v>1E-3</v>
      </c>
      <c r="E425">
        <f t="shared" si="75"/>
        <v>0</v>
      </c>
      <c r="F425">
        <f t="shared" si="75"/>
        <v>0</v>
      </c>
      <c r="G425">
        <f t="shared" si="75"/>
        <v>0</v>
      </c>
    </row>
    <row r="426" spans="1:7" s="33" customFormat="1">
      <c r="A426" s="33" t="s">
        <v>203</v>
      </c>
      <c r="B426" s="55" t="s">
        <v>278</v>
      </c>
      <c r="C426" s="33">
        <f>ROUND(C6*0.00003215271,3)</f>
        <v>0</v>
      </c>
      <c r="D426" s="33">
        <f t="shared" ref="D426:AF435" si="76">ROUND(D6*0.00003215271,3)</f>
        <v>1E-3</v>
      </c>
      <c r="E426" s="33">
        <f t="shared" si="76"/>
        <v>1E-3</v>
      </c>
      <c r="F426" s="33">
        <f t="shared" si="76"/>
        <v>1E-3</v>
      </c>
      <c r="G426" s="33">
        <f t="shared" si="76"/>
        <v>2E-3</v>
      </c>
    </row>
    <row r="427" spans="1:7">
      <c r="A427" t="s">
        <v>203</v>
      </c>
      <c r="B427" s="17" t="s">
        <v>280</v>
      </c>
      <c r="C427">
        <f t="shared" ref="C427:R442" si="77">ROUND(C7*0.00003215271,3)</f>
        <v>1E-3</v>
      </c>
      <c r="D427">
        <f t="shared" si="77"/>
        <v>0</v>
      </c>
      <c r="E427">
        <f t="shared" si="77"/>
        <v>2E-3</v>
      </c>
      <c r="F427">
        <f t="shared" si="77"/>
        <v>2E-3</v>
      </c>
      <c r="G427">
        <f t="shared" si="77"/>
        <v>1E-3</v>
      </c>
    </row>
    <row r="428" spans="1:7">
      <c r="A428" t="s">
        <v>203</v>
      </c>
      <c r="B428" s="17" t="s">
        <v>281</v>
      </c>
      <c r="C428">
        <f t="shared" si="77"/>
        <v>1E-3</v>
      </c>
      <c r="D428">
        <f t="shared" si="76"/>
        <v>2E-3</v>
      </c>
      <c r="E428">
        <f t="shared" si="76"/>
        <v>0</v>
      </c>
      <c r="F428">
        <f t="shared" si="76"/>
        <v>2E-3</v>
      </c>
      <c r="G428">
        <f t="shared" si="76"/>
        <v>1E-3</v>
      </c>
    </row>
    <row r="429" spans="1:7">
      <c r="A429" t="s">
        <v>203</v>
      </c>
      <c r="B429" s="17" t="s">
        <v>282</v>
      </c>
      <c r="C429">
        <f t="shared" si="77"/>
        <v>1E-3</v>
      </c>
      <c r="D429">
        <f t="shared" si="76"/>
        <v>2E-3</v>
      </c>
      <c r="E429">
        <f t="shared" si="76"/>
        <v>2E-3</v>
      </c>
      <c r="F429">
        <f t="shared" si="76"/>
        <v>0</v>
      </c>
      <c r="G429">
        <f t="shared" si="76"/>
        <v>2E-3</v>
      </c>
    </row>
    <row r="430" spans="1:7">
      <c r="A430" t="s">
        <v>203</v>
      </c>
      <c r="B430" s="17" t="s">
        <v>283</v>
      </c>
      <c r="C430">
        <f t="shared" si="77"/>
        <v>2E-3</v>
      </c>
      <c r="D430">
        <f t="shared" si="76"/>
        <v>1E-3</v>
      </c>
      <c r="E430">
        <f t="shared" si="76"/>
        <v>1E-3</v>
      </c>
      <c r="F430">
        <f t="shared" si="76"/>
        <v>2E-3</v>
      </c>
      <c r="G430">
        <f t="shared" si="76"/>
        <v>0</v>
      </c>
    </row>
    <row r="431" spans="1:7">
      <c r="A431" t="s">
        <v>203</v>
      </c>
      <c r="B431" s="17" t="s">
        <v>509</v>
      </c>
      <c r="C431">
        <f t="shared" si="77"/>
        <v>0</v>
      </c>
      <c r="D431">
        <f t="shared" si="76"/>
        <v>1E-3</v>
      </c>
      <c r="E431">
        <f t="shared" si="76"/>
        <v>1E-3</v>
      </c>
      <c r="F431">
        <f t="shared" si="76"/>
        <v>1E-3</v>
      </c>
      <c r="G431">
        <f t="shared" si="76"/>
        <v>2E-3</v>
      </c>
    </row>
    <row r="432" spans="1:7">
      <c r="A432" t="s">
        <v>203</v>
      </c>
      <c r="B432" s="17" t="s">
        <v>284</v>
      </c>
      <c r="C432">
        <f t="shared" si="77"/>
        <v>1E-3</v>
      </c>
      <c r="D432">
        <f t="shared" si="76"/>
        <v>0</v>
      </c>
      <c r="E432">
        <f t="shared" si="76"/>
        <v>2E-3</v>
      </c>
      <c r="F432">
        <f t="shared" si="76"/>
        <v>2E-3</v>
      </c>
      <c r="G432">
        <f t="shared" si="76"/>
        <v>1E-3</v>
      </c>
    </row>
    <row r="433" spans="1:7">
      <c r="A433" t="s">
        <v>203</v>
      </c>
      <c r="B433" s="17" t="s">
        <v>307</v>
      </c>
      <c r="C433">
        <f t="shared" si="77"/>
        <v>1E-3</v>
      </c>
      <c r="D433">
        <f t="shared" si="76"/>
        <v>2E-3</v>
      </c>
      <c r="E433">
        <f t="shared" si="76"/>
        <v>0</v>
      </c>
      <c r="F433">
        <f t="shared" si="76"/>
        <v>2E-3</v>
      </c>
      <c r="G433">
        <f t="shared" si="76"/>
        <v>1E-3</v>
      </c>
    </row>
    <row r="434" spans="1:7">
      <c r="A434" t="s">
        <v>203</v>
      </c>
      <c r="B434" s="17" t="s">
        <v>285</v>
      </c>
      <c r="C434">
        <f t="shared" si="77"/>
        <v>1E-3</v>
      </c>
      <c r="D434">
        <f t="shared" si="76"/>
        <v>2E-3</v>
      </c>
      <c r="E434">
        <f t="shared" si="76"/>
        <v>2E-3</v>
      </c>
      <c r="F434">
        <f t="shared" si="76"/>
        <v>0</v>
      </c>
      <c r="G434">
        <f t="shared" si="76"/>
        <v>2E-3</v>
      </c>
    </row>
    <row r="435" spans="1:7">
      <c r="A435" t="s">
        <v>203</v>
      </c>
      <c r="B435" s="17" t="s">
        <v>286</v>
      </c>
      <c r="C435">
        <f t="shared" si="77"/>
        <v>2E-3</v>
      </c>
      <c r="D435">
        <f t="shared" si="76"/>
        <v>1E-3</v>
      </c>
      <c r="E435">
        <f t="shared" si="76"/>
        <v>1E-3</v>
      </c>
      <c r="F435">
        <f t="shared" si="76"/>
        <v>2E-3</v>
      </c>
      <c r="G435">
        <f t="shared" si="76"/>
        <v>0</v>
      </c>
    </row>
    <row r="436" spans="1:7">
      <c r="A436" t="s">
        <v>203</v>
      </c>
      <c r="B436" s="17" t="s">
        <v>287</v>
      </c>
      <c r="C436">
        <f t="shared" si="77"/>
        <v>0</v>
      </c>
      <c r="D436">
        <f t="shared" ref="D435:AF444" si="78">ROUND(D16*0.00003215271,3)</f>
        <v>1E-3</v>
      </c>
      <c r="E436">
        <f t="shared" si="78"/>
        <v>1E-3</v>
      </c>
      <c r="F436">
        <f t="shared" si="78"/>
        <v>1E-3</v>
      </c>
      <c r="G436">
        <f t="shared" si="78"/>
        <v>2E-3</v>
      </c>
    </row>
    <row r="437" spans="1:7">
      <c r="A437" t="s">
        <v>203</v>
      </c>
      <c r="B437" s="17" t="s">
        <v>288</v>
      </c>
      <c r="C437">
        <f t="shared" si="77"/>
        <v>1E-3</v>
      </c>
      <c r="D437">
        <f t="shared" si="78"/>
        <v>0</v>
      </c>
      <c r="E437">
        <f t="shared" si="78"/>
        <v>2E-3</v>
      </c>
      <c r="F437">
        <f t="shared" si="78"/>
        <v>2E-3</v>
      </c>
      <c r="G437">
        <f t="shared" si="78"/>
        <v>1E-3</v>
      </c>
    </row>
    <row r="438" spans="1:7">
      <c r="A438" t="s">
        <v>203</v>
      </c>
      <c r="B438" s="17" t="s">
        <v>289</v>
      </c>
      <c r="C438">
        <f t="shared" si="77"/>
        <v>1E-3</v>
      </c>
      <c r="D438">
        <f t="shared" si="78"/>
        <v>2E-3</v>
      </c>
      <c r="E438">
        <f t="shared" si="78"/>
        <v>0</v>
      </c>
      <c r="F438">
        <f t="shared" si="78"/>
        <v>2E-3</v>
      </c>
      <c r="G438">
        <f t="shared" si="78"/>
        <v>1E-3</v>
      </c>
    </row>
    <row r="439" spans="1:7">
      <c r="A439" t="s">
        <v>203</v>
      </c>
      <c r="B439" s="17" t="s">
        <v>290</v>
      </c>
      <c r="C439">
        <f t="shared" si="77"/>
        <v>1E-3</v>
      </c>
      <c r="D439">
        <f t="shared" si="78"/>
        <v>2E-3</v>
      </c>
      <c r="E439">
        <f t="shared" si="78"/>
        <v>2E-3</v>
      </c>
      <c r="F439">
        <f t="shared" si="78"/>
        <v>0</v>
      </c>
      <c r="G439">
        <f t="shared" si="78"/>
        <v>2E-3</v>
      </c>
    </row>
    <row r="440" spans="1:7">
      <c r="A440" t="s">
        <v>203</v>
      </c>
      <c r="B440" s="17" t="s">
        <v>291</v>
      </c>
      <c r="C440">
        <f t="shared" si="77"/>
        <v>2E-3</v>
      </c>
      <c r="D440">
        <f t="shared" si="78"/>
        <v>1E-3</v>
      </c>
      <c r="E440">
        <f t="shared" si="78"/>
        <v>1E-3</v>
      </c>
      <c r="F440">
        <f t="shared" si="78"/>
        <v>2E-3</v>
      </c>
      <c r="G440">
        <f t="shared" si="78"/>
        <v>0</v>
      </c>
    </row>
    <row r="441" spans="1:7">
      <c r="A441" t="s">
        <v>203</v>
      </c>
      <c r="B441" s="17" t="s">
        <v>292</v>
      </c>
      <c r="C441">
        <f t="shared" si="77"/>
        <v>0</v>
      </c>
      <c r="D441">
        <f t="shared" si="78"/>
        <v>1E-3</v>
      </c>
      <c r="E441">
        <f t="shared" si="78"/>
        <v>1E-3</v>
      </c>
      <c r="F441">
        <f t="shared" si="78"/>
        <v>1E-3</v>
      </c>
      <c r="G441">
        <f t="shared" si="78"/>
        <v>2E-3</v>
      </c>
    </row>
    <row r="442" spans="1:7">
      <c r="A442" t="s">
        <v>203</v>
      </c>
      <c r="B442" s="17" t="s">
        <v>308</v>
      </c>
      <c r="C442">
        <f t="shared" si="77"/>
        <v>1E-3</v>
      </c>
      <c r="D442">
        <f t="shared" si="78"/>
        <v>0</v>
      </c>
      <c r="E442">
        <f t="shared" si="78"/>
        <v>2E-3</v>
      </c>
      <c r="F442">
        <f t="shared" si="78"/>
        <v>2E-3</v>
      </c>
      <c r="G442">
        <f t="shared" si="78"/>
        <v>1E-3</v>
      </c>
    </row>
    <row r="443" spans="1:7">
      <c r="A443" t="s">
        <v>203</v>
      </c>
      <c r="B443" s="17" t="s">
        <v>293</v>
      </c>
      <c r="C443">
        <f t="shared" ref="C443:C455" si="79">ROUND(C23*0.00003215271,3)</f>
        <v>1E-3</v>
      </c>
      <c r="D443">
        <f t="shared" si="78"/>
        <v>2E-3</v>
      </c>
      <c r="E443">
        <f t="shared" si="78"/>
        <v>0</v>
      </c>
      <c r="F443">
        <f t="shared" si="78"/>
        <v>2E-3</v>
      </c>
      <c r="G443">
        <f t="shared" si="78"/>
        <v>1E-3</v>
      </c>
    </row>
    <row r="444" spans="1:7">
      <c r="A444" t="s">
        <v>203</v>
      </c>
      <c r="B444" s="17" t="s">
        <v>309</v>
      </c>
      <c r="C444">
        <f t="shared" si="79"/>
        <v>1E-3</v>
      </c>
      <c r="D444">
        <f t="shared" si="78"/>
        <v>2E-3</v>
      </c>
      <c r="E444">
        <f t="shared" si="78"/>
        <v>2E-3</v>
      </c>
      <c r="F444">
        <f t="shared" si="78"/>
        <v>0</v>
      </c>
      <c r="G444">
        <f t="shared" ref="D444:AF452" si="80">ROUND(G24*0.00003215271,3)</f>
        <v>2E-3</v>
      </c>
    </row>
    <row r="445" spans="1:7">
      <c r="A445" t="s">
        <v>203</v>
      </c>
      <c r="B445" s="17" t="s">
        <v>296</v>
      </c>
      <c r="C445">
        <f t="shared" si="79"/>
        <v>2E-3</v>
      </c>
      <c r="D445">
        <f t="shared" si="80"/>
        <v>1E-3</v>
      </c>
      <c r="E445">
        <f t="shared" si="80"/>
        <v>1E-3</v>
      </c>
      <c r="F445">
        <f t="shared" si="80"/>
        <v>2E-3</v>
      </c>
      <c r="G445">
        <f t="shared" si="80"/>
        <v>0</v>
      </c>
    </row>
    <row r="446" spans="1:7">
      <c r="A446" t="s">
        <v>203</v>
      </c>
      <c r="B446" s="17" t="s">
        <v>297</v>
      </c>
      <c r="C446" t="e">
        <f t="shared" si="79"/>
        <v>#REF!</v>
      </c>
      <c r="D446" t="e">
        <f t="shared" si="80"/>
        <v>#REF!</v>
      </c>
      <c r="E446" t="e">
        <f t="shared" si="80"/>
        <v>#REF!</v>
      </c>
      <c r="F446" t="e">
        <f t="shared" si="80"/>
        <v>#REF!</v>
      </c>
      <c r="G446" t="e">
        <f t="shared" si="80"/>
        <v>#REF!</v>
      </c>
    </row>
    <row r="447" spans="1:7">
      <c r="A447" t="s">
        <v>203</v>
      </c>
      <c r="B447" s="17" t="s">
        <v>355</v>
      </c>
      <c r="C447">
        <f t="shared" si="79"/>
        <v>0</v>
      </c>
      <c r="D447">
        <f t="shared" si="80"/>
        <v>1E-3</v>
      </c>
      <c r="E447">
        <f t="shared" si="80"/>
        <v>1E-3</v>
      </c>
      <c r="F447">
        <f t="shared" si="80"/>
        <v>1E-3</v>
      </c>
      <c r="G447">
        <f t="shared" si="80"/>
        <v>2E-3</v>
      </c>
    </row>
    <row r="448" spans="1:7">
      <c r="A448" t="s">
        <v>203</v>
      </c>
      <c r="B448" s="17" t="s">
        <v>298</v>
      </c>
      <c r="C448">
        <f t="shared" si="79"/>
        <v>1E-3</v>
      </c>
      <c r="D448">
        <f t="shared" si="80"/>
        <v>0</v>
      </c>
      <c r="E448">
        <f t="shared" si="80"/>
        <v>2E-3</v>
      </c>
      <c r="F448">
        <f t="shared" si="80"/>
        <v>2E-3</v>
      </c>
      <c r="G448">
        <f t="shared" si="80"/>
        <v>1E-3</v>
      </c>
    </row>
    <row r="449" spans="1:7">
      <c r="A449" t="s">
        <v>203</v>
      </c>
      <c r="B449" s="17" t="s">
        <v>299</v>
      </c>
      <c r="C449">
        <f t="shared" si="79"/>
        <v>1E-3</v>
      </c>
      <c r="D449">
        <f t="shared" si="80"/>
        <v>2E-3</v>
      </c>
      <c r="E449">
        <f t="shared" si="80"/>
        <v>0</v>
      </c>
      <c r="F449">
        <f t="shared" si="80"/>
        <v>2E-3</v>
      </c>
      <c r="G449">
        <f t="shared" si="80"/>
        <v>1E-3</v>
      </c>
    </row>
    <row r="450" spans="1:7">
      <c r="A450" t="s">
        <v>203</v>
      </c>
      <c r="B450" s="17" t="s">
        <v>300</v>
      </c>
      <c r="C450">
        <f t="shared" si="79"/>
        <v>1E-3</v>
      </c>
      <c r="D450">
        <f t="shared" si="80"/>
        <v>2E-3</v>
      </c>
      <c r="E450">
        <f t="shared" si="80"/>
        <v>2E-3</v>
      </c>
      <c r="F450">
        <f t="shared" si="80"/>
        <v>0</v>
      </c>
      <c r="G450">
        <f t="shared" si="80"/>
        <v>2E-3</v>
      </c>
    </row>
    <row r="451" spans="1:7">
      <c r="A451" t="s">
        <v>203</v>
      </c>
      <c r="B451" s="17" t="s">
        <v>302</v>
      </c>
      <c r="C451">
        <f t="shared" si="79"/>
        <v>2E-3</v>
      </c>
      <c r="D451">
        <f t="shared" si="80"/>
        <v>1E-3</v>
      </c>
      <c r="E451">
        <f t="shared" si="80"/>
        <v>1E-3</v>
      </c>
      <c r="F451">
        <f t="shared" si="80"/>
        <v>2E-3</v>
      </c>
      <c r="G451">
        <f t="shared" si="80"/>
        <v>0</v>
      </c>
    </row>
    <row r="452" spans="1:7">
      <c r="A452" t="s">
        <v>203</v>
      </c>
      <c r="B452" s="17" t="s">
        <v>303</v>
      </c>
      <c r="C452" t="e">
        <f t="shared" si="79"/>
        <v>#REF!</v>
      </c>
      <c r="D452" t="e">
        <f t="shared" si="80"/>
        <v>#REF!</v>
      </c>
      <c r="E452" t="e">
        <f t="shared" si="80"/>
        <v>#REF!</v>
      </c>
      <c r="F452" t="e">
        <f t="shared" si="80"/>
        <v>#REF!</v>
      </c>
      <c r="G452" t="e">
        <f t="shared" si="80"/>
        <v>#REF!</v>
      </c>
    </row>
    <row r="453" spans="1:7">
      <c r="A453" t="s">
        <v>203</v>
      </c>
      <c r="B453" s="17" t="s">
        <v>304</v>
      </c>
      <c r="C453">
        <f t="shared" si="79"/>
        <v>0</v>
      </c>
      <c r="D453">
        <f t="shared" ref="D452:AF455" si="81">ROUND(D33*0.00003215271,3)</f>
        <v>0</v>
      </c>
      <c r="E453">
        <f t="shared" si="81"/>
        <v>0</v>
      </c>
      <c r="F453">
        <f t="shared" si="81"/>
        <v>1E-3</v>
      </c>
      <c r="G453">
        <f t="shared" si="81"/>
        <v>0</v>
      </c>
    </row>
    <row r="454" spans="1:7">
      <c r="A454" t="s">
        <v>203</v>
      </c>
      <c r="B454" t="s">
        <v>354</v>
      </c>
      <c r="C454">
        <f t="shared" si="79"/>
        <v>0</v>
      </c>
      <c r="D454">
        <f t="shared" si="81"/>
        <v>0</v>
      </c>
      <c r="E454">
        <f t="shared" si="81"/>
        <v>1E-3</v>
      </c>
      <c r="F454">
        <f t="shared" si="81"/>
        <v>0</v>
      </c>
      <c r="G454">
        <f t="shared" si="81"/>
        <v>1E-3</v>
      </c>
    </row>
    <row r="455" spans="1:7">
      <c r="A455" t="s">
        <v>203</v>
      </c>
      <c r="B455" s="17" t="s">
        <v>306</v>
      </c>
      <c r="C455">
        <f t="shared" si="79"/>
        <v>0</v>
      </c>
      <c r="D455">
        <f t="shared" si="81"/>
        <v>1E-3</v>
      </c>
      <c r="E455">
        <f t="shared" si="81"/>
        <v>0</v>
      </c>
      <c r="F455">
        <f t="shared" si="81"/>
        <v>0</v>
      </c>
      <c r="G455">
        <f t="shared" si="81"/>
        <v>0</v>
      </c>
    </row>
    <row r="456" spans="1:7" s="33" customFormat="1">
      <c r="A456" s="33" t="s">
        <v>204</v>
      </c>
      <c r="B456" s="55" t="s">
        <v>278</v>
      </c>
      <c r="C456" s="33">
        <f>ROUND(C6*0.00003215271,3)</f>
        <v>0</v>
      </c>
      <c r="D456" s="33">
        <f t="shared" ref="D456:AF465" si="82">ROUND(D6*0.00003215271,3)</f>
        <v>1E-3</v>
      </c>
      <c r="E456" s="33">
        <f t="shared" si="82"/>
        <v>1E-3</v>
      </c>
      <c r="F456" s="33">
        <f t="shared" si="82"/>
        <v>1E-3</v>
      </c>
      <c r="G456" s="33">
        <f t="shared" si="82"/>
        <v>2E-3</v>
      </c>
    </row>
    <row r="457" spans="1:7">
      <c r="A457" t="s">
        <v>204</v>
      </c>
      <c r="B457" s="17" t="s">
        <v>280</v>
      </c>
      <c r="C457">
        <f t="shared" ref="C457:R472" si="83">ROUND(C7*0.00003215271,3)</f>
        <v>1E-3</v>
      </c>
      <c r="D457">
        <f t="shared" si="83"/>
        <v>0</v>
      </c>
      <c r="E457">
        <f t="shared" si="83"/>
        <v>2E-3</v>
      </c>
      <c r="F457">
        <f t="shared" si="83"/>
        <v>2E-3</v>
      </c>
      <c r="G457">
        <f t="shared" si="83"/>
        <v>1E-3</v>
      </c>
    </row>
    <row r="458" spans="1:7">
      <c r="A458" t="s">
        <v>204</v>
      </c>
      <c r="B458" s="17" t="s">
        <v>281</v>
      </c>
      <c r="C458">
        <f t="shared" si="83"/>
        <v>1E-3</v>
      </c>
      <c r="D458">
        <f t="shared" si="82"/>
        <v>2E-3</v>
      </c>
      <c r="E458">
        <f t="shared" si="82"/>
        <v>0</v>
      </c>
      <c r="F458">
        <f t="shared" si="82"/>
        <v>2E-3</v>
      </c>
      <c r="G458">
        <f t="shared" si="82"/>
        <v>1E-3</v>
      </c>
    </row>
    <row r="459" spans="1:7">
      <c r="A459" t="s">
        <v>204</v>
      </c>
      <c r="B459" s="17" t="s">
        <v>282</v>
      </c>
      <c r="C459">
        <f t="shared" si="83"/>
        <v>1E-3</v>
      </c>
      <c r="D459">
        <f t="shared" si="82"/>
        <v>2E-3</v>
      </c>
      <c r="E459">
        <f t="shared" si="82"/>
        <v>2E-3</v>
      </c>
      <c r="F459">
        <f t="shared" si="82"/>
        <v>0</v>
      </c>
      <c r="G459">
        <f t="shared" si="82"/>
        <v>2E-3</v>
      </c>
    </row>
    <row r="460" spans="1:7">
      <c r="A460" t="s">
        <v>204</v>
      </c>
      <c r="B460" s="17" t="s">
        <v>283</v>
      </c>
      <c r="C460">
        <f t="shared" si="83"/>
        <v>2E-3</v>
      </c>
      <c r="D460">
        <f t="shared" si="82"/>
        <v>1E-3</v>
      </c>
      <c r="E460">
        <f t="shared" si="82"/>
        <v>1E-3</v>
      </c>
      <c r="F460">
        <f t="shared" si="82"/>
        <v>2E-3</v>
      </c>
      <c r="G460">
        <f t="shared" si="82"/>
        <v>0</v>
      </c>
    </row>
    <row r="461" spans="1:7">
      <c r="A461" t="s">
        <v>204</v>
      </c>
      <c r="B461" s="17" t="s">
        <v>509</v>
      </c>
      <c r="C461">
        <f t="shared" si="83"/>
        <v>0</v>
      </c>
      <c r="D461">
        <f t="shared" si="82"/>
        <v>1E-3</v>
      </c>
      <c r="E461">
        <f t="shared" si="82"/>
        <v>1E-3</v>
      </c>
      <c r="F461">
        <f t="shared" si="82"/>
        <v>1E-3</v>
      </c>
      <c r="G461">
        <f t="shared" si="82"/>
        <v>2E-3</v>
      </c>
    </row>
    <row r="462" spans="1:7">
      <c r="A462" t="s">
        <v>204</v>
      </c>
      <c r="B462" s="17" t="s">
        <v>284</v>
      </c>
      <c r="C462">
        <f t="shared" si="83"/>
        <v>1E-3</v>
      </c>
      <c r="D462">
        <f t="shared" si="82"/>
        <v>0</v>
      </c>
      <c r="E462">
        <f t="shared" si="82"/>
        <v>2E-3</v>
      </c>
      <c r="F462">
        <f t="shared" si="82"/>
        <v>2E-3</v>
      </c>
      <c r="G462">
        <f t="shared" si="82"/>
        <v>1E-3</v>
      </c>
    </row>
    <row r="463" spans="1:7">
      <c r="A463" t="s">
        <v>204</v>
      </c>
      <c r="B463" s="17" t="s">
        <v>307</v>
      </c>
      <c r="C463">
        <f t="shared" si="83"/>
        <v>1E-3</v>
      </c>
      <c r="D463">
        <f t="shared" si="82"/>
        <v>2E-3</v>
      </c>
      <c r="E463">
        <f t="shared" si="82"/>
        <v>0</v>
      </c>
      <c r="F463">
        <f t="shared" si="82"/>
        <v>2E-3</v>
      </c>
      <c r="G463">
        <f t="shared" si="82"/>
        <v>1E-3</v>
      </c>
    </row>
    <row r="464" spans="1:7">
      <c r="A464" t="s">
        <v>204</v>
      </c>
      <c r="B464" s="17" t="s">
        <v>285</v>
      </c>
      <c r="C464">
        <f>ROUND(C14*0.00003215271,3)</f>
        <v>1E-3</v>
      </c>
      <c r="D464">
        <f t="shared" si="82"/>
        <v>2E-3</v>
      </c>
      <c r="E464">
        <f t="shared" si="82"/>
        <v>2E-3</v>
      </c>
      <c r="F464">
        <f t="shared" si="82"/>
        <v>0</v>
      </c>
      <c r="G464">
        <f t="shared" si="82"/>
        <v>2E-3</v>
      </c>
    </row>
    <row r="465" spans="1:7">
      <c r="A465" t="s">
        <v>204</v>
      </c>
      <c r="B465" s="17" t="s">
        <v>286</v>
      </c>
      <c r="C465">
        <f t="shared" si="83"/>
        <v>2E-3</v>
      </c>
      <c r="D465">
        <f t="shared" si="82"/>
        <v>1E-3</v>
      </c>
      <c r="E465">
        <f t="shared" si="82"/>
        <v>1E-3</v>
      </c>
      <c r="F465">
        <f t="shared" si="82"/>
        <v>2E-3</v>
      </c>
      <c r="G465">
        <f t="shared" si="82"/>
        <v>0</v>
      </c>
    </row>
    <row r="466" spans="1:7">
      <c r="A466" t="s">
        <v>204</v>
      </c>
      <c r="B466" s="17" t="s">
        <v>287</v>
      </c>
      <c r="C466">
        <f t="shared" si="83"/>
        <v>0</v>
      </c>
      <c r="D466">
        <f t="shared" ref="D465:AF474" si="84">ROUND(D16*0.00003215271,3)</f>
        <v>1E-3</v>
      </c>
      <c r="E466">
        <f t="shared" si="84"/>
        <v>1E-3</v>
      </c>
      <c r="F466">
        <f t="shared" si="84"/>
        <v>1E-3</v>
      </c>
      <c r="G466">
        <f t="shared" si="84"/>
        <v>2E-3</v>
      </c>
    </row>
    <row r="467" spans="1:7">
      <c r="A467" t="s">
        <v>204</v>
      </c>
      <c r="B467" s="17" t="s">
        <v>288</v>
      </c>
      <c r="C467">
        <f>ROUND(C17*0.00003215271,3)</f>
        <v>1E-3</v>
      </c>
      <c r="D467">
        <f t="shared" si="84"/>
        <v>0</v>
      </c>
      <c r="E467">
        <f t="shared" si="84"/>
        <v>2E-3</v>
      </c>
      <c r="F467">
        <f t="shared" si="84"/>
        <v>2E-3</v>
      </c>
      <c r="G467">
        <f t="shared" si="84"/>
        <v>1E-3</v>
      </c>
    </row>
    <row r="468" spans="1:7">
      <c r="A468" t="s">
        <v>204</v>
      </c>
      <c r="B468" s="17" t="s">
        <v>289</v>
      </c>
      <c r="C468">
        <f t="shared" si="83"/>
        <v>1E-3</v>
      </c>
      <c r="D468">
        <f t="shared" si="84"/>
        <v>2E-3</v>
      </c>
      <c r="E468">
        <f t="shared" si="84"/>
        <v>0</v>
      </c>
      <c r="F468">
        <f t="shared" si="84"/>
        <v>2E-3</v>
      </c>
      <c r="G468">
        <f t="shared" si="84"/>
        <v>1E-3</v>
      </c>
    </row>
    <row r="469" spans="1:7">
      <c r="A469" t="s">
        <v>204</v>
      </c>
      <c r="B469" s="17" t="s">
        <v>290</v>
      </c>
      <c r="C469">
        <f t="shared" si="83"/>
        <v>1E-3</v>
      </c>
      <c r="D469">
        <f t="shared" si="84"/>
        <v>2E-3</v>
      </c>
      <c r="E469">
        <f t="shared" si="84"/>
        <v>2E-3</v>
      </c>
      <c r="F469">
        <f t="shared" si="84"/>
        <v>0</v>
      </c>
      <c r="G469">
        <f t="shared" si="84"/>
        <v>2E-3</v>
      </c>
    </row>
    <row r="470" spans="1:7">
      <c r="A470" t="s">
        <v>204</v>
      </c>
      <c r="B470" s="17" t="s">
        <v>291</v>
      </c>
      <c r="C470">
        <f t="shared" si="83"/>
        <v>2E-3</v>
      </c>
      <c r="D470">
        <f t="shared" si="84"/>
        <v>1E-3</v>
      </c>
      <c r="E470">
        <f t="shared" si="84"/>
        <v>1E-3</v>
      </c>
      <c r="F470">
        <f t="shared" si="84"/>
        <v>2E-3</v>
      </c>
      <c r="G470">
        <f t="shared" si="84"/>
        <v>0</v>
      </c>
    </row>
    <row r="471" spans="1:7">
      <c r="A471" t="s">
        <v>204</v>
      </c>
      <c r="B471" s="17" t="s">
        <v>292</v>
      </c>
      <c r="C471">
        <f t="shared" si="83"/>
        <v>0</v>
      </c>
      <c r="D471">
        <f t="shared" si="84"/>
        <v>1E-3</v>
      </c>
      <c r="E471">
        <f t="shared" si="84"/>
        <v>1E-3</v>
      </c>
      <c r="F471">
        <f t="shared" si="84"/>
        <v>1E-3</v>
      </c>
      <c r="G471">
        <f t="shared" si="84"/>
        <v>2E-3</v>
      </c>
    </row>
    <row r="472" spans="1:7">
      <c r="A472" t="s">
        <v>204</v>
      </c>
      <c r="B472" s="17" t="s">
        <v>308</v>
      </c>
      <c r="C472">
        <f t="shared" si="83"/>
        <v>1E-3</v>
      </c>
      <c r="D472">
        <f t="shared" si="84"/>
        <v>0</v>
      </c>
      <c r="E472">
        <f t="shared" si="84"/>
        <v>2E-3</v>
      </c>
      <c r="F472">
        <f t="shared" si="84"/>
        <v>2E-3</v>
      </c>
      <c r="G472">
        <f t="shared" si="84"/>
        <v>1E-3</v>
      </c>
    </row>
    <row r="473" spans="1:7">
      <c r="A473" t="s">
        <v>204</v>
      </c>
      <c r="B473" s="17" t="s">
        <v>293</v>
      </c>
      <c r="C473">
        <f t="shared" ref="C473:C485" si="85">ROUND(C23*0.00003215271,3)</f>
        <v>1E-3</v>
      </c>
      <c r="D473">
        <f t="shared" si="84"/>
        <v>2E-3</v>
      </c>
      <c r="E473">
        <f t="shared" si="84"/>
        <v>0</v>
      </c>
      <c r="F473">
        <f t="shared" si="84"/>
        <v>2E-3</v>
      </c>
      <c r="G473">
        <f t="shared" si="84"/>
        <v>1E-3</v>
      </c>
    </row>
    <row r="474" spans="1:7">
      <c r="A474" t="s">
        <v>204</v>
      </c>
      <c r="B474" s="17" t="s">
        <v>309</v>
      </c>
      <c r="C474">
        <f t="shared" si="85"/>
        <v>1E-3</v>
      </c>
      <c r="D474">
        <f t="shared" si="84"/>
        <v>2E-3</v>
      </c>
      <c r="E474">
        <f t="shared" si="84"/>
        <v>2E-3</v>
      </c>
      <c r="F474">
        <f t="shared" si="84"/>
        <v>0</v>
      </c>
      <c r="G474">
        <f t="shared" ref="D474:AF482" si="86">ROUND(G24*0.00003215271,3)</f>
        <v>2E-3</v>
      </c>
    </row>
    <row r="475" spans="1:7">
      <c r="A475" t="s">
        <v>204</v>
      </c>
      <c r="B475" s="17" t="s">
        <v>296</v>
      </c>
      <c r="C475">
        <f t="shared" si="85"/>
        <v>2E-3</v>
      </c>
      <c r="D475">
        <f t="shared" si="86"/>
        <v>1E-3</v>
      </c>
      <c r="E475">
        <f t="shared" si="86"/>
        <v>1E-3</v>
      </c>
      <c r="F475">
        <f t="shared" si="86"/>
        <v>2E-3</v>
      </c>
      <c r="G475">
        <f t="shared" si="86"/>
        <v>0</v>
      </c>
    </row>
    <row r="476" spans="1:7">
      <c r="A476" t="s">
        <v>204</v>
      </c>
      <c r="B476" s="17" t="s">
        <v>297</v>
      </c>
      <c r="C476" t="e">
        <f t="shared" si="85"/>
        <v>#REF!</v>
      </c>
      <c r="D476" t="e">
        <f t="shared" si="86"/>
        <v>#REF!</v>
      </c>
      <c r="E476" t="e">
        <f t="shared" si="86"/>
        <v>#REF!</v>
      </c>
      <c r="F476" t="e">
        <f t="shared" si="86"/>
        <v>#REF!</v>
      </c>
      <c r="G476" t="e">
        <f t="shared" si="86"/>
        <v>#REF!</v>
      </c>
    </row>
    <row r="477" spans="1:7">
      <c r="A477" t="s">
        <v>204</v>
      </c>
      <c r="B477" s="17" t="s">
        <v>355</v>
      </c>
      <c r="C477">
        <f t="shared" si="85"/>
        <v>0</v>
      </c>
      <c r="D477">
        <f t="shared" si="86"/>
        <v>1E-3</v>
      </c>
      <c r="E477">
        <f t="shared" si="86"/>
        <v>1E-3</v>
      </c>
      <c r="F477">
        <f t="shared" si="86"/>
        <v>1E-3</v>
      </c>
      <c r="G477">
        <f t="shared" si="86"/>
        <v>2E-3</v>
      </c>
    </row>
    <row r="478" spans="1:7">
      <c r="A478" t="s">
        <v>204</v>
      </c>
      <c r="B478" s="17" t="s">
        <v>298</v>
      </c>
      <c r="C478">
        <f t="shared" si="85"/>
        <v>1E-3</v>
      </c>
      <c r="D478">
        <f t="shared" si="86"/>
        <v>0</v>
      </c>
      <c r="E478">
        <f t="shared" si="86"/>
        <v>2E-3</v>
      </c>
      <c r="F478">
        <f t="shared" si="86"/>
        <v>2E-3</v>
      </c>
      <c r="G478">
        <f t="shared" si="86"/>
        <v>1E-3</v>
      </c>
    </row>
    <row r="479" spans="1:7">
      <c r="A479" t="s">
        <v>204</v>
      </c>
      <c r="B479" s="17" t="s">
        <v>299</v>
      </c>
      <c r="C479">
        <f t="shared" si="85"/>
        <v>1E-3</v>
      </c>
      <c r="D479">
        <f t="shared" si="86"/>
        <v>2E-3</v>
      </c>
      <c r="E479">
        <f t="shared" si="86"/>
        <v>0</v>
      </c>
      <c r="F479">
        <f t="shared" si="86"/>
        <v>2E-3</v>
      </c>
      <c r="G479">
        <f t="shared" si="86"/>
        <v>1E-3</v>
      </c>
    </row>
    <row r="480" spans="1:7">
      <c r="A480" t="s">
        <v>204</v>
      </c>
      <c r="B480" s="17" t="s">
        <v>300</v>
      </c>
      <c r="C480">
        <f t="shared" si="85"/>
        <v>1E-3</v>
      </c>
      <c r="D480">
        <f t="shared" si="86"/>
        <v>2E-3</v>
      </c>
      <c r="E480">
        <f t="shared" si="86"/>
        <v>2E-3</v>
      </c>
      <c r="F480">
        <f t="shared" si="86"/>
        <v>0</v>
      </c>
      <c r="G480">
        <f t="shared" si="86"/>
        <v>2E-3</v>
      </c>
    </row>
    <row r="481" spans="1:32">
      <c r="A481" t="s">
        <v>204</v>
      </c>
      <c r="B481" s="17" t="s">
        <v>302</v>
      </c>
      <c r="C481">
        <f t="shared" si="85"/>
        <v>2E-3</v>
      </c>
      <c r="D481">
        <f t="shared" si="86"/>
        <v>1E-3</v>
      </c>
      <c r="E481">
        <f t="shared" si="86"/>
        <v>1E-3</v>
      </c>
      <c r="F481">
        <f t="shared" si="86"/>
        <v>2E-3</v>
      </c>
      <c r="G481">
        <f t="shared" si="86"/>
        <v>0</v>
      </c>
    </row>
    <row r="482" spans="1:32">
      <c r="A482" t="s">
        <v>204</v>
      </c>
      <c r="B482" s="17" t="s">
        <v>303</v>
      </c>
      <c r="C482" t="e">
        <f t="shared" si="85"/>
        <v>#REF!</v>
      </c>
      <c r="D482" t="e">
        <f t="shared" si="86"/>
        <v>#REF!</v>
      </c>
      <c r="E482" t="e">
        <f t="shared" si="86"/>
        <v>#REF!</v>
      </c>
      <c r="F482" t="e">
        <f t="shared" si="86"/>
        <v>#REF!</v>
      </c>
      <c r="G482" t="e">
        <f t="shared" si="86"/>
        <v>#REF!</v>
      </c>
    </row>
    <row r="483" spans="1:32">
      <c r="A483" t="s">
        <v>204</v>
      </c>
      <c r="B483" s="17" t="s">
        <v>304</v>
      </c>
      <c r="C483">
        <f t="shared" si="85"/>
        <v>0</v>
      </c>
      <c r="D483">
        <f t="shared" ref="D482:AF485" si="87">ROUND(D33*0.00003215271,3)</f>
        <v>0</v>
      </c>
      <c r="E483">
        <f t="shared" si="87"/>
        <v>0</v>
      </c>
      <c r="F483">
        <f t="shared" si="87"/>
        <v>1E-3</v>
      </c>
      <c r="G483">
        <f t="shared" si="87"/>
        <v>0</v>
      </c>
    </row>
    <row r="484" spans="1:32">
      <c r="A484" t="s">
        <v>204</v>
      </c>
      <c r="B484" t="s">
        <v>354</v>
      </c>
      <c r="C484">
        <f t="shared" si="85"/>
        <v>0</v>
      </c>
      <c r="D484">
        <f t="shared" si="87"/>
        <v>0</v>
      </c>
      <c r="E484">
        <f t="shared" si="87"/>
        <v>1E-3</v>
      </c>
      <c r="F484">
        <f t="shared" si="87"/>
        <v>0</v>
      </c>
      <c r="G484">
        <f t="shared" si="87"/>
        <v>1E-3</v>
      </c>
    </row>
    <row r="485" spans="1:32">
      <c r="A485" t="s">
        <v>204</v>
      </c>
      <c r="B485" s="17" t="s">
        <v>306</v>
      </c>
      <c r="C485">
        <f t="shared" si="85"/>
        <v>0</v>
      </c>
      <c r="D485">
        <f t="shared" si="87"/>
        <v>1E-3</v>
      </c>
      <c r="E485">
        <f t="shared" si="87"/>
        <v>0</v>
      </c>
      <c r="F485">
        <f t="shared" si="87"/>
        <v>0</v>
      </c>
      <c r="G485">
        <f t="shared" si="87"/>
        <v>0</v>
      </c>
    </row>
    <row r="488" spans="1:32"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</row>
    <row r="489" spans="1:32">
      <c r="B489" s="17"/>
    </row>
    <row r="490" spans="1:32">
      <c r="B490" s="17"/>
    </row>
    <row r="491" spans="1:32">
      <c r="B491" s="17"/>
    </row>
    <row r="492" spans="1:32">
      <c r="B492" s="17"/>
    </row>
    <row r="493" spans="1:32">
      <c r="B493" s="17"/>
    </row>
    <row r="494" spans="1:32">
      <c r="B494" s="17"/>
    </row>
    <row r="495" spans="1:32">
      <c r="B495" s="17"/>
    </row>
    <row r="496" spans="1:3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17"/>
    </row>
    <row r="880" spans="2:2">
      <c r="B880" s="17"/>
    </row>
    <row r="881" spans="2:2">
      <c r="B881" s="17"/>
    </row>
    <row r="882" spans="2:2">
      <c r="B882" s="17"/>
    </row>
    <row r="883" spans="2:2">
      <c r="B883" s="17"/>
    </row>
    <row r="884" spans="2:2">
      <c r="B884" s="17"/>
    </row>
    <row r="885" spans="2:2">
      <c r="B885" s="17"/>
    </row>
    <row r="886" spans="2:2">
      <c r="B886" s="17"/>
    </row>
    <row r="887" spans="2:2">
      <c r="B887" s="17"/>
    </row>
    <row r="888" spans="2:2">
      <c r="B888" s="17"/>
    </row>
    <row r="889" spans="2:2">
      <c r="B889" s="17"/>
    </row>
    <row r="890" spans="2:2">
      <c r="B890" s="17"/>
    </row>
    <row r="891" spans="2:2">
      <c r="B891" s="17"/>
    </row>
    <row r="892" spans="2:2">
      <c r="B892" s="17"/>
    </row>
    <row r="893" spans="2:2">
      <c r="B893" s="17"/>
    </row>
    <row r="894" spans="2:2">
      <c r="B894" s="17"/>
    </row>
    <row r="895" spans="2:2">
      <c r="B895" s="17"/>
    </row>
    <row r="896" spans="2:2">
      <c r="B896" s="17"/>
    </row>
    <row r="897" spans="2:2">
      <c r="B897" s="17"/>
    </row>
    <row r="898" spans="2:2">
      <c r="B898" s="17"/>
    </row>
    <row r="899" spans="2:2">
      <c r="B899" s="17"/>
    </row>
    <row r="900" spans="2:2">
      <c r="B900" s="17"/>
    </row>
    <row r="901" spans="2:2">
      <c r="B901" s="17"/>
    </row>
    <row r="902" spans="2:2">
      <c r="B902" s="17"/>
    </row>
    <row r="903" spans="2:2">
      <c r="B903" s="17"/>
    </row>
    <row r="904" spans="2:2">
      <c r="B904" s="17"/>
    </row>
    <row r="905" spans="2:2">
      <c r="B905" s="17"/>
    </row>
    <row r="906" spans="2:2">
      <c r="B906" s="17"/>
    </row>
    <row r="908" spans="2:2">
      <c r="B908" s="17"/>
    </row>
    <row r="909" spans="2:2">
      <c r="B909" s="17"/>
    </row>
    <row r="910" spans="2:2">
      <c r="B910" s="17"/>
    </row>
    <row r="911" spans="2:2">
      <c r="B911" s="17"/>
    </row>
    <row r="912" spans="2:2">
      <c r="B912" s="17"/>
    </row>
    <row r="913" spans="2:2">
      <c r="B913" s="17"/>
    </row>
    <row r="914" spans="2:2">
      <c r="B914" s="17"/>
    </row>
    <row r="915" spans="2:2">
      <c r="B915" s="17"/>
    </row>
    <row r="916" spans="2:2">
      <c r="B916" s="17"/>
    </row>
    <row r="917" spans="2:2">
      <c r="B917" s="17"/>
    </row>
    <row r="918" spans="2:2">
      <c r="B918" s="17"/>
    </row>
    <row r="919" spans="2:2">
      <c r="B919" s="17"/>
    </row>
    <row r="920" spans="2:2">
      <c r="B920" s="17"/>
    </row>
    <row r="921" spans="2:2">
      <c r="B921" s="17"/>
    </row>
    <row r="922" spans="2:2">
      <c r="B922" s="17"/>
    </row>
    <row r="923" spans="2:2">
      <c r="B923" s="17"/>
    </row>
    <row r="924" spans="2:2">
      <c r="B924" s="17"/>
    </row>
    <row r="925" spans="2:2">
      <c r="B925" s="17"/>
    </row>
    <row r="926" spans="2:2">
      <c r="B926" s="17"/>
    </row>
    <row r="927" spans="2:2">
      <c r="B927" s="17"/>
    </row>
    <row r="928" spans="2:2">
      <c r="B928" s="17"/>
    </row>
    <row r="929" spans="2:2">
      <c r="B929" s="17"/>
    </row>
    <row r="930" spans="2:2">
      <c r="B930" s="17"/>
    </row>
    <row r="931" spans="2:2">
      <c r="B931" s="17"/>
    </row>
    <row r="932" spans="2:2">
      <c r="B932" s="17"/>
    </row>
    <row r="933" spans="2:2">
      <c r="B933" s="17"/>
    </row>
    <row r="934" spans="2:2">
      <c r="B934" s="17"/>
    </row>
    <row r="935" spans="2:2">
      <c r="B935" s="17"/>
    </row>
    <row r="936" spans="2:2">
      <c r="B936" s="17"/>
    </row>
    <row r="938" spans="2:2">
      <c r="B938" s="17"/>
    </row>
    <row r="939" spans="2:2">
      <c r="B939" s="17"/>
    </row>
    <row r="940" spans="2:2">
      <c r="B940" s="17"/>
    </row>
    <row r="941" spans="2:2">
      <c r="B941" s="17"/>
    </row>
    <row r="942" spans="2:2">
      <c r="B942" s="17"/>
    </row>
    <row r="943" spans="2:2">
      <c r="B943" s="17"/>
    </row>
    <row r="944" spans="2:2">
      <c r="B944" s="17"/>
    </row>
    <row r="945" spans="2:2">
      <c r="B945" s="17"/>
    </row>
    <row r="946" spans="2:2">
      <c r="B946" s="17"/>
    </row>
    <row r="947" spans="2:2">
      <c r="B947" s="17"/>
    </row>
    <row r="948" spans="2:2">
      <c r="B948" s="17"/>
    </row>
    <row r="949" spans="2:2">
      <c r="B949" s="17"/>
    </row>
    <row r="950" spans="2:2">
      <c r="B950" s="17"/>
    </row>
    <row r="951" spans="2:2">
      <c r="B951" s="17"/>
    </row>
    <row r="952" spans="2:2">
      <c r="B952" s="17"/>
    </row>
    <row r="953" spans="2:2">
      <c r="B953" s="17"/>
    </row>
    <row r="954" spans="2:2">
      <c r="B954" s="17"/>
    </row>
    <row r="955" spans="2:2">
      <c r="B955" s="17"/>
    </row>
    <row r="956" spans="2:2">
      <c r="B956" s="17"/>
    </row>
    <row r="957" spans="2:2">
      <c r="B957" s="17"/>
    </row>
    <row r="958" spans="2:2">
      <c r="B958" s="17"/>
    </row>
    <row r="959" spans="2:2">
      <c r="B959" s="17"/>
    </row>
    <row r="960" spans="2:2">
      <c r="B960" s="17"/>
    </row>
    <row r="961" spans="2:2">
      <c r="B961" s="17"/>
    </row>
    <row r="962" spans="2:2">
      <c r="B962" s="17"/>
    </row>
    <row r="963" spans="2:2">
      <c r="B963" s="17"/>
    </row>
    <row r="964" spans="2:2">
      <c r="B964" s="17"/>
    </row>
    <row r="965" spans="2:2">
      <c r="B965" s="17"/>
    </row>
    <row r="966" spans="2:2">
      <c r="B966" s="17"/>
    </row>
    <row r="968" spans="2:2">
      <c r="B968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I34"/>
  <sheetViews>
    <sheetView workbookViewId="0">
      <selection activeCell="H20" sqref="H20"/>
    </sheetView>
  </sheetViews>
  <sheetFormatPr defaultColWidth="11.42578125" defaultRowHeight="15"/>
  <cols>
    <col min="1" max="1" width="12.85546875" customWidth="1"/>
    <col min="2" max="2" width="11.28515625" customWidth="1"/>
    <col min="3" max="3" width="9" customWidth="1"/>
    <col min="4" max="4" width="9.42578125" bestFit="1" customWidth="1"/>
    <col min="5" max="5" width="11.85546875" bestFit="1" customWidth="1"/>
    <col min="6" max="6" width="9.42578125" bestFit="1" customWidth="1"/>
    <col min="7" max="7" width="9.140625" bestFit="1" customWidth="1"/>
    <col min="8" max="9" width="9.42578125" bestFit="1" customWidth="1"/>
  </cols>
  <sheetData>
    <row r="1" spans="1:9">
      <c r="A1" t="s">
        <v>397</v>
      </c>
    </row>
    <row r="2" spans="1:9">
      <c r="A2" t="s">
        <v>182</v>
      </c>
    </row>
    <row r="3" spans="1:9">
      <c r="A3" t="s">
        <v>508</v>
      </c>
    </row>
    <row r="5" spans="1:9">
      <c r="C5" t="s">
        <v>278</v>
      </c>
      <c r="D5" s="12" t="s">
        <v>280</v>
      </c>
      <c r="E5" s="12" t="s">
        <v>281</v>
      </c>
      <c r="F5" s="12" t="s">
        <v>282</v>
      </c>
      <c r="G5" s="12" t="s">
        <v>283</v>
      </c>
      <c r="H5" s="12" t="s">
        <v>509</v>
      </c>
      <c r="I5" s="12" t="s">
        <v>284</v>
      </c>
    </row>
    <row r="6" spans="1:9">
      <c r="C6" s="12">
        <v>2018</v>
      </c>
      <c r="D6">
        <v>2018</v>
      </c>
      <c r="E6">
        <v>2018</v>
      </c>
      <c r="F6">
        <v>2018</v>
      </c>
      <c r="G6">
        <v>2018</v>
      </c>
      <c r="H6">
        <v>2018</v>
      </c>
      <c r="I6">
        <v>2018</v>
      </c>
    </row>
    <row r="7" spans="1:9">
      <c r="A7" t="s">
        <v>24</v>
      </c>
      <c r="B7" t="s">
        <v>278</v>
      </c>
      <c r="C7" s="12">
        <v>0</v>
      </c>
      <c r="F7">
        <v>0.43425000000000002</v>
      </c>
      <c r="G7">
        <v>0.9</v>
      </c>
      <c r="H7">
        <v>2</v>
      </c>
    </row>
    <row r="8" spans="1:9">
      <c r="A8" t="s">
        <v>24</v>
      </c>
      <c r="B8" t="s">
        <v>280</v>
      </c>
      <c r="C8" s="12"/>
      <c r="D8">
        <v>0</v>
      </c>
    </row>
    <row r="9" spans="1:9">
      <c r="A9" t="s">
        <v>24</v>
      </c>
      <c r="B9" t="s">
        <v>281</v>
      </c>
      <c r="C9" s="12"/>
      <c r="E9">
        <v>0</v>
      </c>
    </row>
    <row r="10" spans="1:9">
      <c r="A10" t="s">
        <v>24</v>
      </c>
      <c r="B10" t="s">
        <v>282</v>
      </c>
      <c r="C10" s="12">
        <v>1.2</v>
      </c>
      <c r="F10">
        <v>0</v>
      </c>
      <c r="H10">
        <v>3.5</v>
      </c>
    </row>
    <row r="11" spans="1:9">
      <c r="A11" t="s">
        <v>24</v>
      </c>
      <c r="B11" t="s">
        <v>283</v>
      </c>
      <c r="C11" s="12">
        <v>0.8</v>
      </c>
      <c r="G11">
        <v>0</v>
      </c>
      <c r="H11">
        <v>1.7749999999999999</v>
      </c>
    </row>
    <row r="12" spans="1:9">
      <c r="A12" t="s">
        <v>24</v>
      </c>
      <c r="B12" t="s">
        <v>509</v>
      </c>
      <c r="C12" s="12">
        <v>2.2000000000000002</v>
      </c>
      <c r="F12">
        <v>3.5</v>
      </c>
      <c r="G12">
        <v>1.1000000000000001</v>
      </c>
      <c r="H12">
        <v>0</v>
      </c>
      <c r="I12">
        <v>3.1</v>
      </c>
    </row>
    <row r="13" spans="1:9">
      <c r="A13" t="s">
        <v>24</v>
      </c>
      <c r="B13" t="s">
        <v>284</v>
      </c>
      <c r="C13" s="12"/>
      <c r="H13">
        <v>3.1</v>
      </c>
      <c r="I13">
        <v>0</v>
      </c>
    </row>
    <row r="14" spans="1:9">
      <c r="A14" t="s">
        <v>24</v>
      </c>
      <c r="B14" t="s">
        <v>285</v>
      </c>
      <c r="C14" s="12"/>
    </row>
    <row r="15" spans="1:9">
      <c r="C15" s="12"/>
    </row>
    <row r="16" spans="1:9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G41"/>
  <sheetViews>
    <sheetView topLeftCell="A2" workbookViewId="0">
      <selection activeCell="F32" sqref="F32"/>
    </sheetView>
  </sheetViews>
  <sheetFormatPr defaultColWidth="11.42578125" defaultRowHeight="15"/>
  <cols>
    <col min="1" max="1" width="6.42578125" bestFit="1" customWidth="1"/>
    <col min="2" max="2" width="9" customWidth="1"/>
    <col min="3" max="3" width="15" bestFit="1" customWidth="1"/>
    <col min="4" max="4" width="9.42578125" bestFit="1" customWidth="1"/>
    <col min="5" max="5" width="10.42578125" bestFit="1" customWidth="1"/>
    <col min="6" max="6" width="11.85546875" bestFit="1" customWidth="1"/>
    <col min="7" max="7" width="9.42578125" bestFit="1" customWidth="1"/>
  </cols>
  <sheetData>
    <row r="1" spans="1:7">
      <c r="A1" t="s">
        <v>399</v>
      </c>
    </row>
    <row r="2" spans="1:7">
      <c r="A2" t="s">
        <v>400</v>
      </c>
    </row>
    <row r="3" spans="1:7">
      <c r="A3" t="s">
        <v>401</v>
      </c>
    </row>
    <row r="5" spans="1:7">
      <c r="C5" s="12" t="s">
        <v>277</v>
      </c>
      <c r="D5" s="12" t="s">
        <v>278</v>
      </c>
      <c r="E5" s="12" t="s">
        <v>279</v>
      </c>
      <c r="F5" s="12" t="s">
        <v>280</v>
      </c>
      <c r="G5" s="12" t="s">
        <v>281</v>
      </c>
    </row>
    <row r="6" spans="1:7">
      <c r="A6" t="s">
        <v>24</v>
      </c>
      <c r="B6" s="12" t="s">
        <v>277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</row>
    <row r="7" spans="1:7">
      <c r="A7" t="s">
        <v>24</v>
      </c>
      <c r="B7" s="12" t="s">
        <v>278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</row>
    <row r="8" spans="1:7">
      <c r="A8" t="s">
        <v>24</v>
      </c>
      <c r="B8" s="12" t="s">
        <v>279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</row>
    <row r="9" spans="1:7">
      <c r="A9" t="s">
        <v>24</v>
      </c>
      <c r="B9" s="12" t="s">
        <v>280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</row>
    <row r="10" spans="1:7">
      <c r="A10" t="s">
        <v>24</v>
      </c>
      <c r="B10" s="12" t="s">
        <v>281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</row>
    <row r="11" spans="1:7">
      <c r="A11" t="s">
        <v>24</v>
      </c>
      <c r="B11" s="12" t="s">
        <v>282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</row>
    <row r="12" spans="1:7">
      <c r="A12" t="s">
        <v>24</v>
      </c>
      <c r="B12" s="12" t="s">
        <v>283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</row>
    <row r="13" spans="1:7">
      <c r="A13" t="s">
        <v>24</v>
      </c>
      <c r="B13" s="12" t="s">
        <v>509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</row>
    <row r="14" spans="1:7">
      <c r="A14" t="s">
        <v>24</v>
      </c>
      <c r="B14" s="12" t="s">
        <v>284</v>
      </c>
      <c r="C14">
        <v>2.1425000000000001</v>
      </c>
      <c r="D14">
        <v>2.1425000000000001</v>
      </c>
      <c r="E14">
        <v>2.1425000000000001</v>
      </c>
      <c r="F14">
        <v>2.1425000000000001</v>
      </c>
      <c r="G14">
        <v>2.1425000000000001</v>
      </c>
    </row>
    <row r="15" spans="1:7">
      <c r="B15" s="12"/>
    </row>
    <row r="16" spans="1:7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I41"/>
  <sheetViews>
    <sheetView workbookViewId="0">
      <selection activeCell="M12" sqref="M12"/>
    </sheetView>
  </sheetViews>
  <sheetFormatPr defaultColWidth="11.42578125" defaultRowHeight="15"/>
  <cols>
    <col min="1" max="1" width="5" bestFit="1" customWidth="1"/>
    <col min="2" max="2" width="9" customWidth="1"/>
    <col min="3" max="3" width="15" bestFit="1" customWidth="1"/>
    <col min="4" max="4" width="9.42578125" bestFit="1" customWidth="1"/>
    <col min="5" max="5" width="10.42578125" bestFit="1" customWidth="1"/>
    <col min="6" max="6" width="11.85546875" bestFit="1" customWidth="1"/>
    <col min="7" max="7" width="9.42578125" bestFit="1" customWidth="1"/>
    <col min="8" max="8" width="9.140625" bestFit="1" customWidth="1"/>
    <col min="9" max="9" width="9.42578125" bestFit="1" customWidth="1"/>
  </cols>
  <sheetData>
    <row r="1" spans="1:9">
      <c r="A1" t="s">
        <v>404</v>
      </c>
    </row>
    <row r="2" spans="1:9">
      <c r="A2" t="s">
        <v>403</v>
      </c>
    </row>
    <row r="3" spans="1:9">
      <c r="A3" t="s">
        <v>402</v>
      </c>
    </row>
    <row r="5" spans="1:9">
      <c r="D5" s="12" t="s">
        <v>277</v>
      </c>
      <c r="E5" s="12" t="s">
        <v>278</v>
      </c>
      <c r="F5" s="12" t="s">
        <v>279</v>
      </c>
      <c r="G5" s="12" t="s">
        <v>280</v>
      </c>
      <c r="H5" s="12" t="s">
        <v>281</v>
      </c>
      <c r="I5" s="12" t="s">
        <v>282</v>
      </c>
    </row>
    <row r="6" spans="1:9">
      <c r="A6">
        <v>2018</v>
      </c>
      <c r="B6" t="s">
        <v>24</v>
      </c>
      <c r="C6" s="12" t="s">
        <v>277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</row>
    <row r="7" spans="1:9">
      <c r="A7">
        <v>2018</v>
      </c>
      <c r="B7" t="s">
        <v>24</v>
      </c>
      <c r="C7" s="12" t="s">
        <v>278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</row>
    <row r="8" spans="1:9">
      <c r="A8">
        <v>2018</v>
      </c>
      <c r="B8" t="s">
        <v>24</v>
      </c>
      <c r="C8" s="12" t="s">
        <v>279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</row>
    <row r="9" spans="1:9">
      <c r="A9">
        <v>2018</v>
      </c>
      <c r="B9" t="s">
        <v>24</v>
      </c>
      <c r="C9" s="12" t="s">
        <v>280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</row>
    <row r="10" spans="1:9">
      <c r="A10">
        <v>2018</v>
      </c>
      <c r="B10" t="s">
        <v>24</v>
      </c>
      <c r="C10" s="12" t="s">
        <v>281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</row>
    <row r="11" spans="1:9">
      <c r="A11">
        <v>2018</v>
      </c>
      <c r="B11" t="s">
        <v>24</v>
      </c>
      <c r="C11" s="12" t="s">
        <v>282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</row>
    <row r="12" spans="1:9">
      <c r="A12">
        <v>2018</v>
      </c>
      <c r="B12" t="s">
        <v>24</v>
      </c>
      <c r="C12" s="12" t="s">
        <v>283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</row>
    <row r="13" spans="1:9">
      <c r="A13">
        <v>2018</v>
      </c>
      <c r="B13" t="s">
        <v>24</v>
      </c>
      <c r="C13" s="12" t="s">
        <v>509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</row>
    <row r="14" spans="1:9">
      <c r="A14">
        <v>2018</v>
      </c>
      <c r="B14" t="s">
        <v>24</v>
      </c>
      <c r="C14" s="12" t="s">
        <v>284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</row>
    <row r="15" spans="1:9">
      <c r="A15">
        <v>2018</v>
      </c>
      <c r="B15" t="s">
        <v>24</v>
      </c>
      <c r="C15" s="12" t="s">
        <v>285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</row>
    <row r="16" spans="1:9">
      <c r="A16">
        <v>2018</v>
      </c>
      <c r="B16" t="s">
        <v>24</v>
      </c>
      <c r="C16" s="12" t="s">
        <v>286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</row>
    <row r="17" spans="1:9">
      <c r="A17">
        <v>2018</v>
      </c>
      <c r="B17" t="s">
        <v>24</v>
      </c>
      <c r="C17" s="12" t="s">
        <v>287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</row>
    <row r="18" spans="1:9">
      <c r="A18">
        <v>2018</v>
      </c>
      <c r="B18" t="s">
        <v>24</v>
      </c>
      <c r="C18" s="12" t="s">
        <v>288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</row>
    <row r="19" spans="1:9">
      <c r="A19">
        <v>2018</v>
      </c>
      <c r="B19" t="s">
        <v>24</v>
      </c>
      <c r="C19" s="12" t="s">
        <v>289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</row>
    <row r="20" spans="1:9">
      <c r="C20" s="12"/>
    </row>
    <row r="21" spans="1:9">
      <c r="C21" s="12"/>
    </row>
    <row r="22" spans="1:9">
      <c r="C22" s="12"/>
    </row>
    <row r="23" spans="1:9">
      <c r="C23" s="12"/>
    </row>
    <row r="24" spans="1:9">
      <c r="C24" s="12"/>
    </row>
    <row r="25" spans="1:9">
      <c r="C25" s="12"/>
    </row>
    <row r="26" spans="1:9">
      <c r="C26" s="12"/>
    </row>
    <row r="27" spans="1:9">
      <c r="C27" s="12"/>
    </row>
    <row r="28" spans="1:9">
      <c r="C28" s="12"/>
    </row>
    <row r="29" spans="1:9">
      <c r="C29" s="12"/>
    </row>
    <row r="30" spans="1:9">
      <c r="C30" s="12"/>
    </row>
    <row r="31" spans="1:9">
      <c r="C31" s="12"/>
    </row>
    <row r="32" spans="1:9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2578125" defaultRowHeight="15"/>
  <cols>
    <col min="1" max="1" width="24.42578125" customWidth="1"/>
  </cols>
  <sheetData>
    <row r="1" spans="1:11">
      <c r="A1" t="s">
        <v>405</v>
      </c>
    </row>
    <row r="2" spans="1:11">
      <c r="A2" t="s">
        <v>66</v>
      </c>
    </row>
    <row r="3" spans="1:11">
      <c r="A3" t="s">
        <v>408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workbookViewId="0">
      <selection activeCell="L36" sqref="L36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4">
      <c r="A1" t="s">
        <v>406</v>
      </c>
    </row>
    <row r="2" spans="1:14">
      <c r="A2" t="s">
        <v>407</v>
      </c>
    </row>
    <row r="3" spans="1:14">
      <c r="A3" t="s">
        <v>408</v>
      </c>
    </row>
    <row r="4" spans="1:14">
      <c r="L4" s="49"/>
      <c r="M4" s="49"/>
      <c r="N4" s="49"/>
    </row>
    <row r="5" spans="1:14"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2578125" defaultRowHeight="15"/>
  <cols>
    <col min="1" max="2" width="25.42578125" customWidth="1"/>
    <col min="5" max="5" width="11.42578125" customWidth="1"/>
    <col min="10" max="11" width="11.42578125" customWidth="1"/>
  </cols>
  <sheetData>
    <row r="1" spans="1:10">
      <c r="A1" t="s">
        <v>409</v>
      </c>
    </row>
    <row r="2" spans="1:10">
      <c r="A2" t="s">
        <v>366</v>
      </c>
    </row>
    <row r="3" spans="1:10">
      <c r="A3" t="s">
        <v>408</v>
      </c>
    </row>
    <row r="5" spans="1:10">
      <c r="A5" t="s">
        <v>25</v>
      </c>
      <c r="B5" t="s">
        <v>353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312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347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348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349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350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351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465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C6" sqref="C6"/>
    </sheetView>
  </sheetViews>
  <sheetFormatPr defaultColWidth="11.42578125" defaultRowHeight="15"/>
  <cols>
    <col min="1" max="1" width="25.42578125" customWidth="1"/>
    <col min="4" max="4" width="11.42578125" customWidth="1"/>
    <col min="9" max="10" width="11.42578125" customWidth="1"/>
  </cols>
  <sheetData>
    <row r="1" spans="1:10">
      <c r="A1" t="s">
        <v>410</v>
      </c>
    </row>
    <row r="2" spans="1:10">
      <c r="A2" t="s">
        <v>67</v>
      </c>
    </row>
    <row r="3" spans="1:10">
      <c r="A3" t="s">
        <v>408</v>
      </c>
    </row>
    <row r="5" spans="1:10">
      <c r="A5" t="s">
        <v>20</v>
      </c>
      <c r="B5" t="s">
        <v>25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2" t="s">
        <v>277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12" t="s">
        <v>278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12" t="s">
        <v>279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12" t="s">
        <v>280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12" t="s">
        <v>281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12" t="s">
        <v>282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12" t="s">
        <v>283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12"/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topLeftCell="A59" zoomScale="90" zoomScaleNormal="90" zoomScalePageLayoutView="90" workbookViewId="0">
      <selection activeCell="Q85" sqref="Q85"/>
    </sheetView>
  </sheetViews>
  <sheetFormatPr defaultColWidth="11.42578125" defaultRowHeight="15"/>
  <cols>
    <col min="2" max="2" width="23.42578125" customWidth="1"/>
  </cols>
  <sheetData>
    <row r="1" spans="1:12">
      <c r="A1" t="s">
        <v>414</v>
      </c>
    </row>
    <row r="2" spans="1:12">
      <c r="A2" t="s">
        <v>7</v>
      </c>
    </row>
    <row r="3" spans="1:12">
      <c r="A3" t="s">
        <v>413</v>
      </c>
    </row>
    <row r="5" spans="1:12">
      <c r="E5">
        <v>2018</v>
      </c>
      <c r="F5">
        <v>2020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509</v>
      </c>
      <c r="B6" t="s">
        <v>108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509</v>
      </c>
      <c r="B7" t="s">
        <v>109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509</v>
      </c>
      <c r="B8" t="s">
        <v>110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509</v>
      </c>
      <c r="B9" s="2" t="s">
        <v>134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509</v>
      </c>
      <c r="B10" s="2" t="s">
        <v>130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509</v>
      </c>
      <c r="B11" s="2" t="s">
        <v>130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509</v>
      </c>
      <c r="B12" s="2" t="s">
        <v>131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509</v>
      </c>
      <c r="B13" s="2" t="s">
        <v>131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509</v>
      </c>
      <c r="B14" s="2" t="s">
        <v>59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509</v>
      </c>
      <c r="B15" t="s">
        <v>113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509</v>
      </c>
      <c r="B16" t="s">
        <v>114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509</v>
      </c>
      <c r="B17" t="s">
        <v>116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509</v>
      </c>
      <c r="B18" t="s">
        <v>161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509</v>
      </c>
      <c r="B19" t="s">
        <v>119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509</v>
      </c>
      <c r="B20" t="s">
        <v>120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509</v>
      </c>
      <c r="B21" t="s">
        <v>122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509</v>
      </c>
      <c r="B22" t="s">
        <v>160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509</v>
      </c>
      <c r="B23" t="s">
        <v>107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509</v>
      </c>
      <c r="B24" t="s">
        <v>106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509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509</v>
      </c>
      <c r="B26" t="s">
        <v>58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509</v>
      </c>
      <c r="B27" s="2" t="s">
        <v>62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509</v>
      </c>
      <c r="B28" s="2" t="s">
        <v>132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509</v>
      </c>
      <c r="B29" s="2" t="s">
        <v>63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509</v>
      </c>
      <c r="B30" s="2" t="s">
        <v>63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509</v>
      </c>
      <c r="B31" s="2" t="s">
        <v>128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509</v>
      </c>
      <c r="B32" s="2" t="s">
        <v>128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509</v>
      </c>
      <c r="B33" t="s">
        <v>198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509</v>
      </c>
      <c r="B34" t="s">
        <v>199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509</v>
      </c>
      <c r="B35" t="s">
        <v>224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509</v>
      </c>
      <c r="B36" t="s">
        <v>211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509</v>
      </c>
      <c r="B37" t="s">
        <v>207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509</v>
      </c>
      <c r="B38" t="s">
        <v>208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509</v>
      </c>
      <c r="B39" t="s">
        <v>209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509</v>
      </c>
      <c r="B40" t="s">
        <v>232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509</v>
      </c>
      <c r="B41" t="s">
        <v>225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509</v>
      </c>
      <c r="B42" t="s">
        <v>226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509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509</v>
      </c>
      <c r="B44" t="s">
        <v>219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509</v>
      </c>
      <c r="B45" t="s">
        <v>220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509</v>
      </c>
      <c r="B46" t="s">
        <v>221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509</v>
      </c>
      <c r="B47" t="s">
        <v>249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509</v>
      </c>
      <c r="B48" t="s">
        <v>227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509</v>
      </c>
      <c r="B49" t="s">
        <v>223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509</v>
      </c>
      <c r="B50" t="s">
        <v>230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509</v>
      </c>
      <c r="B51" t="s">
        <v>229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509</v>
      </c>
      <c r="B52" t="s">
        <v>231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509</v>
      </c>
      <c r="B53" t="s">
        <v>243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509</v>
      </c>
      <c r="B54" t="s">
        <v>243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509</v>
      </c>
      <c r="B55" t="s">
        <v>243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509</v>
      </c>
      <c r="B56" t="s">
        <v>243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509</v>
      </c>
      <c r="B57" t="s">
        <v>244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509</v>
      </c>
      <c r="B58" t="s">
        <v>248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509</v>
      </c>
      <c r="B59" t="s">
        <v>254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509</v>
      </c>
      <c r="B60" t="s">
        <v>254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509</v>
      </c>
      <c r="B61" t="s">
        <v>254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509</v>
      </c>
      <c r="B62" t="s">
        <v>254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509</v>
      </c>
      <c r="B63" t="s">
        <v>255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509</v>
      </c>
      <c r="B64" t="s">
        <v>267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509</v>
      </c>
      <c r="B65" t="s">
        <v>261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509</v>
      </c>
      <c r="B66" t="s">
        <v>262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509</v>
      </c>
      <c r="B67" t="s">
        <v>268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509</v>
      </c>
      <c r="B68" t="s">
        <v>259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509</v>
      </c>
      <c r="B69" t="s">
        <v>260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509</v>
      </c>
      <c r="B70" t="s">
        <v>263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509</v>
      </c>
      <c r="B71" t="s">
        <v>264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509</v>
      </c>
      <c r="B72" t="s">
        <v>256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509</v>
      </c>
      <c r="B73" t="s">
        <v>257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509</v>
      </c>
      <c r="B74" t="s">
        <v>258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509</v>
      </c>
      <c r="B75" t="s">
        <v>265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509</v>
      </c>
      <c r="B76" t="s">
        <v>266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509</v>
      </c>
      <c r="B77" t="s">
        <v>269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509</v>
      </c>
      <c r="B78" s="2" t="s">
        <v>344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509</v>
      </c>
      <c r="B79" s="2" t="s">
        <v>345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509</v>
      </c>
      <c r="B80" s="2" t="s">
        <v>346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509</v>
      </c>
      <c r="B81" t="s">
        <v>359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509</v>
      </c>
      <c r="B82" t="s">
        <v>360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509</v>
      </c>
      <c r="B83" t="s">
        <v>363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509</v>
      </c>
      <c r="B84" t="s">
        <v>362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509</v>
      </c>
      <c r="B85" t="s">
        <v>466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509</v>
      </c>
      <c r="B86" t="s">
        <v>108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509</v>
      </c>
      <c r="B87" t="s">
        <v>109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509</v>
      </c>
      <c r="B88" t="s">
        <v>472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509</v>
      </c>
      <c r="B89" t="s">
        <v>470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509</v>
      </c>
      <c r="B90" t="s">
        <v>474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509</v>
      </c>
      <c r="B91" t="s">
        <v>475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509</v>
      </c>
      <c r="B92" t="s">
        <v>467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509</v>
      </c>
      <c r="B93" t="s">
        <v>468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509</v>
      </c>
      <c r="B94" t="s">
        <v>469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509</v>
      </c>
      <c r="B95" t="s">
        <v>473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509</v>
      </c>
      <c r="B96" t="s">
        <v>471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509</v>
      </c>
      <c r="B97" t="s">
        <v>466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509</v>
      </c>
      <c r="B98" t="s">
        <v>108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509</v>
      </c>
      <c r="B99" t="s">
        <v>109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509</v>
      </c>
      <c r="B100" t="s">
        <v>472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509</v>
      </c>
      <c r="B101" t="s">
        <v>470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509</v>
      </c>
      <c r="B102" t="s">
        <v>474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509</v>
      </c>
      <c r="B103" t="s">
        <v>475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509</v>
      </c>
      <c r="B104" t="s">
        <v>467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509</v>
      </c>
      <c r="B105" t="s">
        <v>468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509</v>
      </c>
      <c r="B106" t="s">
        <v>469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509</v>
      </c>
      <c r="B107" t="s">
        <v>473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509</v>
      </c>
      <c r="B108" t="s">
        <v>471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509</v>
      </c>
      <c r="B109" t="s">
        <v>476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509</v>
      </c>
      <c r="B110" t="s">
        <v>476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509</v>
      </c>
      <c r="B111" t="s">
        <v>479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509</v>
      </c>
      <c r="B112" t="s">
        <v>481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509</v>
      </c>
      <c r="B113" t="s">
        <v>480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topLeftCell="A63" zoomScale="90" zoomScaleNormal="90" zoomScalePageLayoutView="90" workbookViewId="0">
      <selection activeCell="A86" sqref="A86:K101"/>
    </sheetView>
  </sheetViews>
  <sheetFormatPr defaultColWidth="11.42578125" defaultRowHeight="15"/>
  <cols>
    <col min="2" max="2" width="23.42578125" customWidth="1"/>
  </cols>
  <sheetData>
    <row r="1" spans="1:11">
      <c r="A1" t="s">
        <v>411</v>
      </c>
    </row>
    <row r="2" spans="1:11">
      <c r="A2" t="s">
        <v>367</v>
      </c>
    </row>
    <row r="3" spans="1:11">
      <c r="A3" t="s">
        <v>412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509</v>
      </c>
      <c r="B6" t="s">
        <v>108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509</v>
      </c>
      <c r="B7" t="s">
        <v>109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509</v>
      </c>
      <c r="B8" t="s">
        <v>110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509</v>
      </c>
      <c r="B9" s="2" t="s">
        <v>134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509</v>
      </c>
      <c r="B10" s="2" t="s">
        <v>130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509</v>
      </c>
      <c r="B11" s="2" t="s">
        <v>131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509</v>
      </c>
      <c r="B12" s="2" t="s">
        <v>59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509</v>
      </c>
      <c r="B13" t="s">
        <v>107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509</v>
      </c>
      <c r="B14" t="s">
        <v>106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509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509</v>
      </c>
      <c r="B16" t="s">
        <v>58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509</v>
      </c>
      <c r="B17" s="2" t="s">
        <v>62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509</v>
      </c>
      <c r="B18" s="2" t="s">
        <v>132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509</v>
      </c>
      <c r="B19" s="2" t="s">
        <v>63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509</v>
      </c>
      <c r="B20" s="2" t="s">
        <v>128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509</v>
      </c>
      <c r="B21" t="s">
        <v>198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509</v>
      </c>
      <c r="B22" t="s">
        <v>199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509</v>
      </c>
      <c r="B23" t="s">
        <v>224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509</v>
      </c>
      <c r="B24" t="s">
        <v>211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509</v>
      </c>
      <c r="B25" t="s">
        <v>206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509</v>
      </c>
      <c r="B26" t="s">
        <v>210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509</v>
      </c>
      <c r="B27" t="s">
        <v>207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509</v>
      </c>
      <c r="B28" t="s">
        <v>208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509</v>
      </c>
      <c r="B29" t="s">
        <v>209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509</v>
      </c>
      <c r="B30" t="s">
        <v>232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509</v>
      </c>
      <c r="B31" t="s">
        <v>233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509</v>
      </c>
      <c r="B32" t="s">
        <v>234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509</v>
      </c>
      <c r="B33" t="s">
        <v>235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509</v>
      </c>
      <c r="B34" t="s">
        <v>236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509</v>
      </c>
      <c r="B35" t="s">
        <v>215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509</v>
      </c>
      <c r="B36" t="s">
        <v>225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509</v>
      </c>
      <c r="B37" t="s">
        <v>226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509</v>
      </c>
      <c r="B38" t="s">
        <v>216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509</v>
      </c>
      <c r="B39" t="s">
        <v>217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509</v>
      </c>
      <c r="B40" t="s">
        <v>218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509</v>
      </c>
      <c r="B41" t="s">
        <v>219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509</v>
      </c>
      <c r="B42" t="s">
        <v>220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509</v>
      </c>
      <c r="B43" t="s">
        <v>221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509</v>
      </c>
      <c r="B44" t="s">
        <v>249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509</v>
      </c>
      <c r="B45" t="s">
        <v>237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509</v>
      </c>
      <c r="B46" t="s">
        <v>238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509</v>
      </c>
      <c r="B47" t="s">
        <v>239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509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509</v>
      </c>
      <c r="B49" t="s">
        <v>227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509</v>
      </c>
      <c r="B50" t="s">
        <v>223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509</v>
      </c>
      <c r="B51" t="s">
        <v>230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509</v>
      </c>
      <c r="B52" t="s">
        <v>228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509</v>
      </c>
      <c r="B53" t="s">
        <v>229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509</v>
      </c>
      <c r="B54" t="s">
        <v>240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509</v>
      </c>
      <c r="B55" t="s">
        <v>231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509</v>
      </c>
      <c r="B56" t="s">
        <v>243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509</v>
      </c>
      <c r="B57" t="s">
        <v>244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509</v>
      </c>
      <c r="B58" t="s">
        <v>245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509</v>
      </c>
      <c r="B59" t="s">
        <v>246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509</v>
      </c>
      <c r="B60" t="s">
        <v>247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509</v>
      </c>
      <c r="B61" t="s">
        <v>248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509</v>
      </c>
      <c r="B62" t="s">
        <v>254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509</v>
      </c>
      <c r="B63" t="s">
        <v>254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509</v>
      </c>
      <c r="B64" t="s">
        <v>254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509</v>
      </c>
      <c r="B65" t="s">
        <v>254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509</v>
      </c>
      <c r="B66" t="s">
        <v>255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509</v>
      </c>
      <c r="B67" t="s">
        <v>267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509</v>
      </c>
      <c r="B68" t="s">
        <v>261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509</v>
      </c>
      <c r="B69" t="s">
        <v>262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509</v>
      </c>
      <c r="B70" t="s">
        <v>268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509</v>
      </c>
      <c r="B71" t="s">
        <v>259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509</v>
      </c>
      <c r="B72" t="s">
        <v>260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509</v>
      </c>
      <c r="B73" t="s">
        <v>263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509</v>
      </c>
      <c r="B74" t="s">
        <v>264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509</v>
      </c>
      <c r="B75" t="s">
        <v>256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509</v>
      </c>
      <c r="B76" t="s">
        <v>257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509</v>
      </c>
      <c r="B77" t="s">
        <v>258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509</v>
      </c>
      <c r="B78" t="s">
        <v>265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509</v>
      </c>
      <c r="B79" t="s">
        <v>266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509</v>
      </c>
      <c r="B80" t="s">
        <v>269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509</v>
      </c>
      <c r="B81" s="2" t="s">
        <v>344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509</v>
      </c>
      <c r="B82" s="2" t="s">
        <v>345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509</v>
      </c>
      <c r="B83" s="2" t="s">
        <v>346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509</v>
      </c>
      <c r="B84" t="s">
        <v>359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509</v>
      </c>
      <c r="B85" t="s">
        <v>360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509</v>
      </c>
      <c r="B86" t="s">
        <v>466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509</v>
      </c>
      <c r="B87" t="s">
        <v>108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509</v>
      </c>
      <c r="B88" t="s">
        <v>109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509</v>
      </c>
      <c r="B89" t="s">
        <v>472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509</v>
      </c>
      <c r="B90" t="s">
        <v>470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509</v>
      </c>
      <c r="B91" t="s">
        <v>474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509</v>
      </c>
      <c r="B92" t="s">
        <v>475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509</v>
      </c>
      <c r="B93" t="s">
        <v>467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509</v>
      </c>
      <c r="B94" t="s">
        <v>468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509</v>
      </c>
      <c r="B95" t="s">
        <v>469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509</v>
      </c>
      <c r="B96" t="s">
        <v>473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509</v>
      </c>
      <c r="B97" t="s">
        <v>471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509</v>
      </c>
      <c r="B98" t="s">
        <v>476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509</v>
      </c>
      <c r="B99" t="s">
        <v>479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509</v>
      </c>
      <c r="B100" t="s">
        <v>481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509</v>
      </c>
      <c r="B101" t="s">
        <v>480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B18" sqref="B18"/>
    </sheetView>
  </sheetViews>
  <sheetFormatPr defaultColWidth="11.42578125" defaultRowHeight="15"/>
  <cols>
    <col min="1" max="1" width="17.5703125" customWidth="1"/>
  </cols>
  <sheetData>
    <row r="1" spans="1:3">
      <c r="A1" t="s">
        <v>416</v>
      </c>
    </row>
    <row r="2" spans="1:3">
      <c r="A2" t="s">
        <v>368</v>
      </c>
    </row>
    <row r="3" spans="1:3">
      <c r="A3" t="s">
        <v>417</v>
      </c>
    </row>
    <row r="5" spans="1:3">
      <c r="A5" t="s">
        <v>156</v>
      </c>
      <c r="B5" t="s">
        <v>0</v>
      </c>
      <c r="C5">
        <f>0.0946</f>
        <v>9.4600000000000004E-2</v>
      </c>
    </row>
    <row r="6" spans="1:3">
      <c r="A6" t="s">
        <v>157</v>
      </c>
      <c r="B6" t="s">
        <v>0</v>
      </c>
      <c r="C6">
        <f>101000/1000000</f>
        <v>0.10100000000000001</v>
      </c>
    </row>
    <row r="7" spans="1:3">
      <c r="A7" t="s">
        <v>202</v>
      </c>
      <c r="B7" t="s">
        <v>0</v>
      </c>
      <c r="C7">
        <f>0.0561</f>
        <v>5.6099999999999997E-2</v>
      </c>
    </row>
    <row r="8" spans="1:3">
      <c r="A8" t="s">
        <v>143</v>
      </c>
      <c r="B8" t="s">
        <v>0</v>
      </c>
      <c r="C8">
        <f>73300/1000000</f>
        <v>7.3300000000000004E-2</v>
      </c>
    </row>
    <row r="9" spans="1:3">
      <c r="A9" t="s">
        <v>146</v>
      </c>
      <c r="B9" t="s">
        <v>0</v>
      </c>
      <c r="C9">
        <v>0.11</v>
      </c>
    </row>
    <row r="10" spans="1:3">
      <c r="A10" t="s">
        <v>271</v>
      </c>
      <c r="B10" t="s">
        <v>0</v>
      </c>
      <c r="C10">
        <v>1</v>
      </c>
    </row>
    <row r="11" spans="1:3">
      <c r="A11" t="s">
        <v>340</v>
      </c>
      <c r="B11" t="s">
        <v>0</v>
      </c>
      <c r="C11">
        <f>C7</f>
        <v>5.6099999999999997E-2</v>
      </c>
    </row>
    <row r="12" spans="1:3">
      <c r="A12" t="s">
        <v>364</v>
      </c>
      <c r="B12" t="s">
        <v>0</v>
      </c>
      <c r="C12">
        <v>1</v>
      </c>
    </row>
    <row r="13" spans="1:3">
      <c r="A13" t="s">
        <v>365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B53" sqref="B53"/>
    </sheetView>
  </sheetViews>
  <sheetFormatPr defaultColWidth="11.42578125" defaultRowHeight="15"/>
  <cols>
    <col min="1" max="1" width="42.42578125" customWidth="1"/>
    <col min="2" max="2" width="21.42578125" customWidth="1"/>
    <col min="3" max="3" width="17.42578125" customWidth="1"/>
    <col min="4" max="4" width="20.42578125" customWidth="1"/>
    <col min="5" max="5" width="17.42578125" customWidth="1"/>
    <col min="6" max="6" width="20.42578125" customWidth="1"/>
    <col min="7" max="7" width="17.42578125" customWidth="1"/>
    <col min="8" max="8" width="20.42578125" customWidth="1"/>
    <col min="9" max="9" width="17.42578125" customWidth="1"/>
    <col min="10" max="10" width="20.42578125" customWidth="1"/>
    <col min="11" max="11" width="5" customWidth="1"/>
    <col min="12" max="12" width="23.42578125" customWidth="1"/>
    <col min="13" max="14" width="16.42578125" customWidth="1"/>
    <col min="15" max="15" width="13.42578125" customWidth="1"/>
  </cols>
  <sheetData>
    <row r="1" spans="1:10">
      <c r="A1" t="s">
        <v>419</v>
      </c>
    </row>
    <row r="2" spans="1:10">
      <c r="A2" t="s">
        <v>8</v>
      </c>
      <c r="B2" s="24"/>
    </row>
    <row r="3" spans="1:10">
      <c r="A3" t="s">
        <v>418</v>
      </c>
    </row>
    <row r="5" spans="1:10"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278</v>
      </c>
      <c r="B6" t="s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1800</v>
      </c>
    </row>
    <row r="7" spans="1:10">
      <c r="A7" t="s">
        <v>280</v>
      </c>
      <c r="B7" t="s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1800</v>
      </c>
    </row>
    <row r="8" spans="1:10">
      <c r="A8" t="s">
        <v>281</v>
      </c>
      <c r="B8" t="s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1800</v>
      </c>
    </row>
    <row r="9" spans="1:10">
      <c r="A9" t="s">
        <v>282</v>
      </c>
      <c r="B9" t="s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1800</v>
      </c>
    </row>
    <row r="10" spans="1:10">
      <c r="A10" t="s">
        <v>283</v>
      </c>
      <c r="B10" t="s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1800</v>
      </c>
    </row>
    <row r="11" spans="1:10">
      <c r="A11" t="s">
        <v>509</v>
      </c>
      <c r="B11" t="s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1800</v>
      </c>
    </row>
    <row r="12" spans="1:10">
      <c r="A12" t="s">
        <v>284</v>
      </c>
      <c r="B12" t="s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1800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12"/>
  <sheetViews>
    <sheetView zoomScale="90" zoomScaleNormal="90" zoomScalePageLayoutView="90" workbookViewId="0">
      <selection activeCell="C10" sqref="C10"/>
    </sheetView>
  </sheetViews>
  <sheetFormatPr defaultColWidth="11.42578125" defaultRowHeight="15"/>
  <cols>
    <col min="1" max="1" width="17.42578125" customWidth="1"/>
    <col min="2" max="2" width="25.42578125" customWidth="1"/>
    <col min="3" max="3" width="21.42578125" customWidth="1"/>
    <col min="6" max="13" width="13.42578125" customWidth="1"/>
  </cols>
  <sheetData>
    <row r="1" spans="1:10">
      <c r="A1" t="s">
        <v>422</v>
      </c>
    </row>
    <row r="2" spans="1:10">
      <c r="A2" t="s">
        <v>369</v>
      </c>
    </row>
    <row r="3" spans="1:10">
      <c r="A3" t="s">
        <v>421</v>
      </c>
    </row>
    <row r="5" spans="1:10">
      <c r="A5" t="s">
        <v>20</v>
      </c>
      <c r="B5" t="s">
        <v>21</v>
      </c>
      <c r="C5">
        <v>2018</v>
      </c>
      <c r="D5">
        <v>2021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509</v>
      </c>
      <c r="B6" t="s">
        <v>214</v>
      </c>
      <c r="C6" s="56">
        <v>0</v>
      </c>
      <c r="D6" s="56">
        <v>0</v>
      </c>
      <c r="E6" s="16">
        <v>671.46540039656838</v>
      </c>
      <c r="F6" s="16">
        <v>620.70097023424614</v>
      </c>
      <c r="G6" s="16">
        <v>565.44756173938606</v>
      </c>
      <c r="H6" s="16">
        <v>507.595309056019</v>
      </c>
      <c r="I6" s="16">
        <v>459.46983234054795</v>
      </c>
      <c r="J6" s="16">
        <v>420.72265332199174</v>
      </c>
    </row>
    <row r="7" spans="1:10">
      <c r="A7" t="s">
        <v>509</v>
      </c>
      <c r="B7" t="s">
        <v>212</v>
      </c>
      <c r="C7" s="57">
        <v>0.43559999999999999</v>
      </c>
      <c r="D7" s="57">
        <v>0.43559999999999999</v>
      </c>
      <c r="E7" s="16">
        <v>204.19076757784921</v>
      </c>
      <c r="F7" s="16">
        <v>197.2432470512575</v>
      </c>
      <c r="G7" s="16">
        <v>190.58558705498339</v>
      </c>
      <c r="H7" s="16">
        <v>182.15113638089122</v>
      </c>
      <c r="I7" s="16">
        <v>175.7349920917888</v>
      </c>
      <c r="J7" s="16">
        <v>173.22253920500333</v>
      </c>
    </row>
    <row r="8" spans="1:10">
      <c r="A8" t="s">
        <v>509</v>
      </c>
      <c r="B8" t="s">
        <v>276</v>
      </c>
      <c r="C8" s="57">
        <v>0.29520000000000002</v>
      </c>
      <c r="D8" s="57">
        <v>0.4572</v>
      </c>
      <c r="E8" s="16">
        <v>2041.0415070597842</v>
      </c>
      <c r="F8" s="16">
        <v>1868.1565806642948</v>
      </c>
      <c r="G8" s="16">
        <v>1674.4470207418146</v>
      </c>
      <c r="H8" s="16">
        <v>1588.6523141441498</v>
      </c>
      <c r="I8" s="16">
        <v>1498.1991066345477</v>
      </c>
      <c r="J8" s="16">
        <v>1399.7115964251172</v>
      </c>
    </row>
    <row r="9" spans="1:10">
      <c r="A9" t="s">
        <v>509</v>
      </c>
      <c r="B9" t="s">
        <v>213</v>
      </c>
      <c r="C9" s="56">
        <v>0</v>
      </c>
      <c r="D9" s="56">
        <v>0</v>
      </c>
      <c r="E9" s="16">
        <v>482.73292134738233</v>
      </c>
      <c r="F9" s="16">
        <v>463.23519262975384</v>
      </c>
      <c r="G9" s="16">
        <v>442.06771917932667</v>
      </c>
      <c r="H9" s="16">
        <v>418.90062440203366</v>
      </c>
      <c r="I9" s="16">
        <v>397.75165685471285</v>
      </c>
      <c r="J9" s="16">
        <v>376.03240429325973</v>
      </c>
    </row>
    <row r="10" spans="1:10">
      <c r="A10" t="s">
        <v>509</v>
      </c>
      <c r="B10" t="s">
        <v>150</v>
      </c>
      <c r="C10" s="58"/>
      <c r="D10" s="58"/>
      <c r="E10" s="16">
        <v>727.92797810488605</v>
      </c>
      <c r="F10" s="16">
        <v>749.76581744803286</v>
      </c>
      <c r="G10" s="16">
        <v>772.25879197147344</v>
      </c>
      <c r="H10" s="16">
        <v>795.42655573061813</v>
      </c>
      <c r="I10" s="16">
        <v>819.28935240253657</v>
      </c>
      <c r="J10" s="16">
        <v>843.86803297461256</v>
      </c>
    </row>
    <row r="11" spans="1:10">
      <c r="A11" t="s">
        <v>509</v>
      </c>
      <c r="B11" t="s">
        <v>151</v>
      </c>
      <c r="C11" s="58"/>
      <c r="D11" s="58"/>
      <c r="E11" s="16">
        <v>1094.0107936000004</v>
      </c>
      <c r="F11" s="16">
        <v>1088.5407396320004</v>
      </c>
      <c r="G11" s="16">
        <v>1083.09803593384</v>
      </c>
      <c r="H11" s="16">
        <v>1077.6825457541711</v>
      </c>
      <c r="I11" s="16">
        <v>1072.2941330253998</v>
      </c>
      <c r="J11" s="16">
        <v>1066.9326623602738</v>
      </c>
    </row>
    <row r="12" spans="1:10">
      <c r="A12" t="s">
        <v>509</v>
      </c>
      <c r="B12" t="s">
        <v>24</v>
      </c>
      <c r="C12" s="57">
        <v>6.1338780000000002</v>
      </c>
      <c r="D12" s="57">
        <v>5.9795999999999996</v>
      </c>
      <c r="E12" s="16">
        <v>1746.4590454920531</v>
      </c>
      <c r="F12" s="16">
        <v>1727.6264550371327</v>
      </c>
      <c r="G12" s="16">
        <v>1708.9821904867615</v>
      </c>
      <c r="H12" s="16">
        <v>1690.5243685818939</v>
      </c>
      <c r="I12" s="16">
        <v>1672.2511248960752</v>
      </c>
      <c r="J12" s="16">
        <v>1654.1606136471146</v>
      </c>
    </row>
  </sheetData>
  <autoFilter ref="A5:BH12" xr:uid="{00000000-0009-0000-0000-000015000000}">
    <sortState xmlns:xlrd2="http://schemas.microsoft.com/office/spreadsheetml/2017/richdata2" ref="A6:BH12">
      <sortCondition ref="B5"/>
    </sortState>
  </autoFilter>
  <conditionalFormatting sqref="A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C21" sqref="C21"/>
    </sheetView>
  </sheetViews>
  <sheetFormatPr defaultColWidth="11.42578125" defaultRowHeight="15"/>
  <cols>
    <col min="1" max="1" width="17.42578125" customWidth="1"/>
  </cols>
  <sheetData>
    <row r="1" spans="1:9">
      <c r="A1" t="s">
        <v>424</v>
      </c>
    </row>
    <row r="2" spans="1:9">
      <c r="A2" t="s">
        <v>370</v>
      </c>
    </row>
    <row r="3" spans="1:9">
      <c r="A3" t="s">
        <v>423</v>
      </c>
    </row>
    <row r="5" spans="1:9">
      <c r="A5" t="s">
        <v>20</v>
      </c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12" t="s">
        <v>277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12" t="s">
        <v>278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12" t="s">
        <v>279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12" t="s">
        <v>280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12" t="s">
        <v>281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12" t="s">
        <v>282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12" t="s">
        <v>283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12"/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2578125" defaultRowHeight="15"/>
  <cols>
    <col min="1" max="1" width="15.140625" customWidth="1"/>
  </cols>
  <sheetData>
    <row r="1" spans="1:10">
      <c r="A1" t="s">
        <v>425</v>
      </c>
    </row>
    <row r="2" spans="1:10">
      <c r="A2" t="s">
        <v>9</v>
      </c>
    </row>
    <row r="3" spans="1:10">
      <c r="A3" t="s">
        <v>412</v>
      </c>
    </row>
    <row r="5" spans="1:10">
      <c r="A5" t="s">
        <v>20</v>
      </c>
      <c r="B5" t="s">
        <v>21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509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2578125" defaultRowHeight="15"/>
  <cols>
    <col min="2" max="2" width="28.140625" customWidth="1"/>
  </cols>
  <sheetData>
    <row r="1" spans="1:10">
      <c r="A1" t="s">
        <v>426</v>
      </c>
    </row>
    <row r="2" spans="1:10">
      <c r="A2" t="s">
        <v>10</v>
      </c>
    </row>
    <row r="3" spans="1:10" ht="15.75" customHeight="1">
      <c r="A3" t="s">
        <v>413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509</v>
      </c>
      <c r="B6" t="s">
        <v>140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509</v>
      </c>
      <c r="B7" t="s">
        <v>141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509</v>
      </c>
      <c r="B8" t="s">
        <v>139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509</v>
      </c>
      <c r="B9" t="s">
        <v>196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509</v>
      </c>
      <c r="B10" t="s">
        <v>58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509</v>
      </c>
      <c r="B11" t="s">
        <v>126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509</v>
      </c>
      <c r="B12" t="s">
        <v>258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509</v>
      </c>
      <c r="B13" t="s">
        <v>102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509</v>
      </c>
      <c r="B14" t="s">
        <v>357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509</v>
      </c>
      <c r="B15" t="s">
        <v>479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509</v>
      </c>
      <c r="B16" t="s">
        <v>480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509</v>
      </c>
      <c r="B17" t="s">
        <v>481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509</v>
      </c>
      <c r="B18" t="s">
        <v>470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509</v>
      </c>
      <c r="B19" t="s">
        <v>471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509</v>
      </c>
      <c r="B20" t="s">
        <v>472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509</v>
      </c>
      <c r="B21" t="s">
        <v>473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509</v>
      </c>
      <c r="B22" t="s">
        <v>474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509</v>
      </c>
      <c r="B23" t="s">
        <v>475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509</v>
      </c>
      <c r="B24" t="s">
        <v>476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171" workbookViewId="0">
      <selection activeCell="A181" sqref="A181:L200"/>
    </sheetView>
  </sheetViews>
  <sheetFormatPr defaultColWidth="11.42578125" defaultRowHeight="15"/>
  <cols>
    <col min="1" max="1" width="22.42578125" style="6" customWidth="1"/>
    <col min="2" max="2" width="27.85546875" style="6" bestFit="1" customWidth="1"/>
    <col min="3" max="3" width="24.42578125" style="6" customWidth="1"/>
    <col min="4" max="4" width="19.5703125" style="6" bestFit="1" customWidth="1"/>
    <col min="5" max="5" width="12.42578125" style="6" bestFit="1" customWidth="1"/>
    <col min="6" max="12" width="11.42578125" style="6"/>
    <col min="13" max="13" width="3.42578125" style="6" customWidth="1"/>
    <col min="14" max="16384" width="11.42578125" style="6"/>
  </cols>
  <sheetData>
    <row r="1" spans="1:18">
      <c r="A1" t="s">
        <v>427</v>
      </c>
    </row>
    <row r="2" spans="1:18">
      <c r="A2" t="s">
        <v>372</v>
      </c>
    </row>
    <row r="3" spans="1:18">
      <c r="A3" t="s">
        <v>413</v>
      </c>
    </row>
    <row r="5" spans="1:18">
      <c r="A5" t="s">
        <v>20</v>
      </c>
      <c r="B5" t="s">
        <v>26</v>
      </c>
      <c r="C5" t="s">
        <v>21</v>
      </c>
      <c r="D5" t="s">
        <v>371</v>
      </c>
      <c r="E5" s="25">
        <v>2018</v>
      </c>
      <c r="F5" s="25">
        <v>2020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509</v>
      </c>
      <c r="B6" t="s">
        <v>198</v>
      </c>
      <c r="C6" t="s">
        <v>146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509</v>
      </c>
      <c r="B7" s="6" t="s">
        <v>466</v>
      </c>
      <c r="C7" s="6" t="s">
        <v>146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482</v>
      </c>
      <c r="Q7" s="6" t="s">
        <v>483</v>
      </c>
    </row>
    <row r="8" spans="1:18">
      <c r="A8" t="s">
        <v>509</v>
      </c>
      <c r="B8" s="6" t="s">
        <v>466</v>
      </c>
      <c r="C8" s="6" t="s">
        <v>146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482</v>
      </c>
      <c r="Q8" s="6" t="s">
        <v>485</v>
      </c>
    </row>
    <row r="9" spans="1:18">
      <c r="A9" t="s">
        <v>509</v>
      </c>
      <c r="B9" s="6" t="s">
        <v>467</v>
      </c>
      <c r="C9" s="6" t="s">
        <v>146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482</v>
      </c>
      <c r="Q9" s="6" t="s">
        <v>483</v>
      </c>
      <c r="R9" s="6" t="s">
        <v>484</v>
      </c>
    </row>
    <row r="10" spans="1:18">
      <c r="A10" t="s">
        <v>509</v>
      </c>
      <c r="B10" s="6" t="s">
        <v>467</v>
      </c>
      <c r="C10" s="6" t="s">
        <v>146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482</v>
      </c>
      <c r="Q10" s="6" t="s">
        <v>485</v>
      </c>
      <c r="R10" s="6" t="s">
        <v>484</v>
      </c>
    </row>
    <row r="11" spans="1:18">
      <c r="A11" t="s">
        <v>509</v>
      </c>
      <c r="B11" s="6" t="s">
        <v>108</v>
      </c>
      <c r="C11" s="6" t="s">
        <v>156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482</v>
      </c>
      <c r="Q11" s="6" t="s">
        <v>483</v>
      </c>
    </row>
    <row r="12" spans="1:18">
      <c r="A12" t="s">
        <v>509</v>
      </c>
      <c r="B12" s="6" t="s">
        <v>108</v>
      </c>
      <c r="C12" s="6" t="s">
        <v>156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482</v>
      </c>
      <c r="Q12" s="6" t="s">
        <v>485</v>
      </c>
    </row>
    <row r="13" spans="1:18">
      <c r="A13" t="s">
        <v>509</v>
      </c>
      <c r="B13" s="6" t="s">
        <v>468</v>
      </c>
      <c r="C13" s="6" t="s">
        <v>156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482</v>
      </c>
      <c r="Q13" s="6" t="s">
        <v>483</v>
      </c>
      <c r="R13" s="6" t="s">
        <v>484</v>
      </c>
    </row>
    <row r="14" spans="1:18">
      <c r="A14" t="s">
        <v>509</v>
      </c>
      <c r="B14" s="6" t="s">
        <v>468</v>
      </c>
      <c r="C14" s="6" t="s">
        <v>156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482</v>
      </c>
      <c r="Q14" s="6" t="s">
        <v>485</v>
      </c>
      <c r="R14" s="6" t="s">
        <v>484</v>
      </c>
    </row>
    <row r="15" spans="1:18">
      <c r="A15" t="s">
        <v>509</v>
      </c>
      <c r="B15" s="6" t="s">
        <v>109</v>
      </c>
      <c r="C15" s="6" t="s">
        <v>157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482</v>
      </c>
      <c r="Q15" s="6" t="s">
        <v>483</v>
      </c>
    </row>
    <row r="16" spans="1:18">
      <c r="A16" t="s">
        <v>509</v>
      </c>
      <c r="B16" s="6" t="s">
        <v>109</v>
      </c>
      <c r="C16" s="6" t="s">
        <v>157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482</v>
      </c>
      <c r="Q16" s="6" t="s">
        <v>485</v>
      </c>
    </row>
    <row r="17" spans="1:18">
      <c r="A17" t="s">
        <v>509</v>
      </c>
      <c r="B17" s="6" t="s">
        <v>469</v>
      </c>
      <c r="C17" s="6" t="s">
        <v>157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482</v>
      </c>
      <c r="Q17" s="6" t="s">
        <v>483</v>
      </c>
      <c r="R17" s="6" t="s">
        <v>484</v>
      </c>
    </row>
    <row r="18" spans="1:18">
      <c r="A18" t="s">
        <v>509</v>
      </c>
      <c r="B18" s="6" t="s">
        <v>469</v>
      </c>
      <c r="C18" s="6" t="s">
        <v>157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482</v>
      </c>
      <c r="Q18" s="6" t="s">
        <v>485</v>
      </c>
      <c r="R18" s="6" t="s">
        <v>484</v>
      </c>
    </row>
    <row r="19" spans="1:18">
      <c r="A19" t="s">
        <v>509</v>
      </c>
      <c r="B19" t="s">
        <v>110</v>
      </c>
      <c r="C19" t="s">
        <v>203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509</v>
      </c>
      <c r="B20" t="s">
        <v>110</v>
      </c>
      <c r="C20" s="6" t="s">
        <v>204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509</v>
      </c>
      <c r="B21" s="6" t="s">
        <v>470</v>
      </c>
      <c r="C21" s="6" t="s">
        <v>203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482</v>
      </c>
      <c r="Q21" s="6" t="s">
        <v>483</v>
      </c>
    </row>
    <row r="22" spans="1:18">
      <c r="A22" t="s">
        <v>509</v>
      </c>
      <c r="B22" s="6" t="s">
        <v>470</v>
      </c>
      <c r="C22" s="6" t="s">
        <v>203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482</v>
      </c>
      <c r="Q22" s="6" t="s">
        <v>485</v>
      </c>
    </row>
    <row r="23" spans="1:18">
      <c r="A23" t="s">
        <v>509</v>
      </c>
      <c r="B23" s="6" t="s">
        <v>471</v>
      </c>
      <c r="C23" s="6" t="s">
        <v>203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482</v>
      </c>
      <c r="Q23" s="6" t="s">
        <v>483</v>
      </c>
      <c r="R23" s="6" t="s">
        <v>484</v>
      </c>
    </row>
    <row r="24" spans="1:18">
      <c r="A24" t="s">
        <v>509</v>
      </c>
      <c r="B24" s="6" t="s">
        <v>471</v>
      </c>
      <c r="C24" s="6" t="s">
        <v>203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482</v>
      </c>
      <c r="Q24" s="6" t="s">
        <v>485</v>
      </c>
      <c r="R24" s="6" t="s">
        <v>484</v>
      </c>
    </row>
    <row r="25" spans="1:18">
      <c r="A25" t="s">
        <v>509</v>
      </c>
      <c r="B25" s="6" t="s">
        <v>472</v>
      </c>
      <c r="C25" s="6" t="s">
        <v>202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482</v>
      </c>
      <c r="Q25" s="6" t="s">
        <v>483</v>
      </c>
    </row>
    <row r="26" spans="1:18">
      <c r="A26" t="s">
        <v>509</v>
      </c>
      <c r="B26" s="6" t="s">
        <v>472</v>
      </c>
      <c r="C26" s="6" t="s">
        <v>202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482</v>
      </c>
      <c r="Q26" s="6" t="s">
        <v>485</v>
      </c>
    </row>
    <row r="27" spans="1:18">
      <c r="A27" t="s">
        <v>509</v>
      </c>
      <c r="B27" s="6" t="s">
        <v>473</v>
      </c>
      <c r="C27" s="6" t="s">
        <v>202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482</v>
      </c>
      <c r="Q27" s="6" t="s">
        <v>483</v>
      </c>
      <c r="R27" s="6" t="s">
        <v>484</v>
      </c>
    </row>
    <row r="28" spans="1:18">
      <c r="A28" t="s">
        <v>509</v>
      </c>
      <c r="B28" s="6" t="s">
        <v>473</v>
      </c>
      <c r="C28" s="6" t="s">
        <v>202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482</v>
      </c>
      <c r="Q28" s="6" t="s">
        <v>485</v>
      </c>
      <c r="R28" s="6" t="s">
        <v>484</v>
      </c>
    </row>
    <row r="29" spans="1:18">
      <c r="A29" t="s">
        <v>509</v>
      </c>
      <c r="B29" s="6" t="s">
        <v>474</v>
      </c>
      <c r="C29" s="6" t="s">
        <v>204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482</v>
      </c>
      <c r="Q29" s="6" t="s">
        <v>483</v>
      </c>
    </row>
    <row r="30" spans="1:18">
      <c r="A30" t="s">
        <v>509</v>
      </c>
      <c r="B30" s="6" t="s">
        <v>474</v>
      </c>
      <c r="C30" s="6" t="s">
        <v>204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482</v>
      </c>
      <c r="Q30" s="6" t="s">
        <v>485</v>
      </c>
    </row>
    <row r="31" spans="1:18">
      <c r="A31" t="s">
        <v>509</v>
      </c>
      <c r="B31" s="6" t="s">
        <v>475</v>
      </c>
      <c r="C31" s="6" t="s">
        <v>145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486</v>
      </c>
      <c r="Q31" s="6" t="s">
        <v>485</v>
      </c>
    </row>
    <row r="32" spans="1:18">
      <c r="A32" t="s">
        <v>509</v>
      </c>
      <c r="B32" s="6" t="s">
        <v>476</v>
      </c>
      <c r="C32" s="6" t="s">
        <v>143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487</v>
      </c>
    </row>
    <row r="33" spans="1:16">
      <c r="A33" t="s">
        <v>509</v>
      </c>
      <c r="B33" s="6" t="s">
        <v>476</v>
      </c>
      <c r="C33" s="6" t="s">
        <v>143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487</v>
      </c>
    </row>
    <row r="34" spans="1:16">
      <c r="A34" t="s">
        <v>509</v>
      </c>
      <c r="B34" s="6" t="s">
        <v>140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509</v>
      </c>
      <c r="B35" s="6" t="s">
        <v>141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509</v>
      </c>
      <c r="B36" s="6" t="s">
        <v>196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509</v>
      </c>
      <c r="B37" s="6" t="s">
        <v>152</v>
      </c>
      <c r="C37" s="6" t="s">
        <v>145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509</v>
      </c>
      <c r="B38" s="6" t="s">
        <v>153</v>
      </c>
      <c r="C38" t="s">
        <v>202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509</v>
      </c>
      <c r="B39" t="s">
        <v>250</v>
      </c>
      <c r="C39" t="s">
        <v>212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509</v>
      </c>
      <c r="B40" t="s">
        <v>252</v>
      </c>
      <c r="C40" t="s">
        <v>276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509</v>
      </c>
      <c r="B41" t="s">
        <v>139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509</v>
      </c>
      <c r="B42" s="6" t="s">
        <v>142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509</v>
      </c>
      <c r="B43" s="13" t="s">
        <v>134</v>
      </c>
      <c r="C43" s="6" t="s">
        <v>143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509</v>
      </c>
      <c r="B44" s="13" t="s">
        <v>134</v>
      </c>
      <c r="C44" s="6" t="s">
        <v>275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509</v>
      </c>
      <c r="B45" s="13" t="s">
        <v>134</v>
      </c>
      <c r="C45" s="6" t="s">
        <v>327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509</v>
      </c>
      <c r="B46" s="13" t="s">
        <v>135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509</v>
      </c>
      <c r="B47" s="13" t="s">
        <v>129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509</v>
      </c>
      <c r="B48" s="13" t="s">
        <v>61</v>
      </c>
      <c r="C48" t="s">
        <v>145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509</v>
      </c>
      <c r="B49" s="13" t="s">
        <v>130</v>
      </c>
      <c r="C49" s="6" t="s">
        <v>143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509</v>
      </c>
      <c r="B50" s="13" t="s">
        <v>130</v>
      </c>
      <c r="C50" s="6" t="s">
        <v>275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509</v>
      </c>
      <c r="B51" s="13" t="s">
        <v>130</v>
      </c>
      <c r="C51" s="6" t="s">
        <v>327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509</v>
      </c>
      <c r="B52" s="2" t="s">
        <v>344</v>
      </c>
      <c r="C52" t="s">
        <v>340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509</v>
      </c>
      <c r="B53" s="13" t="s">
        <v>181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509</v>
      </c>
      <c r="B54" s="13" t="s">
        <v>131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509</v>
      </c>
      <c r="B55" s="13" t="s">
        <v>131</v>
      </c>
      <c r="C55" t="s">
        <v>143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509</v>
      </c>
      <c r="B56" s="13" t="s">
        <v>131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509</v>
      </c>
      <c r="B57" s="6" t="s">
        <v>131</v>
      </c>
      <c r="C57" s="6" t="s">
        <v>275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509</v>
      </c>
      <c r="B58" s="6" t="s">
        <v>131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509</v>
      </c>
      <c r="B59" s="6" t="s">
        <v>131</v>
      </c>
      <c r="C59" s="6" t="s">
        <v>327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509</v>
      </c>
      <c r="B60" s="6" t="s">
        <v>60</v>
      </c>
      <c r="C60" s="6" t="s">
        <v>275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509</v>
      </c>
      <c r="B61" s="6" t="s">
        <v>59</v>
      </c>
      <c r="C61" t="s">
        <v>143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509</v>
      </c>
      <c r="B62" s="6" t="s">
        <v>59</v>
      </c>
      <c r="C62" s="6" t="s">
        <v>327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509</v>
      </c>
      <c r="B63" s="2" t="s">
        <v>345</v>
      </c>
      <c r="C63" t="s">
        <v>340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509</v>
      </c>
      <c r="B64" t="s">
        <v>243</v>
      </c>
      <c r="C64" t="s">
        <v>156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509</v>
      </c>
      <c r="B65" t="s">
        <v>243</v>
      </c>
      <c r="C65" t="s">
        <v>156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509</v>
      </c>
      <c r="B66" t="s">
        <v>243</v>
      </c>
      <c r="C66" t="s">
        <v>202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509</v>
      </c>
      <c r="B67" t="s">
        <v>243</v>
      </c>
      <c r="C67" s="6" t="s">
        <v>156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509</v>
      </c>
      <c r="B68" t="s">
        <v>243</v>
      </c>
      <c r="C68" t="s">
        <v>204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509</v>
      </c>
      <c r="B69" t="s">
        <v>243</v>
      </c>
      <c r="C69" s="6" t="s">
        <v>156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509</v>
      </c>
      <c r="B70" t="s">
        <v>243</v>
      </c>
      <c r="C70" t="s">
        <v>203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509</v>
      </c>
      <c r="B71" t="s">
        <v>254</v>
      </c>
      <c r="C71" t="s">
        <v>156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509</v>
      </c>
      <c r="B72" t="s">
        <v>254</v>
      </c>
      <c r="C72" s="6" t="s">
        <v>156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509</v>
      </c>
      <c r="B73" t="s">
        <v>254</v>
      </c>
      <c r="C73" t="s">
        <v>202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509</v>
      </c>
      <c r="B74" t="s">
        <v>254</v>
      </c>
      <c r="C74" t="s">
        <v>156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509</v>
      </c>
      <c r="B75" t="s">
        <v>254</v>
      </c>
      <c r="C75" s="6" t="s">
        <v>204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509</v>
      </c>
      <c r="B76" t="s">
        <v>254</v>
      </c>
      <c r="C76" s="6" t="s">
        <v>156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509</v>
      </c>
      <c r="B77" t="s">
        <v>254</v>
      </c>
      <c r="C77" t="s">
        <v>203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509</v>
      </c>
      <c r="B78" t="s">
        <v>248</v>
      </c>
      <c r="C78" t="s">
        <v>146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509</v>
      </c>
      <c r="B79" t="s">
        <v>248</v>
      </c>
      <c r="C79" t="s">
        <v>202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509</v>
      </c>
      <c r="B80" t="s">
        <v>248</v>
      </c>
      <c r="C80" s="6" t="s">
        <v>146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509</v>
      </c>
      <c r="B81" t="s">
        <v>248</v>
      </c>
      <c r="C81" t="s">
        <v>204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509</v>
      </c>
      <c r="B82" t="s">
        <v>248</v>
      </c>
      <c r="C82" t="s">
        <v>146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509</v>
      </c>
      <c r="B83" t="s">
        <v>248</v>
      </c>
      <c r="C83" t="s">
        <v>203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509</v>
      </c>
      <c r="B84" t="s">
        <v>244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509</v>
      </c>
      <c r="B85" t="s">
        <v>244</v>
      </c>
      <c r="C85" t="s">
        <v>202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509</v>
      </c>
      <c r="B86" t="s">
        <v>244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509</v>
      </c>
      <c r="B87" t="s">
        <v>244</v>
      </c>
      <c r="C87" t="s">
        <v>204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509</v>
      </c>
      <c r="B88" t="s">
        <v>244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509</v>
      </c>
      <c r="B89" t="s">
        <v>244</v>
      </c>
      <c r="C89" t="s">
        <v>203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509</v>
      </c>
      <c r="B90" t="s">
        <v>255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509</v>
      </c>
      <c r="B91" t="s">
        <v>255</v>
      </c>
      <c r="C91" s="6" t="s">
        <v>202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509</v>
      </c>
      <c r="B92" t="s">
        <v>246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509</v>
      </c>
      <c r="B93" t="s">
        <v>246</v>
      </c>
      <c r="C93" t="s">
        <v>145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509</v>
      </c>
      <c r="B94" t="s">
        <v>247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509</v>
      </c>
      <c r="B95" t="s">
        <v>245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509</v>
      </c>
      <c r="B96" t="s">
        <v>116</v>
      </c>
      <c r="C96" t="s">
        <v>203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509</v>
      </c>
      <c r="B97" t="s">
        <v>116</v>
      </c>
      <c r="C97" s="6" t="s">
        <v>204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509</v>
      </c>
      <c r="B98" t="s">
        <v>217</v>
      </c>
      <c r="C98" s="6" t="s">
        <v>146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509</v>
      </c>
      <c r="B99" t="s">
        <v>218</v>
      </c>
      <c r="C99" t="s">
        <v>146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509</v>
      </c>
      <c r="B100" t="s">
        <v>267</v>
      </c>
      <c r="C100" t="s">
        <v>146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509</v>
      </c>
      <c r="B101" s="6" t="s">
        <v>477</v>
      </c>
      <c r="C101" s="6" t="s">
        <v>464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509</v>
      </c>
      <c r="B102" t="s">
        <v>237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509</v>
      </c>
      <c r="B103" t="s">
        <v>239</v>
      </c>
      <c r="C103" s="6" t="s">
        <v>145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509</v>
      </c>
      <c r="B104" t="s">
        <v>239</v>
      </c>
      <c r="C104" s="6" t="s">
        <v>145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509</v>
      </c>
      <c r="B105" t="s">
        <v>226</v>
      </c>
      <c r="C105" t="s">
        <v>202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509</v>
      </c>
      <c r="B106" t="s">
        <v>226</v>
      </c>
      <c r="C106" s="6" t="s">
        <v>203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509</v>
      </c>
      <c r="B107" t="s">
        <v>226</v>
      </c>
      <c r="C107" s="6" t="s">
        <v>204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509</v>
      </c>
      <c r="B108" t="s">
        <v>216</v>
      </c>
      <c r="C108" s="6" t="s">
        <v>202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509</v>
      </c>
      <c r="B109" t="s">
        <v>216</v>
      </c>
      <c r="C109" t="s">
        <v>203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509</v>
      </c>
      <c r="B110" t="s">
        <v>216</v>
      </c>
      <c r="C110" s="6" t="s">
        <v>204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509</v>
      </c>
      <c r="B111" t="s">
        <v>222</v>
      </c>
      <c r="C111" s="6" t="s">
        <v>242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509</v>
      </c>
      <c r="B112" s="6" t="s">
        <v>273</v>
      </c>
      <c r="C112" s="6" t="s">
        <v>145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509</v>
      </c>
      <c r="B113" t="s">
        <v>219</v>
      </c>
      <c r="C113" t="s">
        <v>156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509</v>
      </c>
      <c r="B114" t="s">
        <v>221</v>
      </c>
      <c r="C114" s="6" t="s">
        <v>156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509</v>
      </c>
      <c r="B115" t="s">
        <v>261</v>
      </c>
      <c r="C115" s="6" t="s">
        <v>156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509</v>
      </c>
      <c r="B116" t="s">
        <v>220</v>
      </c>
      <c r="C116" t="s">
        <v>157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509</v>
      </c>
      <c r="B117" t="s">
        <v>249</v>
      </c>
      <c r="C117" s="6" t="s">
        <v>157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509</v>
      </c>
      <c r="B118" t="s">
        <v>262</v>
      </c>
      <c r="C118" s="6" t="s">
        <v>157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509</v>
      </c>
      <c r="B119" t="s">
        <v>227</v>
      </c>
      <c r="C119" t="s">
        <v>143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509</v>
      </c>
      <c r="B120" t="s">
        <v>223</v>
      </c>
      <c r="C120" s="6" t="s">
        <v>143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509</v>
      </c>
      <c r="B121" t="s">
        <v>238</v>
      </c>
      <c r="C121" t="s">
        <v>174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509</v>
      </c>
      <c r="B122" t="s">
        <v>206</v>
      </c>
      <c r="C122" t="s">
        <v>146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509</v>
      </c>
      <c r="B123" t="s">
        <v>210</v>
      </c>
      <c r="C123" t="s">
        <v>146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509</v>
      </c>
      <c r="B124" t="s">
        <v>268</v>
      </c>
      <c r="C124" s="6" t="s">
        <v>146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509</v>
      </c>
      <c r="B125" s="6" t="s">
        <v>478</v>
      </c>
      <c r="C125" s="6" t="s">
        <v>464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509</v>
      </c>
      <c r="B126" t="s">
        <v>233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509</v>
      </c>
      <c r="B127" t="s">
        <v>224</v>
      </c>
      <c r="C127" t="s">
        <v>202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509</v>
      </c>
      <c r="B128" t="s">
        <v>224</v>
      </c>
      <c r="C128" s="6" t="s">
        <v>203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509</v>
      </c>
      <c r="B129" t="s">
        <v>224</v>
      </c>
      <c r="C129" t="s">
        <v>204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509</v>
      </c>
      <c r="B130" t="s">
        <v>211</v>
      </c>
      <c r="C130" t="s">
        <v>202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509</v>
      </c>
      <c r="B131" t="s">
        <v>211</v>
      </c>
      <c r="C131" t="s">
        <v>203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509</v>
      </c>
      <c r="B132" t="s">
        <v>211</v>
      </c>
      <c r="C132" s="6" t="s">
        <v>204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509</v>
      </c>
      <c r="B133" t="s">
        <v>215</v>
      </c>
      <c r="C133" s="6" t="s">
        <v>242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509</v>
      </c>
      <c r="B134" s="6" t="s">
        <v>272</v>
      </c>
      <c r="C134" s="6" t="s">
        <v>145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509</v>
      </c>
      <c r="B135" t="s">
        <v>207</v>
      </c>
      <c r="C135" t="s">
        <v>156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509</v>
      </c>
      <c r="B136" t="s">
        <v>209</v>
      </c>
      <c r="C136" t="s">
        <v>156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509</v>
      </c>
      <c r="B137" t="s">
        <v>259</v>
      </c>
      <c r="C137" t="s">
        <v>156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509</v>
      </c>
      <c r="B138" t="s">
        <v>235</v>
      </c>
      <c r="C138" s="6" t="s">
        <v>24</v>
      </c>
      <c r="D138">
        <v>1</v>
      </c>
      <c r="E138" s="6">
        <v>0.4</v>
      </c>
      <c r="F138" s="6">
        <v>0.35370851370851369</v>
      </c>
      <c r="G138" s="6">
        <v>0.33454545454545453</v>
      </c>
      <c r="H138" s="6">
        <v>0.32653198653198651</v>
      </c>
      <c r="I138" s="6">
        <v>0.32038480038480033</v>
      </c>
      <c r="J138" s="6">
        <v>0.31515873015873014</v>
      </c>
      <c r="K138" s="6">
        <v>0.31038720538720532</v>
      </c>
      <c r="L138" s="6">
        <v>0.30562770562770558</v>
      </c>
    </row>
    <row r="139" spans="1:12">
      <c r="A139" t="s">
        <v>509</v>
      </c>
      <c r="B139" t="s">
        <v>236</v>
      </c>
      <c r="C139" s="6" t="s">
        <v>24</v>
      </c>
      <c r="D139">
        <v>1</v>
      </c>
      <c r="E139" s="6">
        <v>0.2857142857142857</v>
      </c>
      <c r="F139" s="6">
        <v>0.26054421768707486</v>
      </c>
      <c r="G139" s="6">
        <v>0.24935064935064932</v>
      </c>
      <c r="H139" s="6">
        <v>0.2441300762729334</v>
      </c>
      <c r="I139" s="6">
        <v>0.23990929705215419</v>
      </c>
      <c r="J139" s="6">
        <v>0.23618197278911565</v>
      </c>
      <c r="K139" s="6">
        <v>0.23269815501958357</v>
      </c>
      <c r="L139" s="6">
        <v>0.22922077922077921</v>
      </c>
    </row>
    <row r="140" spans="1:12">
      <c r="A140" t="s">
        <v>509</v>
      </c>
      <c r="B140" t="s">
        <v>208</v>
      </c>
      <c r="C140" t="s">
        <v>157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509</v>
      </c>
      <c r="B141" t="s">
        <v>232</v>
      </c>
      <c r="C141" t="s">
        <v>157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509</v>
      </c>
      <c r="B142" t="s">
        <v>260</v>
      </c>
      <c r="C142" t="s">
        <v>157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509</v>
      </c>
      <c r="B143" t="s">
        <v>225</v>
      </c>
      <c r="C143" s="6" t="s">
        <v>143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509</v>
      </c>
      <c r="B144" t="s">
        <v>234</v>
      </c>
      <c r="C144" s="6" t="s">
        <v>173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509</v>
      </c>
      <c r="B145" t="s">
        <v>122</v>
      </c>
      <c r="C145" s="6" t="s">
        <v>203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509</v>
      </c>
      <c r="B146" t="s">
        <v>122</v>
      </c>
      <c r="C146" s="6" t="s">
        <v>204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509</v>
      </c>
      <c r="B147" t="s">
        <v>228</v>
      </c>
      <c r="C147" t="s">
        <v>146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509</v>
      </c>
      <c r="B148" t="s">
        <v>230</v>
      </c>
      <c r="C148" t="s">
        <v>202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509</v>
      </c>
      <c r="B149" t="s">
        <v>230</v>
      </c>
      <c r="C149" s="6" t="s">
        <v>203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509</v>
      </c>
      <c r="B150" t="s">
        <v>230</v>
      </c>
      <c r="C150" t="s">
        <v>204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509</v>
      </c>
      <c r="B151" t="s">
        <v>263</v>
      </c>
      <c r="C151" t="s">
        <v>202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509</v>
      </c>
      <c r="B152" t="s">
        <v>241</v>
      </c>
      <c r="C152" t="s">
        <v>145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509</v>
      </c>
      <c r="B153" t="s">
        <v>229</v>
      </c>
      <c r="C153" t="s">
        <v>156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509</v>
      </c>
      <c r="B154" t="s">
        <v>264</v>
      </c>
      <c r="C154" t="s">
        <v>156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509</v>
      </c>
      <c r="B155" t="s">
        <v>231</v>
      </c>
      <c r="C155" t="s">
        <v>143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509</v>
      </c>
      <c r="B156" t="s">
        <v>240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509</v>
      </c>
      <c r="B157" s="13" t="s">
        <v>163</v>
      </c>
      <c r="C157" s="6" t="s">
        <v>146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509</v>
      </c>
      <c r="B158" t="s">
        <v>199</v>
      </c>
      <c r="C158" t="s">
        <v>146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509</v>
      </c>
      <c r="B159" s="13" t="s">
        <v>107</v>
      </c>
      <c r="C159" t="s">
        <v>156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509</v>
      </c>
      <c r="B160" t="s">
        <v>256</v>
      </c>
      <c r="C160" t="s">
        <v>156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509</v>
      </c>
      <c r="B161" s="13" t="s">
        <v>106</v>
      </c>
      <c r="C161" s="6" t="s">
        <v>157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509</v>
      </c>
      <c r="B162" t="s">
        <v>257</v>
      </c>
      <c r="C162" t="s">
        <v>157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509</v>
      </c>
      <c r="B163" s="13" t="s">
        <v>22</v>
      </c>
      <c r="C163" s="6" t="s">
        <v>202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509</v>
      </c>
      <c r="B164" t="s">
        <v>22</v>
      </c>
      <c r="C164" s="6" t="s">
        <v>203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509</v>
      </c>
      <c r="B165" t="s">
        <v>22</v>
      </c>
      <c r="C165" s="6" t="s">
        <v>204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509</v>
      </c>
      <c r="B166" s="6" t="s">
        <v>479</v>
      </c>
      <c r="C166" s="6" t="s">
        <v>202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488</v>
      </c>
    </row>
    <row r="167" spans="1:16">
      <c r="A167" t="s">
        <v>509</v>
      </c>
      <c r="B167" s="6" t="s">
        <v>479</v>
      </c>
      <c r="C167" s="6" t="s">
        <v>203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488</v>
      </c>
    </row>
    <row r="168" spans="1:16">
      <c r="A168" t="s">
        <v>509</v>
      </c>
      <c r="B168" s="6" t="s">
        <v>479</v>
      </c>
      <c r="C168" s="6" t="s">
        <v>204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488</v>
      </c>
    </row>
    <row r="169" spans="1:16">
      <c r="A169" s="11" t="s">
        <v>509</v>
      </c>
      <c r="B169" t="s">
        <v>258</v>
      </c>
      <c r="C169" t="s">
        <v>202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509</v>
      </c>
      <c r="B170" t="s">
        <v>258</v>
      </c>
      <c r="C170" t="s">
        <v>203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509</v>
      </c>
      <c r="B171" t="s">
        <v>258</v>
      </c>
      <c r="C171" t="s">
        <v>204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509</v>
      </c>
      <c r="B172" s="6" t="s">
        <v>480</v>
      </c>
      <c r="C172" s="6" t="s">
        <v>202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509</v>
      </c>
      <c r="B173" s="6" t="s">
        <v>480</v>
      </c>
      <c r="C173" s="6" t="s">
        <v>203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509</v>
      </c>
      <c r="B174" s="6" t="s">
        <v>480</v>
      </c>
      <c r="C174" s="6" t="s">
        <v>204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509</v>
      </c>
      <c r="B175" s="6" t="s">
        <v>481</v>
      </c>
      <c r="C175" s="6" t="s">
        <v>202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509</v>
      </c>
      <c r="B176" s="6" t="s">
        <v>481</v>
      </c>
      <c r="C176" s="6" t="s">
        <v>203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509</v>
      </c>
      <c r="B177" s="6" t="s">
        <v>481</v>
      </c>
      <c r="C177" s="6" t="s">
        <v>204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509</v>
      </c>
      <c r="B178" t="s">
        <v>357</v>
      </c>
      <c r="C178" t="s">
        <v>145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509</v>
      </c>
      <c r="B179" s="13" t="s">
        <v>23</v>
      </c>
      <c r="C179" s="6" t="s">
        <v>144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509</v>
      </c>
      <c r="B180" s="13" t="s">
        <v>58</v>
      </c>
      <c r="C180" s="6" t="s">
        <v>143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509</v>
      </c>
      <c r="B181" s="13" t="s">
        <v>137</v>
      </c>
      <c r="C181" s="6" t="s">
        <v>275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509</v>
      </c>
      <c r="B182" s="13" t="s">
        <v>62</v>
      </c>
      <c r="C182" s="6" t="s">
        <v>143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509</v>
      </c>
      <c r="B183" s="13" t="s">
        <v>62</v>
      </c>
      <c r="C183" t="s">
        <v>327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509</v>
      </c>
      <c r="B184" s="13" t="s">
        <v>132</v>
      </c>
      <c r="C184" s="6" t="s">
        <v>143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509</v>
      </c>
      <c r="B185" s="13" t="s">
        <v>132</v>
      </c>
      <c r="C185" s="6" t="s">
        <v>275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509</v>
      </c>
      <c r="B186" s="13" t="s">
        <v>132</v>
      </c>
      <c r="C186" s="6" t="s">
        <v>327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509</v>
      </c>
      <c r="B187" s="13" t="s">
        <v>133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509</v>
      </c>
      <c r="B188" s="6" t="s">
        <v>64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509</v>
      </c>
      <c r="B189" s="6" t="s">
        <v>127</v>
      </c>
      <c r="C189" s="6" t="s">
        <v>145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509</v>
      </c>
      <c r="B190" s="6" t="s">
        <v>63</v>
      </c>
      <c r="C190" s="6" t="s">
        <v>143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509</v>
      </c>
      <c r="B191" s="6" t="s">
        <v>63</v>
      </c>
      <c r="C191" s="6" t="s">
        <v>275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509</v>
      </c>
      <c r="B192" s="6" t="s">
        <v>63</v>
      </c>
      <c r="C192" s="6" t="s">
        <v>327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509</v>
      </c>
      <c r="B193" s="6" t="s">
        <v>346</v>
      </c>
      <c r="C193" s="6" t="s">
        <v>340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509</v>
      </c>
      <c r="B194" s="2" t="s">
        <v>128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509</v>
      </c>
      <c r="B195" s="6" t="s">
        <v>128</v>
      </c>
      <c r="C195" s="6" t="s">
        <v>143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509</v>
      </c>
      <c r="B196" t="s">
        <v>128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509</v>
      </c>
      <c r="B197" t="s">
        <v>128</v>
      </c>
      <c r="C197" s="6" t="s">
        <v>275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509</v>
      </c>
      <c r="B198" t="s">
        <v>128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509</v>
      </c>
      <c r="B199" t="s">
        <v>128</v>
      </c>
      <c r="C199" t="s">
        <v>327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509</v>
      </c>
      <c r="B200" s="6" t="s">
        <v>138</v>
      </c>
      <c r="C200" t="s">
        <v>145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509</v>
      </c>
      <c r="B201" s="6" t="s">
        <v>177</v>
      </c>
      <c r="C201" t="s">
        <v>174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509</v>
      </c>
      <c r="B202" s="6" t="s">
        <v>178</v>
      </c>
      <c r="C202" t="s">
        <v>173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509</v>
      </c>
      <c r="B203" s="6" t="s">
        <v>274</v>
      </c>
      <c r="C203" s="6" t="s">
        <v>146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509</v>
      </c>
      <c r="B204" s="2" t="s">
        <v>360</v>
      </c>
      <c r="C204" t="s">
        <v>271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509</v>
      </c>
      <c r="B205" s="2" t="s">
        <v>360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509</v>
      </c>
      <c r="B206" s="2" t="s">
        <v>359</v>
      </c>
      <c r="C206" t="s">
        <v>271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509</v>
      </c>
      <c r="B207" s="2" t="s">
        <v>359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509</v>
      </c>
      <c r="B208" s="2" t="s">
        <v>359</v>
      </c>
      <c r="C208" t="s">
        <v>212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509</v>
      </c>
      <c r="B209" s="6" t="s">
        <v>125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509</v>
      </c>
      <c r="B210" s="6" t="s">
        <v>126</v>
      </c>
      <c r="C210" t="s">
        <v>145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509</v>
      </c>
      <c r="B211" s="6" t="s">
        <v>126</v>
      </c>
      <c r="C211" t="s">
        <v>145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509</v>
      </c>
      <c r="B212" s="2" t="s">
        <v>338</v>
      </c>
      <c r="C212" t="s">
        <v>342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509</v>
      </c>
      <c r="B213" s="2" t="s">
        <v>338</v>
      </c>
      <c r="C213" t="s">
        <v>343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509</v>
      </c>
      <c r="B214" s="2" t="s">
        <v>338</v>
      </c>
      <c r="C214" t="s">
        <v>341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509</v>
      </c>
      <c r="B215" s="2" t="s">
        <v>338</v>
      </c>
      <c r="C215" t="s">
        <v>340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509</v>
      </c>
      <c r="B216" s="2" t="s">
        <v>339</v>
      </c>
      <c r="C216" t="s">
        <v>145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509</v>
      </c>
      <c r="B217" s="2" t="s">
        <v>339</v>
      </c>
      <c r="C217" t="s">
        <v>204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509</v>
      </c>
      <c r="B218" s="2" t="s">
        <v>339</v>
      </c>
      <c r="C218" t="s">
        <v>203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509</v>
      </c>
      <c r="B219" s="2" t="s">
        <v>339</v>
      </c>
      <c r="C219" t="s">
        <v>202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509</v>
      </c>
      <c r="B220" s="6" t="s">
        <v>162</v>
      </c>
      <c r="C220" t="s">
        <v>145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509</v>
      </c>
      <c r="B221" s="6" t="s">
        <v>162</v>
      </c>
      <c r="C221" t="s">
        <v>146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509</v>
      </c>
      <c r="B222" s="6" t="s">
        <v>328</v>
      </c>
      <c r="C222" s="6" t="s">
        <v>145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509</v>
      </c>
      <c r="B223" s="6" t="s">
        <v>328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509</v>
      </c>
      <c r="B224" s="6" t="s">
        <v>328</v>
      </c>
      <c r="C224" s="6" t="s">
        <v>204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509</v>
      </c>
      <c r="B225" s="6" t="s">
        <v>265</v>
      </c>
      <c r="C225" s="6" t="s">
        <v>202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509</v>
      </c>
      <c r="B226" s="6" t="s">
        <v>265</v>
      </c>
      <c r="C226" s="6" t="s">
        <v>213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509</v>
      </c>
      <c r="B227" s="6" t="s">
        <v>266</v>
      </c>
      <c r="C227" s="6" t="s">
        <v>202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509</v>
      </c>
      <c r="B228" s="6" t="s">
        <v>266</v>
      </c>
      <c r="C228" s="6" t="s">
        <v>213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509</v>
      </c>
      <c r="B229" t="s">
        <v>362</v>
      </c>
      <c r="C229" t="s">
        <v>364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509</v>
      </c>
      <c r="B230" t="s">
        <v>363</v>
      </c>
      <c r="C230" t="s">
        <v>365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252" zoomScaleNormal="100" zoomScalePageLayoutView="90" workbookViewId="0">
      <selection activeCell="C262" sqref="C262"/>
    </sheetView>
  </sheetViews>
  <sheetFormatPr defaultColWidth="11.42578125" defaultRowHeight="15"/>
  <cols>
    <col min="2" max="2" width="23.5703125" customWidth="1"/>
    <col min="3" max="3" width="23.42578125" bestFit="1" customWidth="1"/>
    <col min="4" max="4" width="19.5703125" bestFit="1" customWidth="1"/>
  </cols>
  <sheetData>
    <row r="1" spans="1:14">
      <c r="A1" t="s">
        <v>428</v>
      </c>
    </row>
    <row r="2" spans="1:14">
      <c r="A2" t="s">
        <v>373</v>
      </c>
    </row>
    <row r="3" spans="1:14">
      <c r="A3" t="s">
        <v>413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371</v>
      </c>
      <c r="E5">
        <v>2018</v>
      </c>
      <c r="F5">
        <v>2020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509</v>
      </c>
      <c r="B6" t="s">
        <v>175</v>
      </c>
      <c r="C6" t="s">
        <v>174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509</v>
      </c>
      <c r="B7" t="s">
        <v>176</v>
      </c>
      <c r="C7" t="s">
        <v>173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509</v>
      </c>
      <c r="B8" t="s">
        <v>140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509</v>
      </c>
      <c r="B9" t="s">
        <v>141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509</v>
      </c>
      <c r="B10" t="s">
        <v>152</v>
      </c>
      <c r="C10" t="s">
        <v>145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509</v>
      </c>
      <c r="B11" t="s">
        <v>153</v>
      </c>
      <c r="C11" t="s">
        <v>202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509</v>
      </c>
      <c r="B12" t="s">
        <v>250</v>
      </c>
      <c r="C12" t="s">
        <v>212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509</v>
      </c>
      <c r="B13" t="s">
        <v>252</v>
      </c>
      <c r="C13" t="s">
        <v>276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509</v>
      </c>
      <c r="B14" t="s">
        <v>139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509</v>
      </c>
      <c r="B15" t="s">
        <v>142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509</v>
      </c>
      <c r="B16" t="s">
        <v>196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509</v>
      </c>
      <c r="B17" s="2" t="s">
        <v>134</v>
      </c>
      <c r="C17" t="s">
        <v>150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509</v>
      </c>
      <c r="B18" s="2" t="s">
        <v>134</v>
      </c>
      <c r="C18" t="s">
        <v>150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509</v>
      </c>
      <c r="B19" s="2" t="s">
        <v>134</v>
      </c>
      <c r="C19" t="s">
        <v>150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509</v>
      </c>
      <c r="B20" s="2" t="s">
        <v>135</v>
      </c>
      <c r="C20" t="s">
        <v>150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509</v>
      </c>
      <c r="B21" s="2" t="s">
        <v>181</v>
      </c>
      <c r="C21" t="s">
        <v>150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509</v>
      </c>
      <c r="B22" s="2" t="s">
        <v>129</v>
      </c>
      <c r="C22" t="s">
        <v>150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509</v>
      </c>
      <c r="B23" s="2" t="s">
        <v>61</v>
      </c>
      <c r="C23" t="s">
        <v>150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509</v>
      </c>
      <c r="B24" s="2" t="s">
        <v>130</v>
      </c>
      <c r="C24" t="s">
        <v>150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509</v>
      </c>
      <c r="B25" s="2" t="s">
        <v>131</v>
      </c>
      <c r="C25" t="s">
        <v>150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509</v>
      </c>
      <c r="B26" s="2" t="s">
        <v>130</v>
      </c>
      <c r="C26" t="s">
        <v>150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509</v>
      </c>
      <c r="B27" s="2" t="s">
        <v>130</v>
      </c>
      <c r="C27" t="s">
        <v>150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509</v>
      </c>
      <c r="B28" t="s">
        <v>131</v>
      </c>
      <c r="C28" t="s">
        <v>150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509</v>
      </c>
      <c r="B29" t="s">
        <v>131</v>
      </c>
      <c r="C29" t="s">
        <v>150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509</v>
      </c>
      <c r="B30" t="s">
        <v>60</v>
      </c>
      <c r="C30" t="s">
        <v>150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509</v>
      </c>
      <c r="B31" t="s">
        <v>59</v>
      </c>
      <c r="C31" t="s">
        <v>150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509</v>
      </c>
      <c r="B32" t="s">
        <v>59</v>
      </c>
      <c r="C32" t="s">
        <v>150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509</v>
      </c>
      <c r="B33" t="s">
        <v>107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509</v>
      </c>
      <c r="B34" s="2" t="s">
        <v>106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509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509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509</v>
      </c>
      <c r="B37" s="2" t="s">
        <v>58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509</v>
      </c>
      <c r="B38" s="2" t="s">
        <v>163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509</v>
      </c>
      <c r="B39" s="2" t="s">
        <v>137</v>
      </c>
      <c r="C39" t="s">
        <v>151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509</v>
      </c>
      <c r="B40" s="2" t="s">
        <v>62</v>
      </c>
      <c r="C40" t="s">
        <v>151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509</v>
      </c>
      <c r="B41" s="2" t="s">
        <v>62</v>
      </c>
      <c r="C41" t="s">
        <v>151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509</v>
      </c>
      <c r="B42" s="2" t="s">
        <v>138</v>
      </c>
      <c r="C42" t="s">
        <v>151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509</v>
      </c>
      <c r="B43" s="2" t="s">
        <v>132</v>
      </c>
      <c r="C43" t="s">
        <v>151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509</v>
      </c>
      <c r="B44" s="2" t="s">
        <v>132</v>
      </c>
      <c r="C44" t="s">
        <v>151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509</v>
      </c>
      <c r="B45" t="s">
        <v>132</v>
      </c>
      <c r="C45" t="s">
        <v>151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509</v>
      </c>
      <c r="B46" t="s">
        <v>133</v>
      </c>
      <c r="C46" t="s">
        <v>151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509</v>
      </c>
      <c r="B47" t="s">
        <v>64</v>
      </c>
      <c r="C47" t="s">
        <v>151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509</v>
      </c>
      <c r="B48" t="s">
        <v>127</v>
      </c>
      <c r="C48" t="s">
        <v>151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509</v>
      </c>
      <c r="B49" t="s">
        <v>63</v>
      </c>
      <c r="C49" t="s">
        <v>151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509</v>
      </c>
      <c r="B50" t="s">
        <v>63</v>
      </c>
      <c r="C50" t="s">
        <v>151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509</v>
      </c>
      <c r="B51" t="s">
        <v>63</v>
      </c>
      <c r="C51" t="s">
        <v>151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509</v>
      </c>
      <c r="B52" t="s">
        <v>128</v>
      </c>
      <c r="C52" t="s">
        <v>151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509</v>
      </c>
      <c r="B53" t="s">
        <v>128</v>
      </c>
      <c r="C53" t="s">
        <v>151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509</v>
      </c>
      <c r="B54" t="s">
        <v>128</v>
      </c>
      <c r="C54" t="s">
        <v>151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509</v>
      </c>
      <c r="B55" t="s">
        <v>90</v>
      </c>
      <c r="C55" t="s">
        <v>156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509</v>
      </c>
      <c r="B56" t="s">
        <v>89</v>
      </c>
      <c r="C56" t="s">
        <v>157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509</v>
      </c>
      <c r="B57" t="s">
        <v>88</v>
      </c>
      <c r="C57" t="s">
        <v>202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509</v>
      </c>
      <c r="B58" t="s">
        <v>91</v>
      </c>
      <c r="C58" t="s">
        <v>144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509</v>
      </c>
      <c r="B59" t="s">
        <v>92</v>
      </c>
      <c r="C59" t="s">
        <v>143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509</v>
      </c>
      <c r="B60" t="s">
        <v>100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509</v>
      </c>
      <c r="B61" t="s">
        <v>101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509</v>
      </c>
      <c r="B62" t="s">
        <v>105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509</v>
      </c>
      <c r="B63" t="s">
        <v>102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509</v>
      </c>
      <c r="B64" t="s">
        <v>103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509</v>
      </c>
      <c r="B65" t="s">
        <v>104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509</v>
      </c>
      <c r="B66" t="s">
        <v>177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509</v>
      </c>
      <c r="B67" t="s">
        <v>178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509</v>
      </c>
      <c r="B68" t="s">
        <v>94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509</v>
      </c>
      <c r="B69" t="s">
        <v>93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509</v>
      </c>
      <c r="B70" t="s">
        <v>95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509</v>
      </c>
      <c r="B71" t="s">
        <v>170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509</v>
      </c>
      <c r="B72" t="s">
        <v>171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509</v>
      </c>
      <c r="B73" t="s">
        <v>172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509</v>
      </c>
      <c r="B74" t="s">
        <v>97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509</v>
      </c>
      <c r="B75" t="s">
        <v>96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509</v>
      </c>
      <c r="B76" t="s">
        <v>98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509</v>
      </c>
      <c r="B77" t="s">
        <v>158</v>
      </c>
      <c r="C77" t="s">
        <v>146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509</v>
      </c>
      <c r="B78" t="s">
        <v>125</v>
      </c>
      <c r="C78" t="s">
        <v>145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509</v>
      </c>
      <c r="B79" t="s">
        <v>126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509</v>
      </c>
      <c r="B80" t="s">
        <v>126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509</v>
      </c>
      <c r="B81" t="s">
        <v>126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509</v>
      </c>
      <c r="B82" t="s">
        <v>162</v>
      </c>
      <c r="C82" t="s">
        <v>204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509</v>
      </c>
      <c r="B83" t="s">
        <v>162</v>
      </c>
      <c r="C83" t="s">
        <v>203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509</v>
      </c>
      <c r="B84" t="s">
        <v>187</v>
      </c>
      <c r="C84" t="s">
        <v>143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509</v>
      </c>
      <c r="B85" t="s">
        <v>186</v>
      </c>
      <c r="C85" t="s">
        <v>156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509</v>
      </c>
      <c r="B86" t="s">
        <v>185</v>
      </c>
      <c r="C86" t="s">
        <v>202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509</v>
      </c>
      <c r="B87" t="s">
        <v>198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509</v>
      </c>
      <c r="B88" t="s">
        <v>198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509</v>
      </c>
      <c r="B89" t="s">
        <v>199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509</v>
      </c>
      <c r="B90" t="s">
        <v>200</v>
      </c>
      <c r="C90" t="s">
        <v>201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509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509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509</v>
      </c>
      <c r="B93" t="s">
        <v>224</v>
      </c>
      <c r="C93" t="s">
        <v>276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509</v>
      </c>
      <c r="B94" t="s">
        <v>224</v>
      </c>
      <c r="C94" t="s">
        <v>276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509</v>
      </c>
      <c r="B95" t="s">
        <v>224</v>
      </c>
      <c r="C95" t="s">
        <v>276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509</v>
      </c>
      <c r="B96" t="s">
        <v>211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509</v>
      </c>
      <c r="B97" t="s">
        <v>211</v>
      </c>
      <c r="C97" t="s">
        <v>276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509</v>
      </c>
      <c r="B98" t="s">
        <v>211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509</v>
      </c>
      <c r="B99" t="s">
        <v>211</v>
      </c>
      <c r="C99" t="s">
        <v>276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509</v>
      </c>
      <c r="B100" t="s">
        <v>211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509</v>
      </c>
      <c r="B101" t="s">
        <v>211</v>
      </c>
      <c r="C101" t="s">
        <v>276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509</v>
      </c>
      <c r="B102" t="s">
        <v>206</v>
      </c>
      <c r="C102" t="s">
        <v>276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509</v>
      </c>
      <c r="B103" t="s">
        <v>210</v>
      </c>
      <c r="C103" t="s">
        <v>276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509</v>
      </c>
      <c r="B104" t="s">
        <v>210</v>
      </c>
      <c r="C104" t="s">
        <v>276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509</v>
      </c>
      <c r="B105" t="s">
        <v>207</v>
      </c>
      <c r="C105" t="s">
        <v>276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509</v>
      </c>
      <c r="B106" t="s">
        <v>208</v>
      </c>
      <c r="C106" t="s">
        <v>276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509</v>
      </c>
      <c r="B107" t="s">
        <v>209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509</v>
      </c>
      <c r="B108" t="s">
        <v>209</v>
      </c>
      <c r="C108" t="s">
        <v>276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509</v>
      </c>
      <c r="B109" t="s">
        <v>232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509</v>
      </c>
      <c r="B110" t="s">
        <v>232</v>
      </c>
      <c r="C110" t="s">
        <v>276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509</v>
      </c>
      <c r="B111" t="s">
        <v>233</v>
      </c>
      <c r="C111" t="s">
        <v>276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509</v>
      </c>
      <c r="B112" t="s">
        <v>234</v>
      </c>
      <c r="C112" t="s">
        <v>276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509</v>
      </c>
      <c r="B113" t="s">
        <v>235</v>
      </c>
      <c r="C113" t="s">
        <v>276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509</v>
      </c>
      <c r="B114" t="s">
        <v>236</v>
      </c>
      <c r="C114" t="s">
        <v>276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509</v>
      </c>
      <c r="B115" t="s">
        <v>215</v>
      </c>
      <c r="C115" t="s">
        <v>276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509</v>
      </c>
      <c r="B116" t="s">
        <v>225</v>
      </c>
      <c r="C116" t="s">
        <v>276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509</v>
      </c>
      <c r="B117" t="s">
        <v>226</v>
      </c>
      <c r="C117" t="s">
        <v>212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509</v>
      </c>
      <c r="B118" t="s">
        <v>226</v>
      </c>
      <c r="C118" t="s">
        <v>212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509</v>
      </c>
      <c r="B119" t="s">
        <v>226</v>
      </c>
      <c r="C119" t="s">
        <v>212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509</v>
      </c>
      <c r="B120" t="s">
        <v>216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509</v>
      </c>
      <c r="B121" t="s">
        <v>216</v>
      </c>
      <c r="C121" t="s">
        <v>212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509</v>
      </c>
      <c r="B122" t="s">
        <v>216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509</v>
      </c>
      <c r="B123" t="s">
        <v>216</v>
      </c>
      <c r="C123" t="s">
        <v>212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509</v>
      </c>
      <c r="B124" t="s">
        <v>216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509</v>
      </c>
      <c r="B125" t="s">
        <v>216</v>
      </c>
      <c r="C125" t="s">
        <v>212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509</v>
      </c>
      <c r="B126" t="s">
        <v>217</v>
      </c>
      <c r="C126" t="s">
        <v>212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509</v>
      </c>
      <c r="B127" t="s">
        <v>218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509</v>
      </c>
      <c r="B128" t="s">
        <v>218</v>
      </c>
      <c r="C128" t="s">
        <v>212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509</v>
      </c>
      <c r="B129" t="s">
        <v>219</v>
      </c>
      <c r="C129" t="s">
        <v>212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509</v>
      </c>
      <c r="B130" t="s">
        <v>220</v>
      </c>
      <c r="C130" t="s">
        <v>212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509</v>
      </c>
      <c r="B131" t="s">
        <v>221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509</v>
      </c>
      <c r="B132" t="s">
        <v>221</v>
      </c>
      <c r="C132" t="s">
        <v>212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509</v>
      </c>
      <c r="B133" t="s">
        <v>249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509</v>
      </c>
      <c r="B134" s="15" t="s">
        <v>249</v>
      </c>
      <c r="C134" t="s">
        <v>212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509</v>
      </c>
      <c r="B135" s="15" t="s">
        <v>238</v>
      </c>
      <c r="C135" t="s">
        <v>212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509</v>
      </c>
      <c r="B136" s="15" t="s">
        <v>239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509</v>
      </c>
      <c r="B137" s="15" t="s">
        <v>239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509</v>
      </c>
      <c r="B138" s="15" t="s">
        <v>239</v>
      </c>
      <c r="C138" t="s">
        <v>212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509</v>
      </c>
      <c r="B139" s="15" t="s">
        <v>222</v>
      </c>
      <c r="C139" t="s">
        <v>212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509</v>
      </c>
      <c r="B140" s="15" t="s">
        <v>227</v>
      </c>
      <c r="C140" t="s">
        <v>212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509</v>
      </c>
      <c r="B141" s="15" t="s">
        <v>223</v>
      </c>
      <c r="C141" t="s">
        <v>212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509</v>
      </c>
      <c r="B142" t="s">
        <v>223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509</v>
      </c>
      <c r="B143" t="s">
        <v>237</v>
      </c>
      <c r="C143" t="s">
        <v>212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509</v>
      </c>
      <c r="B144" t="s">
        <v>230</v>
      </c>
      <c r="C144" t="s">
        <v>213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509</v>
      </c>
      <c r="B145" t="s">
        <v>230</v>
      </c>
      <c r="C145" t="s">
        <v>213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509</v>
      </c>
      <c r="B146" t="s">
        <v>230</v>
      </c>
      <c r="C146" t="s">
        <v>213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509</v>
      </c>
      <c r="B147" t="s">
        <v>241</v>
      </c>
      <c r="C147" t="s">
        <v>213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509</v>
      </c>
      <c r="B148" t="s">
        <v>228</v>
      </c>
      <c r="C148" t="s">
        <v>213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509</v>
      </c>
      <c r="B149" t="s">
        <v>229</v>
      </c>
      <c r="C149" t="s">
        <v>213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509</v>
      </c>
      <c r="B150" t="s">
        <v>240</v>
      </c>
      <c r="C150" t="s">
        <v>213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509</v>
      </c>
      <c r="B151" t="s">
        <v>231</v>
      </c>
      <c r="C151" t="s">
        <v>213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509</v>
      </c>
      <c r="B152" t="s">
        <v>243</v>
      </c>
      <c r="C152" t="s">
        <v>214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509</v>
      </c>
      <c r="B153" t="s">
        <v>243</v>
      </c>
      <c r="C153" t="s">
        <v>214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509</v>
      </c>
      <c r="B154" t="s">
        <v>243</v>
      </c>
      <c r="C154" t="s">
        <v>214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509</v>
      </c>
      <c r="B155" t="s">
        <v>243</v>
      </c>
      <c r="C155" t="s">
        <v>214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509</v>
      </c>
      <c r="B156" t="s">
        <v>244</v>
      </c>
      <c r="C156" t="s">
        <v>214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509</v>
      </c>
      <c r="B157" t="s">
        <v>244</v>
      </c>
      <c r="C157" t="s">
        <v>214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509</v>
      </c>
      <c r="B158" t="s">
        <v>244</v>
      </c>
      <c r="C158" t="s">
        <v>214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509</v>
      </c>
      <c r="B159" t="s">
        <v>245</v>
      </c>
      <c r="C159" t="s">
        <v>214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509</v>
      </c>
      <c r="B160" t="s">
        <v>246</v>
      </c>
      <c r="C160" t="s">
        <v>214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509</v>
      </c>
      <c r="B161" t="s">
        <v>247</v>
      </c>
      <c r="C161" t="s">
        <v>214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509</v>
      </c>
      <c r="B162" t="s">
        <v>248</v>
      </c>
      <c r="C162" t="s">
        <v>214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509</v>
      </c>
      <c r="B163" t="s">
        <v>248</v>
      </c>
      <c r="C163" t="s">
        <v>214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509</v>
      </c>
      <c r="B164" t="s">
        <v>248</v>
      </c>
      <c r="C164" t="s">
        <v>214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509</v>
      </c>
      <c r="B165" t="s">
        <v>254</v>
      </c>
      <c r="C165" t="s">
        <v>214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509</v>
      </c>
      <c r="B166" t="s">
        <v>254</v>
      </c>
      <c r="C166" t="s">
        <v>214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509</v>
      </c>
      <c r="B167" t="s">
        <v>254</v>
      </c>
      <c r="C167" t="s">
        <v>214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509</v>
      </c>
      <c r="B168" t="s">
        <v>254</v>
      </c>
      <c r="C168" t="s">
        <v>214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509</v>
      </c>
      <c r="B169" t="s">
        <v>255</v>
      </c>
      <c r="C169" t="s">
        <v>214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509</v>
      </c>
      <c r="B170" t="s">
        <v>267</v>
      </c>
      <c r="C170" t="s">
        <v>212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509</v>
      </c>
      <c r="B171" t="s">
        <v>261</v>
      </c>
      <c r="C171" t="s">
        <v>212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509</v>
      </c>
      <c r="B172" t="s">
        <v>262</v>
      </c>
      <c r="C172" t="s">
        <v>212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509</v>
      </c>
      <c r="B173" t="s">
        <v>268</v>
      </c>
      <c r="C173" t="s">
        <v>276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509</v>
      </c>
      <c r="B174" t="s">
        <v>259</v>
      </c>
      <c r="C174" t="s">
        <v>276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509</v>
      </c>
      <c r="B175" t="s">
        <v>260</v>
      </c>
      <c r="C175" t="s">
        <v>276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509</v>
      </c>
      <c r="B176" t="s">
        <v>267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509</v>
      </c>
      <c r="B177" t="s">
        <v>261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509</v>
      </c>
      <c r="B178" t="s">
        <v>262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509</v>
      </c>
      <c r="B179" t="s">
        <v>210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509</v>
      </c>
      <c r="B180" t="s">
        <v>268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509</v>
      </c>
      <c r="B181" t="s">
        <v>259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509</v>
      </c>
      <c r="B182" t="s">
        <v>260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509</v>
      </c>
      <c r="B183" t="s">
        <v>263</v>
      </c>
      <c r="C183" t="s">
        <v>213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509</v>
      </c>
      <c r="B184" t="s">
        <v>264</v>
      </c>
      <c r="C184" t="s">
        <v>213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509</v>
      </c>
      <c r="B185" t="s">
        <v>256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509</v>
      </c>
      <c r="B186" t="s">
        <v>257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509</v>
      </c>
      <c r="B187" t="s">
        <v>258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509</v>
      </c>
      <c r="B188" t="s">
        <v>265</v>
      </c>
      <c r="C188" t="s">
        <v>145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509</v>
      </c>
      <c r="B189" t="s">
        <v>266</v>
      </c>
      <c r="C189" t="s">
        <v>145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509</v>
      </c>
      <c r="B190" t="s">
        <v>270</v>
      </c>
      <c r="C190" t="s">
        <v>271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509</v>
      </c>
      <c r="B191" t="s">
        <v>272</v>
      </c>
      <c r="C191" t="s">
        <v>276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509</v>
      </c>
      <c r="B192" t="s">
        <v>273</v>
      </c>
      <c r="C192" t="s">
        <v>212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509</v>
      </c>
      <c r="B193" t="s">
        <v>274</v>
      </c>
      <c r="C193" t="s">
        <v>275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509</v>
      </c>
      <c r="B194" t="s">
        <v>328</v>
      </c>
      <c r="C194" t="s">
        <v>327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509</v>
      </c>
      <c r="B195" t="s">
        <v>328</v>
      </c>
      <c r="C195" t="s">
        <v>327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509</v>
      </c>
      <c r="B196" t="s">
        <v>329</v>
      </c>
      <c r="C196" t="s">
        <v>146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509</v>
      </c>
      <c r="B197" t="s">
        <v>330</v>
      </c>
      <c r="C197" t="s">
        <v>146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509</v>
      </c>
      <c r="B198" t="s">
        <v>331</v>
      </c>
      <c r="C198" t="s">
        <v>146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509</v>
      </c>
      <c r="B199" t="s">
        <v>332</v>
      </c>
      <c r="C199" t="s">
        <v>146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509</v>
      </c>
      <c r="B200" t="s">
        <v>333</v>
      </c>
      <c r="C200" t="s">
        <v>146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509</v>
      </c>
      <c r="B201" s="2" t="s">
        <v>334</v>
      </c>
      <c r="C201" t="s">
        <v>203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509</v>
      </c>
      <c r="B202" s="2" t="s">
        <v>338</v>
      </c>
      <c r="C202" t="s">
        <v>145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509</v>
      </c>
      <c r="B203" s="2" t="s">
        <v>338</v>
      </c>
      <c r="C203" t="s">
        <v>204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509</v>
      </c>
      <c r="B204" s="2" t="s">
        <v>338</v>
      </c>
      <c r="C204" t="s">
        <v>203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509</v>
      </c>
      <c r="B205" s="2" t="s">
        <v>338</v>
      </c>
      <c r="C205" t="s">
        <v>202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509</v>
      </c>
      <c r="B206" s="2" t="s">
        <v>339</v>
      </c>
      <c r="C206" t="s">
        <v>342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509</v>
      </c>
      <c r="B207" s="2" t="s">
        <v>339</v>
      </c>
      <c r="C207" t="s">
        <v>343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509</v>
      </c>
      <c r="B208" s="2" t="s">
        <v>339</v>
      </c>
      <c r="C208" t="s">
        <v>341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509</v>
      </c>
      <c r="B209" s="2" t="s">
        <v>339</v>
      </c>
      <c r="C209" t="s">
        <v>340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509</v>
      </c>
      <c r="B210" s="2" t="s">
        <v>344</v>
      </c>
      <c r="C210" t="s">
        <v>150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509</v>
      </c>
      <c r="B211" s="2" t="s">
        <v>345</v>
      </c>
      <c r="C211" t="s">
        <v>150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509</v>
      </c>
      <c r="B212" t="s">
        <v>346</v>
      </c>
      <c r="C212" t="s">
        <v>151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509</v>
      </c>
      <c r="B213" t="s">
        <v>337</v>
      </c>
      <c r="C213" t="s">
        <v>340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509</v>
      </c>
      <c r="B214" t="s">
        <v>198</v>
      </c>
      <c r="C214" t="s">
        <v>201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509</v>
      </c>
      <c r="B215" t="s">
        <v>199</v>
      </c>
      <c r="C215" t="s">
        <v>201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509</v>
      </c>
      <c r="B216" t="s">
        <v>254</v>
      </c>
      <c r="C216" t="s">
        <v>201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509</v>
      </c>
      <c r="B217" t="s">
        <v>254</v>
      </c>
      <c r="C217" t="s">
        <v>201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509</v>
      </c>
      <c r="B218" t="s">
        <v>254</v>
      </c>
      <c r="C218" t="s">
        <v>201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509</v>
      </c>
      <c r="B219" t="s">
        <v>254</v>
      </c>
      <c r="C219" t="s">
        <v>201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509</v>
      </c>
      <c r="B220" t="s">
        <v>255</v>
      </c>
      <c r="C220" t="s">
        <v>201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509</v>
      </c>
      <c r="B221" t="s">
        <v>267</v>
      </c>
      <c r="C221" t="s">
        <v>201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509</v>
      </c>
      <c r="B222" t="s">
        <v>261</v>
      </c>
      <c r="C222" t="s">
        <v>201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509</v>
      </c>
      <c r="B223" t="s">
        <v>262</v>
      </c>
      <c r="C223" t="s">
        <v>201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509</v>
      </c>
      <c r="B224" t="s">
        <v>268</v>
      </c>
      <c r="C224" t="s">
        <v>201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509</v>
      </c>
      <c r="B225" t="s">
        <v>259</v>
      </c>
      <c r="C225" t="s">
        <v>201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509</v>
      </c>
      <c r="B226" t="s">
        <v>260</v>
      </c>
      <c r="C226" t="s">
        <v>201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509</v>
      </c>
      <c r="B227" t="s">
        <v>263</v>
      </c>
      <c r="C227" t="s">
        <v>201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509</v>
      </c>
      <c r="B228" t="s">
        <v>264</v>
      </c>
      <c r="C228" t="s">
        <v>201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509</v>
      </c>
      <c r="B229" t="s">
        <v>256</v>
      </c>
      <c r="C229" t="s">
        <v>201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509</v>
      </c>
      <c r="B230" t="s">
        <v>257</v>
      </c>
      <c r="C230" t="s">
        <v>201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509</v>
      </c>
      <c r="B231" t="s">
        <v>258</v>
      </c>
      <c r="C231" t="s">
        <v>201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509</v>
      </c>
      <c r="B232" t="s">
        <v>266</v>
      </c>
      <c r="C232" t="s">
        <v>201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509</v>
      </c>
      <c r="B233" s="2" t="s">
        <v>357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509</v>
      </c>
      <c r="B234" s="2" t="s">
        <v>359</v>
      </c>
      <c r="C234" t="s">
        <v>358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509</v>
      </c>
      <c r="B235" t="s">
        <v>360</v>
      </c>
      <c r="C235" t="s">
        <v>358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509</v>
      </c>
      <c r="B236" t="s">
        <v>361</v>
      </c>
      <c r="C236" t="s">
        <v>145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509</v>
      </c>
      <c r="B237" t="s">
        <v>363</v>
      </c>
      <c r="C237" t="s">
        <v>364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509</v>
      </c>
      <c r="B238" t="s">
        <v>363</v>
      </c>
      <c r="C238" t="s">
        <v>365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509</v>
      </c>
      <c r="B239" t="s">
        <v>466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482</v>
      </c>
      <c r="Q239" t="s">
        <v>483</v>
      </c>
    </row>
    <row r="240" spans="1:17">
      <c r="A240" t="s">
        <v>509</v>
      </c>
      <c r="B240" t="s">
        <v>108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482</v>
      </c>
      <c r="Q240" t="s">
        <v>483</v>
      </c>
    </row>
    <row r="241" spans="1:17">
      <c r="A241" t="s">
        <v>509</v>
      </c>
      <c r="B241" t="s">
        <v>109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482</v>
      </c>
      <c r="Q241" t="s">
        <v>483</v>
      </c>
    </row>
    <row r="242" spans="1:17">
      <c r="A242" t="s">
        <v>509</v>
      </c>
      <c r="B242" t="s">
        <v>472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482</v>
      </c>
      <c r="Q242" t="s">
        <v>483</v>
      </c>
    </row>
    <row r="243" spans="1:17">
      <c r="A243" t="s">
        <v>509</v>
      </c>
      <c r="B243" t="s">
        <v>470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482</v>
      </c>
      <c r="Q243" t="s">
        <v>483</v>
      </c>
    </row>
    <row r="244" spans="1:17">
      <c r="A244" t="s">
        <v>509</v>
      </c>
      <c r="B244" t="s">
        <v>474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482</v>
      </c>
      <c r="Q244" t="s">
        <v>483</v>
      </c>
    </row>
    <row r="245" spans="1:17">
      <c r="A245" t="s">
        <v>509</v>
      </c>
      <c r="B245" t="s">
        <v>467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482</v>
      </c>
      <c r="Q245" t="s">
        <v>483</v>
      </c>
    </row>
    <row r="246" spans="1:17">
      <c r="A246" t="s">
        <v>509</v>
      </c>
      <c r="B246" t="s">
        <v>468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482</v>
      </c>
      <c r="Q246" t="s">
        <v>483</v>
      </c>
    </row>
    <row r="247" spans="1:17">
      <c r="A247" t="s">
        <v>509</v>
      </c>
      <c r="B247" t="s">
        <v>469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482</v>
      </c>
      <c r="Q247" t="s">
        <v>483</v>
      </c>
    </row>
    <row r="248" spans="1:17">
      <c r="A248" t="s">
        <v>509</v>
      </c>
      <c r="B248" t="s">
        <v>473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482</v>
      </c>
      <c r="Q248" t="s">
        <v>483</v>
      </c>
    </row>
    <row r="249" spans="1:17">
      <c r="A249" t="s">
        <v>509</v>
      </c>
      <c r="B249" t="s">
        <v>471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482</v>
      </c>
      <c r="Q249" t="s">
        <v>483</v>
      </c>
    </row>
    <row r="250" spans="1:17">
      <c r="A250" t="s">
        <v>509</v>
      </c>
      <c r="B250" t="s">
        <v>466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482</v>
      </c>
      <c r="Q250" t="s">
        <v>485</v>
      </c>
    </row>
    <row r="251" spans="1:17">
      <c r="A251" t="s">
        <v>509</v>
      </c>
      <c r="B251" t="s">
        <v>108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482</v>
      </c>
      <c r="Q251" t="s">
        <v>485</v>
      </c>
    </row>
    <row r="252" spans="1:17">
      <c r="A252" t="s">
        <v>509</v>
      </c>
      <c r="B252" t="s">
        <v>109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482</v>
      </c>
      <c r="Q252" t="s">
        <v>485</v>
      </c>
    </row>
    <row r="253" spans="1:17">
      <c r="A253" t="s">
        <v>509</v>
      </c>
      <c r="B253" t="s">
        <v>472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482</v>
      </c>
      <c r="Q253" t="s">
        <v>485</v>
      </c>
    </row>
    <row r="254" spans="1:17">
      <c r="A254" t="s">
        <v>509</v>
      </c>
      <c r="B254" t="s">
        <v>470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482</v>
      </c>
      <c r="Q254" t="s">
        <v>485</v>
      </c>
    </row>
    <row r="255" spans="1:17">
      <c r="A255" t="s">
        <v>509</v>
      </c>
      <c r="B255" t="s">
        <v>474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482</v>
      </c>
      <c r="Q255" t="s">
        <v>485</v>
      </c>
    </row>
    <row r="256" spans="1:17">
      <c r="A256" t="s">
        <v>509</v>
      </c>
      <c r="B256" t="s">
        <v>467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482</v>
      </c>
      <c r="Q256" t="s">
        <v>485</v>
      </c>
    </row>
    <row r="257" spans="1:19">
      <c r="A257" t="s">
        <v>509</v>
      </c>
      <c r="B257" t="s">
        <v>468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482</v>
      </c>
      <c r="Q257" t="s">
        <v>485</v>
      </c>
    </row>
    <row r="258" spans="1:19">
      <c r="A258" t="s">
        <v>509</v>
      </c>
      <c r="B258" t="s">
        <v>469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482</v>
      </c>
      <c r="Q258" t="s">
        <v>485</v>
      </c>
    </row>
    <row r="259" spans="1:19">
      <c r="A259" t="s">
        <v>509</v>
      </c>
      <c r="B259" t="s">
        <v>473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482</v>
      </c>
      <c r="Q259" t="s">
        <v>485</v>
      </c>
    </row>
    <row r="260" spans="1:19">
      <c r="A260" t="s">
        <v>509</v>
      </c>
      <c r="B260" t="s">
        <v>471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482</v>
      </c>
      <c r="Q260" t="s">
        <v>485</v>
      </c>
    </row>
    <row r="261" spans="1:19">
      <c r="A261" t="s">
        <v>509</v>
      </c>
      <c r="B261" t="s">
        <v>475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486</v>
      </c>
      <c r="Q261" t="s">
        <v>485</v>
      </c>
    </row>
    <row r="262" spans="1:19">
      <c r="A262" t="s">
        <v>509</v>
      </c>
      <c r="B262" t="s">
        <v>466</v>
      </c>
      <c r="C262" t="s">
        <v>464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482</v>
      </c>
      <c r="Q262" t="s">
        <v>485</v>
      </c>
      <c r="R262">
        <v>2.5680000000000001</v>
      </c>
      <c r="S262" t="s">
        <v>489</v>
      </c>
    </row>
    <row r="263" spans="1:19">
      <c r="A263" t="s">
        <v>509</v>
      </c>
      <c r="B263" t="s">
        <v>108</v>
      </c>
      <c r="C263" t="s">
        <v>464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482</v>
      </c>
      <c r="Q263" t="s">
        <v>485</v>
      </c>
      <c r="R263">
        <v>1.5309999999999999</v>
      </c>
      <c r="S263" t="s">
        <v>489</v>
      </c>
    </row>
    <row r="264" spans="1:19">
      <c r="A264" t="s">
        <v>509</v>
      </c>
      <c r="B264" t="s">
        <v>109</v>
      </c>
      <c r="C264" t="s">
        <v>464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482</v>
      </c>
      <c r="Q264" t="s">
        <v>485</v>
      </c>
      <c r="R264">
        <v>1.651</v>
      </c>
      <c r="S264" t="s">
        <v>489</v>
      </c>
    </row>
    <row r="265" spans="1:19">
      <c r="A265" t="s">
        <v>509</v>
      </c>
      <c r="B265" t="s">
        <v>472</v>
      </c>
      <c r="C265" t="s">
        <v>464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482</v>
      </c>
      <c r="Q265" t="s">
        <v>485</v>
      </c>
      <c r="R265">
        <v>1.006</v>
      </c>
      <c r="S265" t="s">
        <v>489</v>
      </c>
    </row>
    <row r="266" spans="1:19">
      <c r="A266" t="s">
        <v>509</v>
      </c>
      <c r="B266" t="s">
        <v>470</v>
      </c>
      <c r="C266" t="s">
        <v>464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482</v>
      </c>
      <c r="Q266" t="s">
        <v>485</v>
      </c>
      <c r="R266">
        <v>1.006</v>
      </c>
      <c r="S266" t="s">
        <v>489</v>
      </c>
    </row>
    <row r="267" spans="1:19">
      <c r="A267" t="s">
        <v>509</v>
      </c>
      <c r="B267" t="s">
        <v>474</v>
      </c>
      <c r="C267" t="s">
        <v>464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482</v>
      </c>
      <c r="Q267" t="s">
        <v>485</v>
      </c>
      <c r="R267">
        <v>1.006</v>
      </c>
      <c r="S267" t="s">
        <v>489</v>
      </c>
    </row>
    <row r="268" spans="1:19">
      <c r="A268" t="s">
        <v>509</v>
      </c>
      <c r="B268" t="s">
        <v>467</v>
      </c>
      <c r="C268" t="s">
        <v>464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482</v>
      </c>
      <c r="Q268" t="s">
        <v>485</v>
      </c>
      <c r="R268">
        <v>2.5680000000000001</v>
      </c>
      <c r="S268" t="s">
        <v>489</v>
      </c>
    </row>
    <row r="269" spans="1:19">
      <c r="A269" t="s">
        <v>509</v>
      </c>
      <c r="B269" t="s">
        <v>468</v>
      </c>
      <c r="C269" t="s">
        <v>464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482</v>
      </c>
      <c r="Q269" t="s">
        <v>485</v>
      </c>
      <c r="R269">
        <v>1.8320000000000001</v>
      </c>
      <c r="S269" t="s">
        <v>489</v>
      </c>
    </row>
    <row r="270" spans="1:19">
      <c r="A270" t="s">
        <v>509</v>
      </c>
      <c r="B270" t="s">
        <v>469</v>
      </c>
      <c r="C270" t="s">
        <v>464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482</v>
      </c>
      <c r="Q270" t="s">
        <v>485</v>
      </c>
      <c r="R270">
        <v>1.006</v>
      </c>
      <c r="S270" t="s">
        <v>489</v>
      </c>
    </row>
    <row r="271" spans="1:19">
      <c r="A271" t="s">
        <v>509</v>
      </c>
      <c r="B271" t="s">
        <v>473</v>
      </c>
      <c r="C271" t="s">
        <v>464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482</v>
      </c>
      <c r="Q271" t="s">
        <v>485</v>
      </c>
      <c r="R271">
        <v>1.006</v>
      </c>
      <c r="S271" t="s">
        <v>489</v>
      </c>
    </row>
    <row r="272" spans="1:19">
      <c r="A272" t="s">
        <v>509</v>
      </c>
      <c r="B272" t="s">
        <v>471</v>
      </c>
      <c r="C272" t="s">
        <v>464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482</v>
      </c>
      <c r="Q272" t="s">
        <v>485</v>
      </c>
      <c r="R272">
        <v>1.006</v>
      </c>
      <c r="S272" t="s">
        <v>489</v>
      </c>
    </row>
    <row r="273" spans="1:17">
      <c r="A273" t="s">
        <v>509</v>
      </c>
      <c r="B273" t="s">
        <v>475</v>
      </c>
      <c r="C273" t="s">
        <v>464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486</v>
      </c>
      <c r="Q273" t="s">
        <v>485</v>
      </c>
    </row>
    <row r="274" spans="1:17">
      <c r="A274" t="s">
        <v>509</v>
      </c>
      <c r="B274" t="s">
        <v>477</v>
      </c>
      <c r="C274" t="s">
        <v>212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509</v>
      </c>
      <c r="B275" t="s">
        <v>478</v>
      </c>
      <c r="C275" t="s">
        <v>276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509</v>
      </c>
      <c r="B276" t="s">
        <v>476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487</v>
      </c>
    </row>
    <row r="277" spans="1:17">
      <c r="A277" t="s">
        <v>509</v>
      </c>
      <c r="B277" t="s">
        <v>476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487</v>
      </c>
    </row>
    <row r="278" spans="1:17">
      <c r="A278" t="s">
        <v>509</v>
      </c>
      <c r="B278" t="s">
        <v>476</v>
      </c>
      <c r="C278" t="s">
        <v>464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487</v>
      </c>
    </row>
    <row r="279" spans="1:17">
      <c r="A279" t="s">
        <v>509</v>
      </c>
      <c r="B279" t="s">
        <v>490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509</v>
      </c>
      <c r="B280" t="s">
        <v>479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509</v>
      </c>
      <c r="B281" t="s">
        <v>481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509</v>
      </c>
      <c r="B282" t="s">
        <v>480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509</v>
      </c>
      <c r="B283" t="s">
        <v>479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509</v>
      </c>
      <c r="B284" t="s">
        <v>481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509</v>
      </c>
      <c r="B285" t="s">
        <v>480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509</v>
      </c>
      <c r="B286" t="s">
        <v>479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509</v>
      </c>
      <c r="B287" t="s">
        <v>481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509</v>
      </c>
      <c r="B288" t="s">
        <v>480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H18" sqref="H18"/>
    </sheetView>
  </sheetViews>
  <sheetFormatPr defaultColWidth="11.42578125" defaultRowHeight="15"/>
  <cols>
    <col min="1" max="1" width="18" customWidth="1"/>
    <col min="2" max="2" width="25.5703125" customWidth="1"/>
    <col min="3" max="9" width="15.42578125" customWidth="1"/>
    <col min="10" max="10" width="13.5703125" bestFit="1" customWidth="1"/>
    <col min="11" max="11" width="2" customWidth="1"/>
    <col min="12" max="12" width="20.42578125" bestFit="1" customWidth="1"/>
    <col min="13" max="13" width="30" bestFit="1" customWidth="1"/>
    <col min="14" max="14" width="26.42578125" bestFit="1" customWidth="1"/>
  </cols>
  <sheetData>
    <row r="1" spans="1:15">
      <c r="A1" t="s">
        <v>429</v>
      </c>
    </row>
    <row r="2" spans="1:15">
      <c r="A2" t="s">
        <v>4</v>
      </c>
    </row>
    <row r="3" spans="1:15">
      <c r="A3" t="s">
        <v>401</v>
      </c>
    </row>
    <row r="5" spans="1:15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509</v>
      </c>
      <c r="B6" t="s">
        <v>328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491</v>
      </c>
      <c r="O6" t="s">
        <v>492</v>
      </c>
    </row>
    <row r="7" spans="1:15">
      <c r="A7" t="s">
        <v>509</v>
      </c>
      <c r="B7" t="s">
        <v>329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491</v>
      </c>
      <c r="O7" t="s">
        <v>492</v>
      </c>
    </row>
    <row r="8" spans="1:15">
      <c r="A8" t="s">
        <v>509</v>
      </c>
      <c r="B8" t="s">
        <v>330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491</v>
      </c>
      <c r="O8" t="s">
        <v>492</v>
      </c>
    </row>
    <row r="9" spans="1:15">
      <c r="A9" t="s">
        <v>509</v>
      </c>
      <c r="B9" t="s">
        <v>331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491</v>
      </c>
      <c r="O9" t="s">
        <v>492</v>
      </c>
    </row>
    <row r="10" spans="1:15">
      <c r="A10" t="s">
        <v>509</v>
      </c>
      <c r="B10" t="s">
        <v>332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491</v>
      </c>
      <c r="O10" t="s">
        <v>492</v>
      </c>
    </row>
    <row r="11" spans="1:15">
      <c r="A11" t="s">
        <v>509</v>
      </c>
      <c r="B11" t="s">
        <v>333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491</v>
      </c>
      <c r="O11" t="s">
        <v>492</v>
      </c>
    </row>
    <row r="12" spans="1:15">
      <c r="A12" t="s">
        <v>509</v>
      </c>
      <c r="B12" t="s">
        <v>334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493</v>
      </c>
      <c r="O12" t="s">
        <v>494</v>
      </c>
    </row>
    <row r="13" spans="1:15">
      <c r="A13" t="s">
        <v>509</v>
      </c>
      <c r="B13" t="s">
        <v>338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493</v>
      </c>
      <c r="O13" t="s">
        <v>494</v>
      </c>
    </row>
    <row r="14" spans="1:15">
      <c r="A14" t="s">
        <v>509</v>
      </c>
      <c r="B14" t="s">
        <v>339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493</v>
      </c>
      <c r="O14" t="s">
        <v>494</v>
      </c>
    </row>
    <row r="15" spans="1:15">
      <c r="A15" t="s">
        <v>509</v>
      </c>
      <c r="B15" t="s">
        <v>344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493</v>
      </c>
      <c r="O15" t="s">
        <v>494</v>
      </c>
    </row>
    <row r="16" spans="1:15">
      <c r="A16" t="s">
        <v>509</v>
      </c>
      <c r="B16" t="s">
        <v>345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493</v>
      </c>
      <c r="O16" t="s">
        <v>494</v>
      </c>
    </row>
    <row r="17" spans="1:25">
      <c r="A17" t="s">
        <v>509</v>
      </c>
      <c r="B17" t="s">
        <v>346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493</v>
      </c>
      <c r="O17" t="s">
        <v>486</v>
      </c>
      <c r="P17" t="s">
        <v>485</v>
      </c>
    </row>
    <row r="18" spans="1:25">
      <c r="A18" t="s">
        <v>509</v>
      </c>
      <c r="B18" t="s">
        <v>357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495</v>
      </c>
    </row>
    <row r="19" spans="1:25">
      <c r="A19" t="s">
        <v>509</v>
      </c>
      <c r="B19" t="s">
        <v>359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495</v>
      </c>
    </row>
    <row r="20" spans="1:25">
      <c r="A20" t="s">
        <v>509</v>
      </c>
      <c r="B20" t="s">
        <v>360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496</v>
      </c>
    </row>
    <row r="21" spans="1:25">
      <c r="A21" t="s">
        <v>509</v>
      </c>
      <c r="B21" t="s">
        <v>466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491</v>
      </c>
      <c r="O21" t="s">
        <v>492</v>
      </c>
    </row>
    <row r="22" spans="1:25" s="33" customFormat="1">
      <c r="A22" t="s">
        <v>509</v>
      </c>
      <c r="B22" t="s">
        <v>108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491</v>
      </c>
      <c r="O22" t="s">
        <v>492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509</v>
      </c>
      <c r="B23" t="s">
        <v>109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491</v>
      </c>
      <c r="O23" t="s">
        <v>492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509</v>
      </c>
      <c r="B24" t="s">
        <v>472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491</v>
      </c>
      <c r="O24" t="s">
        <v>492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509</v>
      </c>
      <c r="B25" t="s">
        <v>470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491</v>
      </c>
      <c r="O25" t="s">
        <v>492</v>
      </c>
    </row>
    <row r="26" spans="1:25">
      <c r="A26" t="s">
        <v>509</v>
      </c>
      <c r="B26" t="s">
        <v>474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491</v>
      </c>
      <c r="O26" t="s">
        <v>492</v>
      </c>
    </row>
    <row r="27" spans="1:25">
      <c r="A27" t="s">
        <v>509</v>
      </c>
      <c r="B27" t="s">
        <v>467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493</v>
      </c>
      <c r="O27" t="s">
        <v>494</v>
      </c>
    </row>
    <row r="28" spans="1:25">
      <c r="A28" t="s">
        <v>509</v>
      </c>
      <c r="B28" t="s">
        <v>468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493</v>
      </c>
      <c r="O28" t="s">
        <v>494</v>
      </c>
    </row>
    <row r="29" spans="1:25">
      <c r="A29" t="s">
        <v>509</v>
      </c>
      <c r="B29" t="s">
        <v>469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493</v>
      </c>
      <c r="O29" t="s">
        <v>494</v>
      </c>
    </row>
    <row r="30" spans="1:25">
      <c r="A30" t="s">
        <v>509</v>
      </c>
      <c r="B30" t="s">
        <v>473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493</v>
      </c>
      <c r="O30" t="s">
        <v>494</v>
      </c>
    </row>
    <row r="31" spans="1:25">
      <c r="A31" t="s">
        <v>509</v>
      </c>
      <c r="B31" t="s">
        <v>471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493</v>
      </c>
      <c r="O31" t="s">
        <v>494</v>
      </c>
    </row>
    <row r="32" spans="1:25">
      <c r="A32" t="s">
        <v>509</v>
      </c>
      <c r="B32" t="s">
        <v>475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493</v>
      </c>
      <c r="O32" t="s">
        <v>486</v>
      </c>
      <c r="P32" t="s">
        <v>485</v>
      </c>
    </row>
    <row r="33" spans="1:14">
      <c r="A33" t="s">
        <v>509</v>
      </c>
      <c r="B33" t="s">
        <v>477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495</v>
      </c>
    </row>
    <row r="34" spans="1:14">
      <c r="A34" t="s">
        <v>509</v>
      </c>
      <c r="B34" t="s">
        <v>478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495</v>
      </c>
    </row>
    <row r="35" spans="1:14">
      <c r="A35" t="s">
        <v>509</v>
      </c>
      <c r="B35" t="s">
        <v>476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496</v>
      </c>
    </row>
    <row r="36" spans="1:14">
      <c r="A36" t="s">
        <v>509</v>
      </c>
      <c r="B36" t="s">
        <v>490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509</v>
      </c>
      <c r="B37" t="s">
        <v>479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506</v>
      </c>
    </row>
    <row r="38" spans="1:14">
      <c r="A38" t="s">
        <v>509</v>
      </c>
      <c r="B38" t="s">
        <v>481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506</v>
      </c>
    </row>
    <row r="39" spans="1:14">
      <c r="A39" t="s">
        <v>509</v>
      </c>
      <c r="B39" t="s">
        <v>480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506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topLeftCell="A71" workbookViewId="0">
      <selection activeCell="M89" sqref="M89"/>
    </sheetView>
  </sheetViews>
  <sheetFormatPr defaultColWidth="11.42578125" defaultRowHeight="15"/>
  <cols>
    <col min="2" max="2" width="20.42578125" customWidth="1"/>
    <col min="3" max="3" width="19.5703125" bestFit="1" customWidth="1"/>
    <col min="12" max="12" width="2.140625" customWidth="1"/>
  </cols>
  <sheetData>
    <row r="1" spans="1:11">
      <c r="A1" t="s">
        <v>430</v>
      </c>
    </row>
    <row r="2" spans="1:11">
      <c r="A2" t="s">
        <v>374</v>
      </c>
    </row>
    <row r="3" spans="1:11">
      <c r="A3" t="s">
        <v>393</v>
      </c>
    </row>
    <row r="5" spans="1:11">
      <c r="A5" t="s">
        <v>20</v>
      </c>
      <c r="B5" t="s">
        <v>26</v>
      </c>
      <c r="C5" t="s">
        <v>371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509</v>
      </c>
      <c r="B6" t="s">
        <v>134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509</v>
      </c>
      <c r="B7" t="s">
        <v>135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509</v>
      </c>
      <c r="B8" t="s">
        <v>129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509</v>
      </c>
      <c r="B9" t="s">
        <v>61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509</v>
      </c>
      <c r="B10" t="s">
        <v>130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509</v>
      </c>
      <c r="B11" t="s">
        <v>131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509</v>
      </c>
      <c r="B12" t="s">
        <v>60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509</v>
      </c>
      <c r="B13" t="s">
        <v>59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509</v>
      </c>
      <c r="B14" t="s">
        <v>136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509</v>
      </c>
      <c r="B15" t="s">
        <v>107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509</v>
      </c>
      <c r="B16" t="s">
        <v>106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509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509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509</v>
      </c>
      <c r="B19" t="s">
        <v>58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509</v>
      </c>
      <c r="B20" t="s">
        <v>163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509</v>
      </c>
      <c r="B21" t="s">
        <v>137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509</v>
      </c>
      <c r="B22" t="s">
        <v>62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509</v>
      </c>
      <c r="B23" t="s">
        <v>138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509</v>
      </c>
      <c r="B24" t="s">
        <v>132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509</v>
      </c>
      <c r="B25" t="s">
        <v>133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509</v>
      </c>
      <c r="B26" t="s">
        <v>64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509</v>
      </c>
      <c r="B27" t="s">
        <v>127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509</v>
      </c>
      <c r="B28" t="s">
        <v>63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509</v>
      </c>
      <c r="B29" t="s">
        <v>128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509</v>
      </c>
      <c r="B30" t="s">
        <v>88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509</v>
      </c>
      <c r="B31" t="s">
        <v>91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509</v>
      </c>
      <c r="B32" t="s">
        <v>92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509</v>
      </c>
      <c r="B33" t="s">
        <v>100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509</v>
      </c>
      <c r="B34" t="s">
        <v>101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509</v>
      </c>
      <c r="B35" t="s">
        <v>105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509</v>
      </c>
      <c r="B36" t="s">
        <v>102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509</v>
      </c>
      <c r="B37" t="s">
        <v>103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509</v>
      </c>
      <c r="B38" t="s">
        <v>104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509</v>
      </c>
      <c r="B39" t="s">
        <v>99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509</v>
      </c>
      <c r="B40" t="s">
        <v>94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509</v>
      </c>
      <c r="B41" t="s">
        <v>93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509</v>
      </c>
      <c r="B42" t="s">
        <v>95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509</v>
      </c>
      <c r="B43" t="s">
        <v>170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509</v>
      </c>
      <c r="B44" t="s">
        <v>171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509</v>
      </c>
      <c r="B45" t="s">
        <v>172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509</v>
      </c>
      <c r="B46" t="s">
        <v>97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509</v>
      </c>
      <c r="B47" t="s">
        <v>96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509</v>
      </c>
      <c r="B48" t="s">
        <v>98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509</v>
      </c>
      <c r="B49" t="s">
        <v>158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509</v>
      </c>
      <c r="B50" t="s">
        <v>125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509</v>
      </c>
      <c r="B51" t="s">
        <v>126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509</v>
      </c>
      <c r="B52" t="s">
        <v>126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509</v>
      </c>
      <c r="B53" t="s">
        <v>162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509</v>
      </c>
      <c r="B54" t="s">
        <v>162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509</v>
      </c>
      <c r="B55" t="s">
        <v>187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509</v>
      </c>
      <c r="B56" t="s">
        <v>186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509</v>
      </c>
      <c r="B57" t="s">
        <v>185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509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509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509</v>
      </c>
      <c r="B60" t="s">
        <v>198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509</v>
      </c>
      <c r="B61" t="s">
        <v>199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509</v>
      </c>
      <c r="B62" t="s">
        <v>200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509</v>
      </c>
      <c r="B63" t="s">
        <v>270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509</v>
      </c>
      <c r="B64" t="s">
        <v>254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509</v>
      </c>
      <c r="B65" t="s">
        <v>254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509</v>
      </c>
      <c r="B66" t="s">
        <v>254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509</v>
      </c>
      <c r="B67" t="s">
        <v>254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509</v>
      </c>
      <c r="B68" t="s">
        <v>254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509</v>
      </c>
      <c r="B69" t="s">
        <v>254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509</v>
      </c>
      <c r="B70" t="s">
        <v>255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509</v>
      </c>
      <c r="B71" t="s">
        <v>267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509</v>
      </c>
      <c r="B72" t="s">
        <v>261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509</v>
      </c>
      <c r="B73" t="s">
        <v>262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509</v>
      </c>
      <c r="B74" t="s">
        <v>268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509</v>
      </c>
      <c r="B75" t="s">
        <v>259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509</v>
      </c>
      <c r="B76" t="s">
        <v>260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509</v>
      </c>
      <c r="B77" t="s">
        <v>263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509</v>
      </c>
      <c r="B78" t="s">
        <v>264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509</v>
      </c>
      <c r="B79" t="s">
        <v>256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509</v>
      </c>
      <c r="B80" t="s">
        <v>257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509</v>
      </c>
      <c r="B81" t="s">
        <v>258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509</v>
      </c>
      <c r="B82" t="s">
        <v>269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509</v>
      </c>
      <c r="B83" t="s">
        <v>266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509</v>
      </c>
      <c r="B84" t="s">
        <v>334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509</v>
      </c>
      <c r="B85" t="s">
        <v>329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509</v>
      </c>
      <c r="B86" t="s">
        <v>332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509</v>
      </c>
      <c r="B87" t="s">
        <v>331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509</v>
      </c>
      <c r="B88" t="s">
        <v>333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509</v>
      </c>
      <c r="B89" t="s">
        <v>330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509</v>
      </c>
      <c r="B90" t="s">
        <v>337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509</v>
      </c>
      <c r="B91" t="s">
        <v>89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298</v>
      </c>
      <c r="B92" t="s">
        <v>89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290</v>
      </c>
      <c r="B93" t="s">
        <v>89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283</v>
      </c>
      <c r="B94" t="s">
        <v>89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285</v>
      </c>
      <c r="B95" t="s">
        <v>89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509</v>
      </c>
      <c r="B96" t="s">
        <v>90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306</v>
      </c>
      <c r="B97" t="s">
        <v>90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302</v>
      </c>
      <c r="B98" t="s">
        <v>90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298</v>
      </c>
      <c r="B99" t="s">
        <v>90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283</v>
      </c>
      <c r="B100" t="s">
        <v>90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509</v>
      </c>
      <c r="B101" s="2" t="s">
        <v>359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509</v>
      </c>
      <c r="B102" s="2" t="s">
        <v>360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509</v>
      </c>
      <c r="B103" t="s">
        <v>361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509</v>
      </c>
      <c r="B104" t="s">
        <v>477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497</v>
      </c>
      <c r="P104">
        <v>1.4733516980271617</v>
      </c>
    </row>
    <row r="105" spans="1:16">
      <c r="A105" t="s">
        <v>509</v>
      </c>
      <c r="B105" t="s">
        <v>478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2578125" defaultRowHeight="15"/>
  <cols>
    <col min="1" max="1" width="11.42578125" style="5"/>
    <col min="2" max="2" width="24.140625" style="5" customWidth="1"/>
    <col min="3" max="3" width="11.42578125" style="5"/>
    <col min="4" max="9" width="15.5703125" style="5" customWidth="1"/>
    <col min="10" max="10" width="11.42578125" style="5"/>
    <col min="11" max="11" width="2" style="5" customWidth="1"/>
    <col min="12" max="12" width="23.42578125" style="5" customWidth="1"/>
    <col min="13" max="13" width="46.85546875" style="5" customWidth="1"/>
    <col min="14" max="14" width="26.140625" style="5" bestFit="1" customWidth="1"/>
    <col min="15" max="16384" width="11.42578125" style="5"/>
  </cols>
  <sheetData>
    <row r="1" spans="1:15">
      <c r="A1" t="s">
        <v>431</v>
      </c>
    </row>
    <row r="2" spans="1:15">
      <c r="A2" s="5" t="s">
        <v>3</v>
      </c>
    </row>
    <row r="3" spans="1:15">
      <c r="A3" t="s">
        <v>401</v>
      </c>
    </row>
    <row r="5" spans="1:15">
      <c r="A5" s="5" t="s">
        <v>20</v>
      </c>
      <c r="B5" s="5" t="s">
        <v>26</v>
      </c>
      <c r="C5" s="5">
        <v>2018</v>
      </c>
      <c r="D5" s="5">
        <v>2020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509</v>
      </c>
      <c r="B6" s="5" t="s">
        <v>328</v>
      </c>
      <c r="C6" s="5">
        <f>[5]Par_CapitalCost!C6*0.03</f>
        <v>28.41</v>
      </c>
      <c r="D6" s="5">
        <f>[5]Par_CapitalCost!D6*0.03</f>
        <v>28.41</v>
      </c>
      <c r="E6" s="5">
        <f>[5]Par_CapitalCost!E6*0.03</f>
        <v>28.41</v>
      </c>
      <c r="F6" s="5">
        <f>[5]Par_CapitalCost!F6*0.03</f>
        <v>28.41</v>
      </c>
      <c r="G6" s="5">
        <f>[5]Par_CapitalCost!G6*0.03</f>
        <v>28.41</v>
      </c>
      <c r="H6" s="5">
        <f>[5]Par_CapitalCost!H6*0.03</f>
        <v>25.568999999999999</v>
      </c>
      <c r="I6" s="5">
        <f>[5]Par_CapitalCost!I6*0.03</f>
        <v>25.568999999999999</v>
      </c>
      <c r="J6" s="5">
        <f>[5]Par_CapitalCost!J6*0.03</f>
        <v>25.568999999999999</v>
      </c>
    </row>
    <row r="7" spans="1:15">
      <c r="A7" s="5" t="s">
        <v>509</v>
      </c>
      <c r="B7" s="5" t="s">
        <v>329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509</v>
      </c>
      <c r="B8" s="5" t="s">
        <v>330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509</v>
      </c>
      <c r="B9" s="5" t="s">
        <v>331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509</v>
      </c>
      <c r="B10" s="5" t="s">
        <v>332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509</v>
      </c>
      <c r="B11" s="5" t="s">
        <v>333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509</v>
      </c>
      <c r="B12" s="5" t="s">
        <v>334</v>
      </c>
      <c r="C12" s="5">
        <f>[5]Par_CapitalCost!C12*0.03</f>
        <v>23.13</v>
      </c>
      <c r="D12" s="5">
        <f>[5]Par_CapitalCost!D12*0.03</f>
        <v>21.93</v>
      </c>
      <c r="E12" s="5">
        <f>[5]Par_CapitalCost!E12*0.03</f>
        <v>21.18</v>
      </c>
      <c r="F12" s="5">
        <f>[5]Par_CapitalCost!F12*0.03</f>
        <v>20.399999999999999</v>
      </c>
      <c r="G12" s="5">
        <f>[5]Par_CapitalCost!G12*0.03</f>
        <v>19.59</v>
      </c>
      <c r="H12" s="5">
        <f>[5]Par_CapitalCost!H12*0.03</f>
        <v>18.96</v>
      </c>
      <c r="I12" s="5">
        <f>[5]Par_CapitalCost!I12*0.03</f>
        <v>18.27</v>
      </c>
      <c r="J12" s="5">
        <f>[5]Par_CapitalCost!J12*0.03</f>
        <v>17.669999999999998</v>
      </c>
    </row>
    <row r="13" spans="1:15">
      <c r="A13" s="5" t="s">
        <v>509</v>
      </c>
      <c r="B13" s="5" t="s">
        <v>338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509</v>
      </c>
      <c r="B14" s="5" t="s">
        <v>339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509</v>
      </c>
      <c r="B15" s="5" t="s">
        <v>344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509</v>
      </c>
      <c r="B16" s="5" t="s">
        <v>345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509</v>
      </c>
      <c r="B17" s="5" t="s">
        <v>346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509</v>
      </c>
      <c r="B18" s="5" t="s">
        <v>357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509</v>
      </c>
      <c r="B19" s="5" t="s">
        <v>359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509</v>
      </c>
      <c r="B20" s="5" t="s">
        <v>360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509</v>
      </c>
      <c r="B21" s="5" t="s">
        <v>479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509</v>
      </c>
      <c r="B22" s="5" t="s">
        <v>481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509</v>
      </c>
      <c r="B23" s="5" t="s">
        <v>480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509</v>
      </c>
      <c r="B24" s="5" t="s">
        <v>466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509</v>
      </c>
      <c r="B25" s="5" t="s">
        <v>108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509</v>
      </c>
      <c r="B26" s="5" t="s">
        <v>109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509</v>
      </c>
      <c r="B27" s="5" t="s">
        <v>472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509</v>
      </c>
      <c r="B28" s="5" t="s">
        <v>470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509</v>
      </c>
      <c r="B29" s="5" t="s">
        <v>474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509</v>
      </c>
      <c r="B30" s="5" t="s">
        <v>467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491</v>
      </c>
    </row>
    <row r="31" spans="1:14">
      <c r="A31" s="5" t="s">
        <v>509</v>
      </c>
      <c r="B31" s="5" t="s">
        <v>468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491</v>
      </c>
    </row>
    <row r="32" spans="1:14">
      <c r="A32" s="5" t="s">
        <v>509</v>
      </c>
      <c r="B32" s="5" t="s">
        <v>469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491</v>
      </c>
    </row>
    <row r="33" spans="1:14">
      <c r="A33" s="5" t="s">
        <v>509</v>
      </c>
      <c r="B33" s="5" t="s">
        <v>473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491</v>
      </c>
    </row>
    <row r="34" spans="1:14">
      <c r="A34" s="5" t="s">
        <v>509</v>
      </c>
      <c r="B34" s="5" t="s">
        <v>471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491</v>
      </c>
    </row>
    <row r="35" spans="1:14">
      <c r="A35" s="5" t="s">
        <v>509</v>
      </c>
      <c r="B35" s="5" t="s">
        <v>475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491</v>
      </c>
    </row>
    <row r="36" spans="1:14">
      <c r="A36" s="5" t="s">
        <v>509</v>
      </c>
      <c r="B36" s="5" t="s">
        <v>477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493</v>
      </c>
    </row>
    <row r="37" spans="1:14">
      <c r="A37" s="5" t="s">
        <v>509</v>
      </c>
      <c r="B37" s="5" t="s">
        <v>478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493</v>
      </c>
    </row>
    <row r="38" spans="1:14">
      <c r="A38" s="5" t="s">
        <v>509</v>
      </c>
      <c r="B38" s="5" t="s">
        <v>476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498</v>
      </c>
    </row>
    <row r="39" spans="1:14">
      <c r="A39" s="5" t="s">
        <v>509</v>
      </c>
      <c r="B39" s="5" t="s">
        <v>490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22"/>
  <sheetViews>
    <sheetView zoomScale="110" zoomScaleNormal="110" zoomScalePageLayoutView="90" workbookViewId="0">
      <selection activeCell="B10" sqref="B10"/>
    </sheetView>
  </sheetViews>
  <sheetFormatPr defaultColWidth="11.42578125" defaultRowHeight="15"/>
  <cols>
    <col min="1" max="1" width="19" customWidth="1"/>
    <col min="2" max="2" width="28.42578125" customWidth="1"/>
    <col min="3" max="3" width="29.140625" customWidth="1"/>
    <col min="11" max="11" width="3.42578125" customWidth="1"/>
    <col min="12" max="12" width="13" bestFit="1" customWidth="1"/>
    <col min="13" max="13" width="17.42578125" bestFit="1" customWidth="1"/>
  </cols>
  <sheetData>
    <row r="1" spans="1:10">
      <c r="A1" t="s">
        <v>432</v>
      </c>
    </row>
    <row r="2" spans="1:10">
      <c r="A2" t="s">
        <v>5</v>
      </c>
    </row>
    <row r="3" spans="1:10">
      <c r="A3" t="s">
        <v>395</v>
      </c>
    </row>
    <row r="5" spans="1:10">
      <c r="C5" s="47">
        <v>2018</v>
      </c>
      <c r="D5" s="47">
        <v>2021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5" customHeight="1">
      <c r="A6" s="9" t="s">
        <v>509</v>
      </c>
      <c r="B6" s="50" t="s">
        <v>515</v>
      </c>
      <c r="C6" s="50">
        <v>1.111E-2</v>
      </c>
      <c r="D6" s="50">
        <v>2.3300000000000001E-2</v>
      </c>
    </row>
    <row r="7" spans="1:10" ht="14.45" customHeight="1">
      <c r="A7" s="9" t="s">
        <v>509</v>
      </c>
      <c r="B7" s="50" t="s">
        <v>94</v>
      </c>
      <c r="C7" s="50">
        <v>3.7139999999999999E-2</v>
      </c>
      <c r="D7" s="50">
        <v>4.4400000000000002E-2</v>
      </c>
    </row>
    <row r="8" spans="1:10" ht="14.45" customHeight="1">
      <c r="A8" s="9" t="s">
        <v>509</v>
      </c>
      <c r="B8" s="50" t="s">
        <v>103</v>
      </c>
      <c r="C8" s="50">
        <v>2.0000000000000001E-4</v>
      </c>
      <c r="D8" s="50">
        <v>2.0000000000000001E-4</v>
      </c>
    </row>
    <row r="9" spans="1:10" ht="14.45" customHeight="1">
      <c r="A9" s="9" t="s">
        <v>509</v>
      </c>
      <c r="B9" s="50" t="s">
        <v>163</v>
      </c>
      <c r="C9" s="50">
        <v>5.8999999999999997E-2</v>
      </c>
      <c r="D9" s="50">
        <v>5.8999999999999997E-2</v>
      </c>
    </row>
    <row r="10" spans="1:10" ht="14.45" customHeight="1">
      <c r="A10" s="9" t="s">
        <v>509</v>
      </c>
      <c r="B10" s="50" t="s">
        <v>107</v>
      </c>
      <c r="C10" s="50">
        <v>3.4000000000000002E-2</v>
      </c>
      <c r="D10" s="50">
        <v>3.4000000000000002E-2</v>
      </c>
    </row>
    <row r="11" spans="1:10" ht="14.45" customHeight="1">
      <c r="A11" s="9" t="s">
        <v>510</v>
      </c>
      <c r="B11" s="50" t="s">
        <v>515</v>
      </c>
      <c r="C11" s="50">
        <v>5.7800000000000004E-3</v>
      </c>
      <c r="D11" s="50">
        <v>1.6E-2</v>
      </c>
    </row>
    <row r="12" spans="1:10" ht="14.45" customHeight="1">
      <c r="A12" s="9" t="s">
        <v>510</v>
      </c>
      <c r="B12" s="50" t="s">
        <v>94</v>
      </c>
      <c r="C12" s="50">
        <v>3.1050000000000001E-2</v>
      </c>
      <c r="D12" s="50">
        <v>3.5209999999999998E-2</v>
      </c>
    </row>
    <row r="13" spans="1:10" ht="14.45" customHeight="1">
      <c r="A13" s="9" t="s">
        <v>510</v>
      </c>
      <c r="B13" s="50" t="s">
        <v>103</v>
      </c>
      <c r="C13" s="50">
        <v>1.0370000000000001E-2</v>
      </c>
      <c r="D13" s="50">
        <v>1.0370000000000001E-2</v>
      </c>
    </row>
    <row r="14" spans="1:10" ht="14.45" customHeight="1">
      <c r="A14" s="9" t="s">
        <v>510</v>
      </c>
      <c r="B14" s="50" t="s">
        <v>105</v>
      </c>
      <c r="C14" s="50">
        <v>1.47E-2</v>
      </c>
      <c r="D14" s="50">
        <v>1.47E-2</v>
      </c>
    </row>
    <row r="15" spans="1:10" ht="14.45" customHeight="1">
      <c r="A15" s="9" t="s">
        <v>510</v>
      </c>
      <c r="B15" s="50" t="s">
        <v>58</v>
      </c>
      <c r="C15" s="50">
        <f>0.326</f>
        <v>0.32600000000000001</v>
      </c>
      <c r="D15" s="50">
        <v>0.30099999999999999</v>
      </c>
    </row>
    <row r="16" spans="1:10" ht="14.45" customHeight="1">
      <c r="A16" s="9" t="s">
        <v>511</v>
      </c>
      <c r="B16" s="50" t="s">
        <v>515</v>
      </c>
      <c r="C16" s="51">
        <v>3.8600000000000001E-3</v>
      </c>
      <c r="D16" s="51">
        <v>3.8999999999999998E-3</v>
      </c>
      <c r="E16" s="5"/>
      <c r="F16" s="5"/>
      <c r="G16" s="5"/>
      <c r="H16" s="5"/>
      <c r="I16" s="5"/>
      <c r="J16" s="5"/>
    </row>
    <row r="17" spans="1:10" ht="14.45" customHeight="1">
      <c r="A17" s="9" t="s">
        <v>511</v>
      </c>
      <c r="B17" s="50" t="s">
        <v>94</v>
      </c>
      <c r="C17" s="51">
        <f>0.00222</f>
        <v>2.2200000000000002E-3</v>
      </c>
      <c r="D17" s="50">
        <v>2.1299999999999999E-3</v>
      </c>
      <c r="E17" s="5"/>
      <c r="F17" s="5"/>
      <c r="G17" s="5"/>
      <c r="H17" s="5"/>
      <c r="I17" s="5"/>
      <c r="J17" s="5"/>
    </row>
    <row r="18" spans="1:10" ht="14.45" customHeight="1">
      <c r="A18" s="9" t="s">
        <v>511</v>
      </c>
      <c r="B18" s="50" t="s">
        <v>58</v>
      </c>
      <c r="C18" s="51">
        <v>7.1000000000000004E-3</v>
      </c>
      <c r="D18" s="51">
        <v>7.1000000000000004E-3</v>
      </c>
      <c r="E18" s="5"/>
      <c r="F18" s="5"/>
      <c r="G18" s="5"/>
      <c r="H18" s="5"/>
      <c r="I18" s="5"/>
      <c r="J18" s="5"/>
    </row>
    <row r="19" spans="1:10" ht="14.45" customHeight="1">
      <c r="A19" s="9" t="s">
        <v>512</v>
      </c>
      <c r="B19" s="50" t="s">
        <v>515</v>
      </c>
      <c r="C19" s="50">
        <v>3.5999999999999999E-3</v>
      </c>
      <c r="D19" s="50">
        <v>8.8999999999999999E-3</v>
      </c>
      <c r="E19" s="5"/>
      <c r="F19" s="5"/>
      <c r="G19" s="5"/>
      <c r="H19" s="5"/>
      <c r="I19" s="5"/>
    </row>
    <row r="20" spans="1:10" ht="14.45" customHeight="1">
      <c r="A20" s="9" t="s">
        <v>512</v>
      </c>
      <c r="B20" s="50" t="s">
        <v>94</v>
      </c>
      <c r="C20" s="50">
        <v>0</v>
      </c>
      <c r="D20" s="50">
        <v>2.5699999999999998E-3</v>
      </c>
      <c r="E20" s="5"/>
      <c r="F20" s="5"/>
      <c r="G20" s="5"/>
      <c r="H20" s="5"/>
      <c r="I20" s="5"/>
    </row>
    <row r="21" spans="1:10" ht="14.45" customHeight="1">
      <c r="A21" s="9" t="s">
        <v>512</v>
      </c>
      <c r="B21" s="50" t="s">
        <v>58</v>
      </c>
      <c r="C21" s="50">
        <v>1.6000000000000001E-3</v>
      </c>
      <c r="D21" s="50">
        <f>0.0016</f>
        <v>1.6000000000000001E-3</v>
      </c>
    </row>
    <row r="22" spans="1:10" ht="14.45" customHeight="1">
      <c r="A22" s="9" t="s">
        <v>513</v>
      </c>
      <c r="B22" s="50" t="s">
        <v>515</v>
      </c>
      <c r="C22" s="50">
        <v>1.9300000000000001E-3</v>
      </c>
      <c r="D22" s="51">
        <v>0</v>
      </c>
      <c r="E22" s="5"/>
      <c r="F22" s="5"/>
      <c r="G22" s="5"/>
      <c r="H22" s="5"/>
      <c r="I22" s="5"/>
      <c r="J22" s="5"/>
    </row>
    <row r="23" spans="1:10" ht="14.45" customHeight="1">
      <c r="A23" s="9" t="s">
        <v>513</v>
      </c>
      <c r="B23" s="50" t="s">
        <v>94</v>
      </c>
      <c r="C23" s="50">
        <v>0</v>
      </c>
      <c r="D23" s="50">
        <v>2.8600000000000001E-3</v>
      </c>
      <c r="E23" s="5"/>
      <c r="F23" s="5"/>
      <c r="G23" s="5"/>
      <c r="H23" s="5"/>
      <c r="I23" s="5"/>
      <c r="J23" s="5"/>
    </row>
    <row r="24" spans="1:10" ht="14.45" customHeight="1">
      <c r="A24" s="9" t="s">
        <v>513</v>
      </c>
      <c r="B24" s="50" t="s">
        <v>58</v>
      </c>
      <c r="C24" s="50">
        <f>0.0015</f>
        <v>1.5E-3</v>
      </c>
      <c r="D24" s="50">
        <v>1.5E-3</v>
      </c>
    </row>
    <row r="25" spans="1:10" ht="14.45" customHeight="1"/>
    <row r="26" spans="1:10" ht="14.45" customHeight="1"/>
    <row r="27" spans="1:10" ht="14.45" customHeight="1"/>
    <row r="28" spans="1:10" ht="14.45" customHeight="1">
      <c r="A28" s="9"/>
    </row>
    <row r="29" spans="1:10" ht="14.45" customHeight="1">
      <c r="A29" s="9"/>
    </row>
    <row r="30" spans="1:10" ht="14.45" customHeight="1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 ht="14.45" customHeight="1"/>
    <row r="32" spans="1:10" ht="14.45" customHeight="1"/>
    <row r="33" spans="1:12" ht="14.45" customHeight="1"/>
    <row r="34" spans="1:12" ht="14.45" customHeight="1">
      <c r="A34" s="9"/>
    </row>
    <row r="35" spans="1:12" ht="14.45" customHeight="1">
      <c r="A35" s="9"/>
    </row>
    <row r="36" spans="1:12" ht="14.45" customHeight="1">
      <c r="A36" s="9"/>
    </row>
    <row r="37" spans="1:12" ht="14.45" customHeight="1">
      <c r="A37" s="9"/>
    </row>
    <row r="38" spans="1:12" ht="14.45" customHeight="1">
      <c r="A38" s="9"/>
    </row>
    <row r="39" spans="1:12" ht="14.45" customHeight="1">
      <c r="A39" s="9"/>
    </row>
    <row r="40" spans="1:12" ht="14.45" customHeight="1">
      <c r="A40" s="29"/>
    </row>
    <row r="41" spans="1:12" ht="14.45" customHeight="1">
      <c r="A41" s="9"/>
    </row>
    <row r="42" spans="1:12" ht="14.45" customHeight="1">
      <c r="A42" s="9"/>
    </row>
    <row r="43" spans="1:12" ht="14.45" customHeight="1">
      <c r="A43" s="9"/>
      <c r="L43" s="16"/>
    </row>
    <row r="44" spans="1:12" ht="14.45" customHeight="1">
      <c r="A44" s="9"/>
    </row>
    <row r="45" spans="1:12" ht="14.45" customHeight="1"/>
    <row r="46" spans="1:12" ht="14.45" customHeight="1"/>
    <row r="47" spans="1:12" ht="14.45" customHeight="1"/>
    <row r="48" spans="1:12" ht="14.45" customHeight="1"/>
    <row r="49" spans="1:12" ht="14.45" customHeight="1">
      <c r="A49" s="9"/>
    </row>
    <row r="50" spans="1:12" ht="14.45" customHeight="1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2" ht="14.45" customHeight="1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2" ht="14.45" customHeight="1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2" ht="14.45" customHeight="1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2" ht="14.4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L54" s="16"/>
    </row>
    <row r="55" spans="1:12" ht="14.45" customHeight="1">
      <c r="A55" s="5"/>
      <c r="B55" s="5"/>
      <c r="C55" s="5"/>
      <c r="D55" s="5"/>
      <c r="E55" s="5"/>
      <c r="F55" s="5"/>
      <c r="G55" s="5"/>
      <c r="H55" s="5"/>
      <c r="I55" s="5"/>
      <c r="J55" s="5"/>
    </row>
    <row r="56" spans="1:12" ht="14.45" customHeight="1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2" ht="14.45" customHeight="1">
      <c r="A57" s="5"/>
      <c r="B57" s="5"/>
      <c r="C57" s="5"/>
      <c r="D57" s="5"/>
      <c r="E57" s="5"/>
      <c r="F57" s="5"/>
      <c r="G57" s="5"/>
      <c r="H57" s="5"/>
      <c r="I57" s="5"/>
      <c r="J57" s="5"/>
    </row>
    <row r="58" spans="1:12" ht="14.45" customHeight="1">
      <c r="A58" s="5"/>
      <c r="B58" s="5"/>
      <c r="C58" s="5"/>
      <c r="D58" s="5"/>
      <c r="E58" s="5"/>
      <c r="F58" s="5"/>
      <c r="G58" s="5"/>
      <c r="H58" s="5"/>
      <c r="I58" s="5"/>
    </row>
    <row r="59" spans="1:12" ht="14.45" customHeight="1">
      <c r="A59" s="38"/>
      <c r="B59" s="5"/>
      <c r="C59" s="5"/>
      <c r="D59" s="5"/>
      <c r="E59" s="5"/>
      <c r="F59" s="5"/>
      <c r="G59" s="5"/>
      <c r="H59" s="5"/>
      <c r="I59" s="5"/>
    </row>
    <row r="60" spans="1:12" ht="14.45" customHeight="1">
      <c r="A60" s="5"/>
      <c r="B60" s="5"/>
      <c r="C60" s="5"/>
      <c r="D60" s="5"/>
      <c r="E60" s="5"/>
      <c r="F60" s="5"/>
      <c r="G60" s="5"/>
      <c r="H60" s="5"/>
      <c r="I60" s="5"/>
    </row>
    <row r="61" spans="1:12" ht="14.45" customHeight="1">
      <c r="A61" s="5"/>
      <c r="B61" s="5"/>
      <c r="C61" s="5"/>
      <c r="D61" s="5"/>
      <c r="E61" s="5"/>
      <c r="F61" s="5"/>
      <c r="G61" s="5"/>
      <c r="H61" s="5"/>
      <c r="I61" s="5"/>
    </row>
    <row r="62" spans="1:12" ht="14.45" customHeight="1">
      <c r="A62" s="5"/>
      <c r="B62" s="5"/>
      <c r="C62" s="5"/>
      <c r="D62" s="5"/>
      <c r="E62" s="5"/>
      <c r="F62" s="5"/>
      <c r="G62" s="5"/>
      <c r="H62" s="5"/>
      <c r="I62" s="5"/>
    </row>
    <row r="63" spans="1:12" ht="14.45" customHeight="1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2" ht="14.45" customHeight="1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2" ht="14.45" customHeight="1">
      <c r="A65" s="5"/>
      <c r="B65" s="5"/>
      <c r="C65" s="5"/>
      <c r="D65" s="5"/>
      <c r="E65" s="5"/>
      <c r="F65" s="5"/>
      <c r="G65" s="5"/>
      <c r="H65" s="5"/>
      <c r="I65" s="5"/>
      <c r="J65" s="5"/>
    </row>
    <row r="66" spans="1:12" ht="14.45" customHeight="1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2" ht="14.45" customHeight="1">
      <c r="A67" s="5"/>
      <c r="B67" s="5"/>
      <c r="C67" s="5"/>
      <c r="D67" s="5"/>
      <c r="E67" s="5"/>
      <c r="F67" s="5"/>
      <c r="G67" s="5"/>
      <c r="H67" s="5"/>
      <c r="I67" s="5"/>
      <c r="J67" s="5"/>
    </row>
    <row r="68" spans="1:12" ht="14.45" customHeight="1">
      <c r="A68" s="9"/>
    </row>
    <row r="69" spans="1:12" ht="14.45" customHeight="1">
      <c r="A69" s="9"/>
    </row>
    <row r="70" spans="1:12" ht="14.45" customHeight="1">
      <c r="A70" s="9"/>
    </row>
    <row r="71" spans="1:12" ht="14.45" customHeight="1">
      <c r="A71" s="29"/>
    </row>
    <row r="72" spans="1:12" ht="14.45" customHeight="1"/>
    <row r="73" spans="1:12" ht="14.45" customHeight="1"/>
    <row r="74" spans="1:12" ht="14.45" customHeight="1">
      <c r="A74" s="9"/>
    </row>
    <row r="75" spans="1:12" ht="14.45" customHeight="1">
      <c r="A75" s="9"/>
    </row>
    <row r="76" spans="1:12" ht="14.45" customHeight="1">
      <c r="A76" s="38"/>
      <c r="B76" s="5"/>
      <c r="C76" s="5"/>
      <c r="D76" s="5"/>
      <c r="E76" s="5"/>
      <c r="F76" s="5"/>
      <c r="G76" s="5"/>
      <c r="H76" s="5"/>
      <c r="I76" s="5"/>
      <c r="J76" s="5"/>
    </row>
    <row r="77" spans="1:12" ht="14.45" customHeight="1">
      <c r="A77" s="9"/>
    </row>
    <row r="78" spans="1:12" ht="14.45" customHeight="1">
      <c r="A78" s="9"/>
      <c r="L78" s="16"/>
    </row>
    <row r="79" spans="1:12" ht="14.45" customHeight="1">
      <c r="A79" s="9"/>
    </row>
    <row r="80" spans="1:12" ht="14.45" customHeight="1">
      <c r="A80" s="9"/>
    </row>
    <row r="81" spans="1:10" ht="14.45" customHeight="1">
      <c r="A81" s="17"/>
      <c r="B81" s="2"/>
    </row>
    <row r="82" spans="1:10" ht="14.45" customHeight="1"/>
    <row r="83" spans="1:10" ht="14.45" customHeight="1"/>
    <row r="84" spans="1:10" ht="14.45" customHeight="1"/>
    <row r="85" spans="1:10" ht="14.45" customHeight="1"/>
    <row r="86" spans="1:10" ht="14.45" customHeight="1">
      <c r="A86" s="9"/>
    </row>
    <row r="87" spans="1:10" ht="14.45" customHeight="1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14.45" customHeight="1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14.45" customHeight="1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14.45" customHeight="1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 ht="14.45" customHeight="1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14.45" customHeight="1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 ht="14.45" customHeight="1">
      <c r="A93" s="5"/>
      <c r="B93" s="5"/>
      <c r="C93" s="5"/>
      <c r="D93" s="5"/>
      <c r="E93" s="5"/>
      <c r="F93" s="5"/>
      <c r="G93" s="5"/>
      <c r="H93" s="5"/>
      <c r="I93" s="5"/>
      <c r="J93" s="5"/>
    </row>
    <row r="94" spans="1:10" ht="14.45" customHeight="1">
      <c r="A94" s="38"/>
      <c r="B94" s="5"/>
      <c r="C94" s="5"/>
      <c r="D94" s="5"/>
      <c r="E94" s="5"/>
      <c r="F94" s="5"/>
      <c r="G94" s="5"/>
      <c r="H94" s="5"/>
      <c r="I94" s="5"/>
      <c r="J94" s="5"/>
    </row>
    <row r="95" spans="1:10" ht="14.45" customHeight="1">
      <c r="A95" s="5"/>
      <c r="B95" s="5"/>
      <c r="C95" s="5"/>
      <c r="D95" s="5"/>
      <c r="E95" s="5"/>
      <c r="F95" s="5"/>
      <c r="G95" s="5"/>
      <c r="H95" s="5"/>
      <c r="I95" s="5"/>
      <c r="J95" s="5"/>
    </row>
    <row r="96" spans="1:10" ht="14.45" customHeight="1">
      <c r="A96" s="5"/>
      <c r="B96" s="5"/>
      <c r="C96" s="5"/>
      <c r="D96" s="5"/>
      <c r="E96" s="5"/>
      <c r="F96" s="5"/>
      <c r="G96" s="5"/>
      <c r="H96" s="5"/>
      <c r="I96" s="5"/>
    </row>
    <row r="97" spans="1:12" ht="14.45" customHeight="1">
      <c r="A97" s="5"/>
      <c r="B97" s="5"/>
      <c r="C97" s="5"/>
      <c r="D97" s="5"/>
      <c r="E97" s="5"/>
      <c r="F97" s="5"/>
      <c r="G97" s="5"/>
      <c r="H97" s="5"/>
      <c r="I97" s="5"/>
    </row>
    <row r="98" spans="1:12" ht="14.45" customHeight="1">
      <c r="A98" s="5"/>
      <c r="B98" s="5"/>
      <c r="C98" s="5"/>
      <c r="D98" s="5"/>
      <c r="E98" s="5"/>
      <c r="F98" s="5"/>
      <c r="G98" s="5"/>
      <c r="H98" s="5"/>
      <c r="I98" s="5"/>
    </row>
    <row r="99" spans="1:12" ht="14.45" customHeight="1">
      <c r="A99" s="5"/>
      <c r="B99" s="5"/>
      <c r="C99" s="5"/>
      <c r="D99" s="5"/>
      <c r="E99" s="5"/>
      <c r="F99" s="5"/>
      <c r="G99" s="5"/>
      <c r="H99" s="5"/>
      <c r="I99" s="5"/>
    </row>
    <row r="100" spans="1:12" ht="14.45" customHeight="1">
      <c r="A100" s="5"/>
      <c r="B100" s="5"/>
      <c r="C100" s="5"/>
      <c r="D100" s="5"/>
      <c r="E100" s="5"/>
      <c r="F100" s="5"/>
      <c r="G100" s="5"/>
      <c r="H100" s="5"/>
      <c r="I100" s="5"/>
    </row>
    <row r="101" spans="1:12" ht="14.4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 spans="1:12" ht="14.4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2" ht="14.4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L103" s="16"/>
    </row>
    <row r="104" spans="1:12" ht="14.4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2" ht="14.45" customHeight="1">
      <c r="A105" s="38"/>
      <c r="B105" s="5"/>
      <c r="C105" s="5"/>
      <c r="D105" s="5"/>
      <c r="E105" s="5"/>
      <c r="F105" s="5"/>
      <c r="G105" s="5"/>
      <c r="H105" s="5"/>
      <c r="I105" s="5"/>
      <c r="J105" s="5"/>
    </row>
    <row r="106" spans="1:12" ht="14.45" customHeight="1">
      <c r="A106" s="9"/>
    </row>
    <row r="107" spans="1:12" ht="14.45" customHeight="1">
      <c r="A107" s="9"/>
    </row>
    <row r="108" spans="1:12" ht="14.45" customHeight="1">
      <c r="A108" s="9"/>
    </row>
    <row r="109" spans="1:12" ht="14.45" customHeight="1">
      <c r="A109" s="9"/>
    </row>
    <row r="110" spans="1:12" ht="14.45" customHeight="1"/>
    <row r="111" spans="1:12" ht="14.45" customHeight="1"/>
    <row r="112" spans="1:12" ht="14.45" customHeight="1">
      <c r="A112" s="9"/>
    </row>
    <row r="113" spans="1:10" ht="14.45" customHeight="1">
      <c r="A113" s="9"/>
    </row>
    <row r="114" spans="1:10" ht="14.4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 spans="1:10" ht="14.45" customHeight="1">
      <c r="A115" s="9"/>
    </row>
    <row r="116" spans="1:10" ht="14.45" customHeight="1">
      <c r="A116" s="9"/>
    </row>
    <row r="117" spans="1:10" ht="14.45" customHeight="1">
      <c r="A117" s="9"/>
    </row>
    <row r="118" spans="1:10" ht="14.45" customHeight="1">
      <c r="A118" s="9"/>
    </row>
    <row r="119" spans="1:10" ht="14.45" customHeight="1">
      <c r="A119" s="15"/>
      <c r="B119" s="15"/>
      <c r="C119" s="15"/>
    </row>
    <row r="120" spans="1:10" ht="14.45" customHeight="1">
      <c r="A120" s="9"/>
    </row>
    <row r="121" spans="1:10" ht="14.45" customHeight="1">
      <c r="A121" s="38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14.4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14.4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14.4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14.4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 spans="1:10" ht="14.4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 spans="1:10" ht="14.4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 spans="1:10" ht="14.4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14.45" customHeight="1">
      <c r="A129" s="5"/>
      <c r="B129" s="5"/>
      <c r="C129" s="5"/>
      <c r="D129" s="5"/>
      <c r="E129" s="5"/>
      <c r="F129" s="5"/>
      <c r="G129" s="5"/>
      <c r="H129" s="5"/>
      <c r="I129" s="5"/>
    </row>
    <row r="130" spans="1:10" ht="14.45" customHeight="1">
      <c r="A130" s="5"/>
      <c r="B130" s="5"/>
      <c r="C130" s="5"/>
      <c r="D130" s="5"/>
      <c r="E130" s="5"/>
      <c r="F130" s="5"/>
      <c r="G130" s="5"/>
      <c r="H130" s="5"/>
      <c r="I130" s="5"/>
    </row>
    <row r="131" spans="1:10" ht="14.45" customHeight="1">
      <c r="A131" s="5"/>
      <c r="B131" s="5"/>
      <c r="C131" s="5"/>
      <c r="D131" s="5"/>
      <c r="E131" s="5"/>
      <c r="F131" s="5"/>
      <c r="G131" s="5"/>
      <c r="H131" s="5"/>
      <c r="I131" s="5"/>
    </row>
    <row r="132" spans="1:10" ht="14.45" customHeight="1">
      <c r="A132" s="38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 spans="1:10" ht="14.4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 spans="1:10" ht="14.4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 spans="1:10" ht="14.4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 spans="1:10" ht="14.45" customHeight="1">
      <c r="A137" s="9"/>
    </row>
    <row r="138" spans="1:10" ht="14.45" customHeight="1">
      <c r="A138" s="9"/>
    </row>
    <row r="139" spans="1:10" ht="14.45" customHeight="1">
      <c r="A139" s="9"/>
    </row>
    <row r="140" spans="1:10" ht="14.45" customHeight="1">
      <c r="A140" s="9"/>
    </row>
    <row r="141" spans="1:10" ht="14.45" customHeight="1">
      <c r="A141" s="32"/>
    </row>
    <row r="142" spans="1:10" ht="14.45" customHeight="1">
      <c r="A142" s="9"/>
    </row>
    <row r="143" spans="1:10" ht="14.45" customHeight="1">
      <c r="A143" s="9"/>
    </row>
    <row r="144" spans="1:10" ht="14.4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 spans="1:10" ht="14.45" customHeight="1">
      <c r="A145" s="9"/>
    </row>
    <row r="146" spans="1:10" ht="14.45" customHeight="1">
      <c r="A146" s="9"/>
    </row>
    <row r="147" spans="1:10" ht="14.45" customHeight="1">
      <c r="A147" s="9"/>
    </row>
    <row r="148" spans="1:10" ht="14.45" customHeight="1">
      <c r="A148" s="9"/>
    </row>
    <row r="149" spans="1:10" ht="14.45" customHeight="1">
      <c r="A149" s="9"/>
    </row>
    <row r="150" spans="1:10" ht="14.45" customHeight="1"/>
    <row r="151" spans="1:10" ht="14.45" customHeight="1"/>
    <row r="152" spans="1:10" ht="14.45" customHeight="1"/>
    <row r="153" spans="1:10" ht="14.45" customHeight="1">
      <c r="A153" s="32"/>
    </row>
    <row r="154" spans="1:10" ht="14.45" customHeight="1"/>
    <row r="155" spans="1:10" ht="14.45" customHeight="1">
      <c r="A155" s="9"/>
    </row>
    <row r="156" spans="1:10" ht="14.4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14.4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14.4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14.4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14.45" customHeight="1">
      <c r="A160" s="38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14.4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 spans="1:10" ht="14.4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14.4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 spans="1:10" ht="14.4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 spans="1:10" ht="14.45" customHeight="1">
      <c r="A165" s="5"/>
      <c r="B165" s="5"/>
      <c r="C165" s="5"/>
      <c r="D165" s="5"/>
      <c r="E165" s="5"/>
      <c r="F165" s="5"/>
      <c r="G165" s="5"/>
      <c r="H165" s="5"/>
      <c r="I165" s="5"/>
    </row>
    <row r="166" spans="1:10" ht="14.45" customHeight="1">
      <c r="A166" s="5"/>
      <c r="B166" s="5"/>
      <c r="C166" s="5"/>
      <c r="D166" s="5"/>
      <c r="E166" s="5"/>
      <c r="F166" s="5"/>
      <c r="G166" s="5"/>
      <c r="H166" s="5"/>
      <c r="I166" s="5"/>
    </row>
    <row r="167" spans="1:10" ht="14.45" customHeight="1">
      <c r="A167" s="5"/>
      <c r="B167" s="5"/>
      <c r="C167" s="5"/>
      <c r="D167" s="5"/>
      <c r="E167" s="5"/>
      <c r="F167" s="5"/>
      <c r="G167" s="5"/>
      <c r="H167" s="5"/>
      <c r="I167" s="5"/>
    </row>
    <row r="168" spans="1:10" ht="14.45" customHeight="1">
      <c r="A168" s="5"/>
      <c r="B168" s="5"/>
      <c r="C168" s="5"/>
      <c r="D168" s="5"/>
      <c r="E168" s="5"/>
      <c r="F168" s="5"/>
      <c r="G168" s="5"/>
      <c r="H168" s="5"/>
      <c r="I168" s="5"/>
    </row>
    <row r="169" spans="1:10" ht="14.45" customHeight="1">
      <c r="A169" s="5"/>
      <c r="B169" s="5"/>
      <c r="C169" s="5"/>
      <c r="D169" s="5"/>
      <c r="E169" s="5"/>
      <c r="F169" s="5"/>
      <c r="G169" s="5"/>
      <c r="H169" s="5"/>
      <c r="I169" s="5"/>
    </row>
    <row r="170" spans="1:10" ht="14.4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14.45" customHeight="1">
      <c r="A171" s="38"/>
      <c r="B171" s="5"/>
      <c r="C171" s="5"/>
      <c r="D171" s="5"/>
      <c r="E171" s="5"/>
      <c r="F171" s="5"/>
      <c r="G171" s="5"/>
      <c r="H171" s="5"/>
      <c r="I171" s="5"/>
      <c r="J171" s="5"/>
    </row>
    <row r="172" spans="1:10" ht="14.4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 spans="1:10" ht="14.4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 spans="1:10" ht="14.4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14.45" customHeight="1">
      <c r="A175" s="9"/>
    </row>
    <row r="176" spans="1:10" ht="14.45" customHeight="1">
      <c r="A176" s="9"/>
    </row>
    <row r="177" spans="1:10" ht="14.45" customHeight="1">
      <c r="A177" s="9"/>
    </row>
    <row r="178" spans="1:10" ht="14.45" customHeight="1">
      <c r="A178" s="9"/>
    </row>
    <row r="179" spans="1:10" ht="14.45" customHeight="1"/>
    <row r="180" spans="1:10" ht="14.45" customHeight="1"/>
    <row r="181" spans="1:10" ht="14.45" customHeight="1"/>
    <row r="182" spans="1:10" ht="14.45" customHeight="1"/>
    <row r="183" spans="1:10" ht="14.45" customHeight="1">
      <c r="A183" s="9"/>
    </row>
    <row r="184" spans="1:10" ht="14.45" customHeight="1">
      <c r="A184" s="9"/>
    </row>
    <row r="185" spans="1:10" ht="14.4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 spans="1:10" ht="14.45" customHeight="1">
      <c r="A186" s="29"/>
    </row>
    <row r="187" spans="1:10" ht="14.45" customHeight="1">
      <c r="A187" s="9"/>
    </row>
    <row r="188" spans="1:10" ht="14.45" customHeight="1">
      <c r="A188" s="9"/>
    </row>
    <row r="189" spans="1:10" ht="14.45" customHeight="1">
      <c r="A189" s="9"/>
    </row>
    <row r="190" spans="1:10" ht="14.45" customHeight="1"/>
    <row r="191" spans="1:10" ht="14.45" customHeight="1"/>
    <row r="192" spans="1:10" ht="14.45" customHeight="1"/>
    <row r="193" spans="1:10" ht="14.45" customHeight="1"/>
    <row r="194" spans="1:10" ht="14.45" customHeight="1"/>
    <row r="195" spans="1:10" ht="14.45" customHeight="1">
      <c r="A195" s="9"/>
    </row>
    <row r="196" spans="1:10" ht="14.4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14.4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14.4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14.4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14.4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14.4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 spans="1:10" ht="14.4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 spans="1:10" ht="14.4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 spans="1:10" ht="14.45" customHeight="1">
      <c r="A204" s="38"/>
      <c r="B204" s="5"/>
      <c r="C204" s="5"/>
      <c r="D204" s="5"/>
      <c r="E204" s="5"/>
      <c r="F204" s="5"/>
      <c r="G204" s="5"/>
      <c r="H204" s="5"/>
      <c r="I204" s="5"/>
      <c r="J204" s="5"/>
    </row>
    <row r="205" spans="1:10" ht="14.45" customHeight="1">
      <c r="A205" s="5"/>
      <c r="B205" s="5"/>
      <c r="C205" s="5"/>
      <c r="D205" s="5"/>
      <c r="E205" s="5"/>
      <c r="F205" s="5"/>
      <c r="G205" s="5"/>
      <c r="H205" s="5"/>
      <c r="I205" s="5"/>
    </row>
    <row r="206" spans="1:10" ht="14.45" customHeight="1">
      <c r="A206" s="5"/>
      <c r="B206" s="5"/>
      <c r="C206" s="5"/>
      <c r="D206" s="5"/>
      <c r="E206" s="5"/>
      <c r="F206" s="5"/>
      <c r="G206" s="5"/>
      <c r="H206" s="5"/>
      <c r="I206" s="5"/>
    </row>
    <row r="207" spans="1:10" ht="14.45" customHeight="1">
      <c r="A207" s="5"/>
      <c r="B207" s="5"/>
      <c r="C207" s="5"/>
      <c r="D207" s="5"/>
      <c r="E207" s="5"/>
      <c r="F207" s="5"/>
      <c r="G207" s="5"/>
      <c r="H207" s="5"/>
      <c r="I207" s="5"/>
    </row>
    <row r="208" spans="1:10" ht="14.45" customHeight="1">
      <c r="A208" s="5"/>
      <c r="B208" s="5"/>
      <c r="C208" s="5"/>
      <c r="D208" s="5"/>
      <c r="E208" s="5"/>
      <c r="F208" s="5"/>
      <c r="G208" s="5"/>
      <c r="H208" s="5"/>
      <c r="I208" s="5"/>
    </row>
    <row r="209" spans="1:10" ht="14.45" customHeight="1">
      <c r="A209" s="5"/>
      <c r="B209" s="5"/>
      <c r="C209" s="5"/>
      <c r="D209" s="5"/>
      <c r="E209" s="5"/>
      <c r="F209" s="5"/>
      <c r="G209" s="5"/>
      <c r="H209" s="5"/>
      <c r="I209" s="5"/>
    </row>
    <row r="210" spans="1:10" ht="14.45" customHeight="1">
      <c r="A210" s="5"/>
      <c r="B210" s="5"/>
      <c r="C210" s="5"/>
      <c r="D210" s="5"/>
      <c r="E210" s="5"/>
      <c r="F210" s="5"/>
      <c r="G210" s="5"/>
      <c r="H210" s="5"/>
      <c r="I210" s="5"/>
    </row>
    <row r="211" spans="1:10" ht="14.45" customHeight="1">
      <c r="A211" s="5"/>
      <c r="B211" s="5"/>
      <c r="C211" s="5"/>
      <c r="D211" s="5"/>
      <c r="E211" s="5"/>
      <c r="F211" s="5"/>
      <c r="G211" s="5"/>
      <c r="H211" s="5"/>
      <c r="I211" s="5"/>
    </row>
    <row r="212" spans="1:10" ht="14.4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14.4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 spans="1:10" ht="14.4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 spans="1:10" ht="14.4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 spans="1:10" ht="14.45" customHeight="1">
      <c r="A216" s="38"/>
      <c r="B216" s="5"/>
      <c r="C216" s="5"/>
      <c r="D216" s="5"/>
      <c r="E216" s="5"/>
      <c r="F216" s="5"/>
      <c r="G216" s="5"/>
      <c r="H216" s="5"/>
      <c r="I216" s="5"/>
      <c r="J216" s="5"/>
    </row>
    <row r="217" spans="1:10" ht="14.45" customHeight="1">
      <c r="A217" s="9"/>
      <c r="C217" s="5"/>
      <c r="D217" s="5"/>
      <c r="E217" s="5"/>
      <c r="F217" s="5"/>
      <c r="G217" s="5"/>
      <c r="H217" s="5"/>
      <c r="I217" s="5"/>
      <c r="J217" s="5"/>
    </row>
    <row r="218" spans="1:10" ht="14.45" customHeight="1">
      <c r="A218" s="9"/>
    </row>
    <row r="219" spans="1:10" ht="14.45" customHeight="1">
      <c r="A219" s="9"/>
    </row>
    <row r="220" spans="1:10" ht="14.45" customHeight="1">
      <c r="A220" s="9"/>
    </row>
    <row r="221" spans="1:10" ht="14.45" customHeight="1"/>
    <row r="222" spans="1:10" ht="14.45" customHeight="1"/>
    <row r="223" spans="1:10" ht="14.45" customHeight="1"/>
    <row r="224" spans="1:10" ht="14.45" customHeight="1">
      <c r="A224" s="9"/>
    </row>
    <row r="225" spans="1:10" ht="14.45" customHeight="1">
      <c r="A225" s="29"/>
    </row>
    <row r="226" spans="1:10" ht="14.4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 spans="1:10" ht="14.45" customHeight="1">
      <c r="A227" s="9"/>
    </row>
    <row r="228" spans="1:10" ht="14.45" customHeight="1">
      <c r="A228" s="9"/>
    </row>
    <row r="229" spans="1:10" ht="14.45" customHeight="1">
      <c r="A229" s="9"/>
    </row>
    <row r="230" spans="1:10" ht="14.45" customHeight="1">
      <c r="A230" s="9"/>
    </row>
    <row r="231" spans="1:10" ht="14.45" customHeight="1">
      <c r="A231" s="9"/>
    </row>
    <row r="232" spans="1:10" ht="14.45" customHeight="1">
      <c r="A232" s="39"/>
      <c r="B232" s="2"/>
    </row>
    <row r="233" spans="1:10" ht="14.45" customHeight="1"/>
    <row r="234" spans="1:10" ht="14.45" customHeight="1"/>
    <row r="235" spans="1:10" ht="14.45" customHeight="1"/>
    <row r="236" spans="1:10" ht="14.45" customHeight="1"/>
    <row r="237" spans="1:10" ht="14.45" customHeight="1">
      <c r="A237" s="9"/>
    </row>
    <row r="238" spans="1:10" ht="14.4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14.45" customHeight="1">
      <c r="A239" s="38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14.4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14.4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14.4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 spans="1:10" ht="14.4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 spans="1:10" ht="14.4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 spans="1:10" ht="14.4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 spans="1:10" ht="14.45" customHeight="1">
      <c r="A246" s="5"/>
      <c r="B246" s="5"/>
      <c r="C246" s="5"/>
      <c r="D246" s="5"/>
      <c r="E246" s="5"/>
      <c r="F246" s="5"/>
      <c r="G246" s="5"/>
      <c r="H246" s="5"/>
      <c r="I246" s="5"/>
    </row>
    <row r="247" spans="1:10" ht="14.45" customHeight="1">
      <c r="A247" s="5"/>
      <c r="B247" s="5"/>
      <c r="C247" s="5"/>
      <c r="D247" s="5"/>
      <c r="E247" s="5"/>
      <c r="F247" s="5"/>
      <c r="G247" s="5"/>
      <c r="H247" s="5"/>
      <c r="I247" s="5"/>
    </row>
    <row r="248" spans="1:10" ht="14.45" customHeight="1">
      <c r="A248" s="5"/>
      <c r="B248" s="5"/>
      <c r="C248" s="5"/>
      <c r="D248" s="5"/>
      <c r="E248" s="5"/>
      <c r="F248" s="5"/>
      <c r="G248" s="5"/>
      <c r="H248" s="5"/>
      <c r="I248" s="5"/>
    </row>
    <row r="249" spans="1:10" ht="14.45" customHeight="1">
      <c r="A249" s="5"/>
      <c r="B249" s="5"/>
      <c r="C249" s="5"/>
      <c r="D249" s="5"/>
      <c r="E249" s="5"/>
      <c r="F249" s="5"/>
      <c r="G249" s="5"/>
      <c r="H249" s="5"/>
      <c r="I249" s="5"/>
    </row>
    <row r="250" spans="1:10" ht="14.45" customHeight="1">
      <c r="A250" s="38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14.4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 spans="1:10" ht="14.4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 spans="1:10" ht="14.4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 spans="1:10" ht="14.4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 spans="1:10" ht="14.45" customHeight="1">
      <c r="A255" s="9"/>
    </row>
    <row r="256" spans="1:10" ht="14.45" customHeight="1">
      <c r="A256" s="9"/>
    </row>
    <row r="257" spans="1:10" ht="14.45" customHeight="1">
      <c r="A257" s="9"/>
    </row>
    <row r="258" spans="1:10" ht="14.45" customHeight="1">
      <c r="A258" s="9"/>
    </row>
    <row r="259" spans="1:10" ht="14.45" customHeight="1"/>
    <row r="260" spans="1:10" ht="14.45" customHeight="1">
      <c r="A260" s="29"/>
    </row>
    <row r="261" spans="1:10" ht="14.45" customHeight="1">
      <c r="A261" s="9"/>
    </row>
    <row r="262" spans="1:10" ht="14.4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spans="1:10" ht="14.45" customHeight="1">
      <c r="A263" s="9"/>
    </row>
    <row r="264" spans="1:10" ht="14.45" customHeight="1">
      <c r="A264" s="9"/>
    </row>
    <row r="265" spans="1:10" ht="14.45" customHeight="1">
      <c r="A265" s="9"/>
    </row>
    <row r="266" spans="1:10" ht="14.45" customHeight="1">
      <c r="A266" s="9"/>
    </row>
    <row r="267" spans="1:10" ht="14.45" customHeight="1">
      <c r="A267" s="32"/>
    </row>
    <row r="268" spans="1:10" ht="14.45" customHeight="1"/>
    <row r="269" spans="1:10" ht="14.45" customHeight="1"/>
    <row r="270" spans="1:10" ht="14.45" customHeight="1"/>
    <row r="271" spans="1:10" ht="14.45" customHeight="1">
      <c r="A271" s="9"/>
    </row>
    <row r="272" spans="1:10" ht="14.4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14.45" customHeight="1">
      <c r="A274" s="38"/>
      <c r="B274" s="5"/>
      <c r="C274" s="5"/>
      <c r="D274" s="5"/>
      <c r="E274" s="5"/>
      <c r="F274" s="5"/>
      <c r="G274" s="5"/>
      <c r="H274" s="5"/>
      <c r="I274" s="5"/>
      <c r="J274" s="5"/>
    </row>
    <row r="275" spans="1:10" ht="14.4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 spans="1:10" ht="14.4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 spans="1:10" ht="14.4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 spans="1:10" ht="14.45" customHeight="1">
      <c r="A278" s="5"/>
      <c r="B278" s="5"/>
      <c r="C278" s="5"/>
      <c r="D278" s="5"/>
      <c r="E278" s="5"/>
      <c r="F278" s="5"/>
      <c r="G278" s="5"/>
      <c r="H278" s="5"/>
      <c r="I278" s="5"/>
    </row>
    <row r="279" spans="1:10" ht="14.45" customHeight="1">
      <c r="A279" s="5"/>
      <c r="B279" s="5"/>
      <c r="C279" s="5"/>
      <c r="D279" s="5"/>
      <c r="E279" s="5"/>
      <c r="F279" s="5"/>
      <c r="G279" s="5"/>
      <c r="H279" s="5"/>
      <c r="I279" s="5"/>
    </row>
    <row r="280" spans="1:10" ht="14.45" customHeight="1">
      <c r="A280" s="5"/>
      <c r="B280" s="5"/>
      <c r="C280" s="5"/>
      <c r="D280" s="5"/>
      <c r="E280" s="5"/>
      <c r="F280" s="5"/>
      <c r="G280" s="5"/>
      <c r="H280" s="5"/>
      <c r="I280" s="5"/>
    </row>
    <row r="281" spans="1:10" ht="14.45" customHeight="1">
      <c r="A281" s="5"/>
      <c r="B281" s="5"/>
      <c r="C281" s="5"/>
      <c r="D281" s="5"/>
      <c r="E281" s="5"/>
      <c r="F281" s="5"/>
      <c r="G281" s="5"/>
      <c r="H281" s="5"/>
      <c r="I281" s="5"/>
    </row>
    <row r="282" spans="1:10" ht="14.4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 spans="1:10" ht="14.4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 spans="1:10" ht="14.4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 spans="1:10" ht="14.4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 spans="1:10" ht="14.45" customHeight="1">
      <c r="A286" s="9"/>
    </row>
    <row r="287" spans="1:10" ht="14.45" customHeight="1">
      <c r="A287" s="9"/>
    </row>
    <row r="288" spans="1:10" ht="14.45" customHeight="1">
      <c r="A288" s="9"/>
    </row>
    <row r="289" spans="1:10" ht="14.45" customHeight="1">
      <c r="A289" s="9"/>
    </row>
    <row r="290" spans="1:10" ht="14.45" customHeight="1"/>
    <row r="291" spans="1:10" ht="14.45" customHeight="1"/>
    <row r="292" spans="1:10" ht="14.45" customHeight="1">
      <c r="A292" s="9"/>
    </row>
    <row r="293" spans="1:10" ht="14.45" customHeight="1">
      <c r="A293" s="9"/>
    </row>
    <row r="294" spans="1:10" ht="14.4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spans="1:10" ht="14.45" customHeight="1">
      <c r="A295" s="9"/>
    </row>
    <row r="296" spans="1:10" ht="14.45" customHeight="1">
      <c r="A296" s="9"/>
    </row>
    <row r="297" spans="1:10" ht="14.45" customHeight="1">
      <c r="A297" s="9"/>
    </row>
    <row r="298" spans="1:10" ht="14.45" customHeight="1">
      <c r="A298" s="9"/>
    </row>
    <row r="299" spans="1:10" ht="14.45" customHeight="1">
      <c r="A299" s="17"/>
      <c r="B299" s="2"/>
    </row>
    <row r="300" spans="1:10" ht="14.45" customHeight="1"/>
    <row r="301" spans="1:10" ht="14.45" customHeight="1"/>
    <row r="302" spans="1:10" ht="14.45" customHeight="1"/>
    <row r="303" spans="1:10" ht="14.45" customHeight="1"/>
    <row r="304" spans="1:10" ht="14.45" customHeight="1">
      <c r="A304" s="9"/>
    </row>
    <row r="305" spans="1:10" ht="14.4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14.4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14.4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14.4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14.4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 spans="1:10" ht="14.4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 spans="1:10" ht="14.4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 spans="1:10" ht="14.4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spans="1:10" ht="14.45" customHeight="1">
      <c r="A313" s="5"/>
      <c r="B313" s="5"/>
      <c r="C313" s="5"/>
      <c r="D313" s="5"/>
      <c r="E313" s="5"/>
      <c r="F313" s="5"/>
      <c r="G313" s="5"/>
      <c r="H313" s="5"/>
      <c r="I313" s="5"/>
    </row>
    <row r="314" spans="1:10" ht="14.45" customHeight="1">
      <c r="A314" s="5"/>
      <c r="B314" s="5"/>
      <c r="C314" s="5"/>
      <c r="D314" s="5"/>
      <c r="E314" s="5"/>
      <c r="F314" s="5"/>
      <c r="G314" s="5"/>
      <c r="H314" s="5"/>
      <c r="I314" s="5"/>
    </row>
    <row r="315" spans="1:10" ht="14.45" customHeight="1">
      <c r="A315" s="5"/>
      <c r="B315" s="5"/>
      <c r="C315" s="5"/>
      <c r="D315" s="5"/>
      <c r="E315" s="5"/>
      <c r="F315" s="5"/>
      <c r="G315" s="5"/>
      <c r="H315" s="5"/>
      <c r="I315" s="5"/>
    </row>
    <row r="316" spans="1:10" ht="14.45" customHeight="1">
      <c r="A316" s="5"/>
      <c r="B316" s="5"/>
      <c r="C316" s="5"/>
      <c r="D316" s="5"/>
      <c r="E316" s="5"/>
      <c r="F316" s="5"/>
      <c r="G316" s="5"/>
      <c r="H316" s="5"/>
      <c r="I316" s="5"/>
    </row>
    <row r="317" spans="1:10" ht="14.4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14.4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 spans="1:10" ht="14.4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 spans="1:10" ht="14.4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 spans="1:10" ht="14.4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 spans="1:10" ht="14.45" customHeight="1">
      <c r="A322" s="9"/>
    </row>
    <row r="323" spans="1:10" ht="14.45" customHeight="1">
      <c r="A323" s="9"/>
    </row>
    <row r="324" spans="1:10" ht="14.45" customHeight="1">
      <c r="A324" s="9"/>
    </row>
    <row r="325" spans="1:10" ht="14.45" customHeight="1">
      <c r="A325" s="9"/>
    </row>
    <row r="326" spans="1:10" ht="14.45" customHeight="1"/>
    <row r="327" spans="1:10" ht="14.45" customHeight="1"/>
    <row r="328" spans="1:10" ht="14.45" customHeight="1">
      <c r="A328" s="9"/>
    </row>
    <row r="329" spans="1:10" ht="14.45" customHeight="1">
      <c r="A329" s="9"/>
    </row>
    <row r="330" spans="1:10" ht="14.4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spans="1:10" ht="14.45" customHeight="1">
      <c r="A331" s="9"/>
    </row>
    <row r="332" spans="1:10" ht="14.45" customHeight="1">
      <c r="A332" s="9"/>
    </row>
    <row r="333" spans="1:10" ht="14.45" customHeight="1">
      <c r="A333" s="9"/>
    </row>
    <row r="334" spans="1:10" ht="14.45" customHeight="1">
      <c r="A334" s="9"/>
    </row>
    <row r="335" spans="1:10" ht="14.45" customHeight="1">
      <c r="A335" s="17"/>
      <c r="B335" s="2"/>
    </row>
    <row r="336" spans="1:10" ht="14.45" customHeight="1"/>
    <row r="337" spans="1:10" ht="14.45" customHeight="1"/>
    <row r="338" spans="1:10" ht="14.45" customHeight="1"/>
    <row r="339" spans="1:10" ht="14.45" customHeight="1"/>
    <row r="340" spans="1:10" ht="14.45" customHeight="1">
      <c r="A340" s="9"/>
    </row>
    <row r="341" spans="1:10" ht="14.4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14.4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14.4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14.4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14.4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 spans="1:10" ht="14.4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 spans="1:10" ht="14.4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 spans="1:10" ht="14.4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spans="1:10" ht="14.45" customHeight="1">
      <c r="A349" s="5"/>
      <c r="B349" s="5"/>
      <c r="C349" s="5"/>
      <c r="D349" s="5"/>
      <c r="E349" s="5"/>
      <c r="F349" s="5"/>
      <c r="G349" s="5"/>
      <c r="H349" s="5"/>
      <c r="I349" s="5"/>
    </row>
    <row r="350" spans="1:10" ht="14.45" customHeight="1">
      <c r="A350" s="5"/>
      <c r="B350" s="5"/>
      <c r="C350" s="5"/>
      <c r="D350" s="5"/>
      <c r="E350" s="5"/>
      <c r="F350" s="5"/>
      <c r="G350" s="5"/>
      <c r="H350" s="5"/>
      <c r="I350" s="5"/>
    </row>
    <row r="351" spans="1:10" ht="14.45" customHeight="1">
      <c r="A351" s="5"/>
      <c r="B351" s="5"/>
      <c r="C351" s="5"/>
      <c r="D351" s="5"/>
      <c r="E351" s="5"/>
      <c r="F351" s="5"/>
      <c r="G351" s="5"/>
      <c r="H351" s="5"/>
      <c r="I351" s="5"/>
    </row>
    <row r="352" spans="1:10" ht="14.45" customHeight="1">
      <c r="A352" s="5"/>
      <c r="B352" s="5"/>
      <c r="C352" s="5"/>
      <c r="D352" s="5"/>
      <c r="E352" s="5"/>
      <c r="F352" s="5"/>
      <c r="G352" s="5"/>
      <c r="H352" s="5"/>
      <c r="I352" s="5"/>
    </row>
    <row r="353" spans="1:14" ht="14.4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4" ht="14.4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 spans="1:14" ht="14.4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 spans="1:14" ht="14.4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 spans="1:14" ht="14.4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 spans="1:14" ht="14.45" customHeight="1">
      <c r="A358" s="9"/>
      <c r="N358" s="7"/>
    </row>
    <row r="359" spans="1:14" ht="14.45" customHeight="1">
      <c r="A359" s="9"/>
    </row>
    <row r="360" spans="1:14" ht="14.45" customHeight="1">
      <c r="A360" s="9"/>
      <c r="N360" s="7"/>
    </row>
    <row r="361" spans="1:14" ht="14.45" customHeight="1">
      <c r="A361" s="9"/>
    </row>
    <row r="362" spans="1:14" ht="14.45" customHeight="1">
      <c r="N362" s="7"/>
    </row>
    <row r="363" spans="1:14" ht="14.45" customHeight="1">
      <c r="N363" s="7"/>
    </row>
    <row r="364" spans="1:14" ht="14.45" customHeight="1">
      <c r="A364" s="9"/>
    </row>
    <row r="365" spans="1:14" ht="14.45" customHeight="1">
      <c r="A365" s="9"/>
    </row>
    <row r="366" spans="1:14" ht="14.4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spans="1:14" ht="14.45" customHeight="1">
      <c r="A367" s="9"/>
    </row>
    <row r="368" spans="1:14" ht="14.45" customHeight="1">
      <c r="A368" s="9"/>
    </row>
    <row r="369" spans="1:12" ht="14.45" customHeight="1">
      <c r="A369" s="9"/>
    </row>
    <row r="370" spans="1:12" ht="14.45" customHeight="1">
      <c r="A370" s="9"/>
    </row>
    <row r="371" spans="1:12" ht="14.45" customHeight="1">
      <c r="A371" s="17"/>
      <c r="B371" s="2"/>
    </row>
    <row r="372" spans="1:12" ht="14.45" customHeight="1"/>
    <row r="373" spans="1:12" ht="14.45" customHeight="1"/>
    <row r="374" spans="1:12" ht="14.45" customHeight="1"/>
    <row r="375" spans="1:12" ht="14.45" customHeight="1"/>
    <row r="376" spans="1:12">
      <c r="A376" s="9"/>
    </row>
    <row r="377" spans="1:12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2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 spans="1:12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2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2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 spans="1:12" ht="14.4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>
        <v>2</v>
      </c>
      <c r="L382">
        <v>2</v>
      </c>
    </row>
    <row r="383" spans="1:12" ht="14.4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 spans="1:12" ht="14.4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spans="1:10" ht="14.4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spans="1:10" ht="14.45" customHeight="1">
      <c r="A386" s="5"/>
      <c r="B386" s="5"/>
      <c r="C386" s="5"/>
      <c r="D386" s="5"/>
      <c r="E386" s="5"/>
      <c r="F386" s="5"/>
      <c r="G386" s="5"/>
      <c r="H386" s="5"/>
      <c r="I386" s="5"/>
    </row>
    <row r="387" spans="1:10" ht="14.45" customHeight="1">
      <c r="A387" s="5"/>
      <c r="B387" s="5"/>
      <c r="C387" s="5"/>
      <c r="D387" s="5"/>
      <c r="E387" s="5"/>
      <c r="F387" s="5"/>
      <c r="G387" s="5"/>
      <c r="H387" s="5"/>
      <c r="I387" s="5"/>
    </row>
    <row r="388" spans="1:10" ht="14.45" customHeight="1">
      <c r="A388" s="5"/>
      <c r="B388" s="5"/>
      <c r="C388" s="5"/>
      <c r="D388" s="5"/>
      <c r="E388" s="5"/>
      <c r="F388" s="5"/>
      <c r="G388" s="5"/>
      <c r="H388" s="5"/>
      <c r="I388" s="5"/>
    </row>
    <row r="389" spans="1:10" ht="14.45" customHeight="1">
      <c r="A389" s="5"/>
      <c r="B389" s="5"/>
      <c r="C389" s="5"/>
      <c r="D389" s="5"/>
      <c r="E389" s="5"/>
      <c r="F389" s="5"/>
      <c r="G389" s="5"/>
      <c r="H389" s="5"/>
      <c r="I389" s="5"/>
    </row>
    <row r="390" spans="1:10" ht="14.4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14.4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 spans="1:10" ht="14.4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 spans="1:10" ht="14.4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 spans="1:10" ht="14.4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 spans="1:10" ht="14.45" customHeight="1">
      <c r="A395" s="9"/>
      <c r="C395" s="5"/>
      <c r="D395" s="5"/>
      <c r="E395" s="5"/>
      <c r="F395" s="5"/>
      <c r="G395" s="5"/>
      <c r="H395" s="5"/>
      <c r="I395" s="5"/>
      <c r="J395" s="5"/>
    </row>
    <row r="396" spans="1:10" ht="14.45" customHeight="1">
      <c r="A396" s="9"/>
    </row>
    <row r="397" spans="1:10">
      <c r="A397" s="9"/>
    </row>
    <row r="398" spans="1:10">
      <c r="A398" s="9"/>
    </row>
    <row r="402" spans="1:10">
      <c r="A402" s="9"/>
    </row>
    <row r="403" spans="1:10">
      <c r="A403" s="9"/>
    </row>
    <row r="404" spans="1:10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 spans="1:10">
      <c r="A405" s="9"/>
    </row>
    <row r="406" spans="1:10">
      <c r="A406" s="9"/>
    </row>
    <row r="407" spans="1:10">
      <c r="A407" s="9"/>
    </row>
    <row r="408" spans="1:10">
      <c r="A408" s="9"/>
    </row>
    <row r="409" spans="1:10">
      <c r="A409" s="17"/>
      <c r="B409" s="2"/>
    </row>
    <row r="414" spans="1:10">
      <c r="A414" s="9"/>
    </row>
    <row r="415" spans="1:10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 spans="1:10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 spans="1:10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 spans="1:10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</row>
    <row r="423" spans="1:10">
      <c r="A423" s="5"/>
      <c r="B423" s="5"/>
      <c r="C423" s="5"/>
      <c r="D423" s="5"/>
      <c r="E423" s="5"/>
      <c r="F423" s="5"/>
      <c r="G423" s="5"/>
      <c r="H423" s="5"/>
      <c r="I423" s="5"/>
    </row>
    <row r="424" spans="1:10">
      <c r="A424" s="5"/>
      <c r="B424" s="5"/>
      <c r="C424" s="5"/>
      <c r="D424" s="5"/>
      <c r="E424" s="5"/>
      <c r="F424" s="5"/>
      <c r="G424" s="5"/>
      <c r="H424" s="5"/>
      <c r="I424" s="5"/>
    </row>
    <row r="425" spans="1:10">
      <c r="A425" s="5"/>
      <c r="B425" s="5"/>
      <c r="C425" s="5"/>
      <c r="D425" s="5"/>
      <c r="E425" s="5"/>
      <c r="F425" s="5"/>
      <c r="G425" s="5"/>
      <c r="H425" s="5"/>
      <c r="I425" s="5"/>
    </row>
    <row r="426" spans="1:10">
      <c r="A426" s="5"/>
      <c r="B426" s="5"/>
      <c r="C426" s="5"/>
      <c r="D426" s="5"/>
      <c r="E426" s="5"/>
      <c r="F426" s="5"/>
      <c r="G426" s="5"/>
      <c r="H426" s="5"/>
      <c r="I426" s="5"/>
    </row>
    <row r="427" spans="1:10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 spans="1:10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 spans="1:10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 spans="1:10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 spans="1:10">
      <c r="A431" s="9"/>
    </row>
    <row r="432" spans="1:10">
      <c r="A432" s="9"/>
    </row>
    <row r="433" spans="1:33">
      <c r="A433" s="9"/>
    </row>
    <row r="434" spans="1:33">
      <c r="A434" s="9"/>
    </row>
    <row r="437" spans="1:33">
      <c r="A437" s="9"/>
    </row>
    <row r="438" spans="1:33">
      <c r="A438" s="9"/>
    </row>
    <row r="439" spans="1:33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spans="1:33">
      <c r="A440" s="9"/>
    </row>
    <row r="441" spans="1:33">
      <c r="A441" s="9"/>
    </row>
    <row r="442" spans="1:33">
      <c r="A442" s="9"/>
    </row>
    <row r="443" spans="1:33">
      <c r="A443" s="9"/>
    </row>
    <row r="444" spans="1:33">
      <c r="A444" s="17"/>
      <c r="B444" s="2"/>
    </row>
    <row r="445" spans="1:33">
      <c r="X445" t="s">
        <v>287</v>
      </c>
      <c r="Y445" t="s">
        <v>336</v>
      </c>
      <c r="Z445">
        <v>8.2040000000000006</v>
      </c>
      <c r="AA445">
        <v>8.2040000000000006</v>
      </c>
      <c r="AB445">
        <v>8.2040000000000006</v>
      </c>
      <c r="AC445">
        <v>8.2040000000000006</v>
      </c>
      <c r="AD445">
        <v>8.2040000000000006</v>
      </c>
      <c r="AE445">
        <v>8.2040000000000006</v>
      </c>
      <c r="AF445">
        <v>8.2040000000000006</v>
      </c>
      <c r="AG445">
        <v>8.2040000000000006</v>
      </c>
    </row>
    <row r="447" spans="1:33">
      <c r="X447" t="s">
        <v>278</v>
      </c>
      <c r="Y447" t="s">
        <v>336</v>
      </c>
      <c r="Z447">
        <v>4.6710000000000003</v>
      </c>
      <c r="AA447">
        <v>4.6710000000000003</v>
      </c>
      <c r="AB447">
        <v>4.6710000000000003</v>
      </c>
      <c r="AC447">
        <v>4.6710000000000003</v>
      </c>
      <c r="AD447">
        <v>4.6710000000000003</v>
      </c>
      <c r="AE447">
        <v>4.6710000000000003</v>
      </c>
      <c r="AF447">
        <v>4.6710000000000003</v>
      </c>
      <c r="AG447">
        <v>4.6710000000000003</v>
      </c>
    </row>
    <row r="449" spans="1:33">
      <c r="A449" s="9"/>
    </row>
    <row r="450" spans="1:3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3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3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3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3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33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 spans="1:33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spans="1:33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 spans="1:33">
      <c r="A459" s="5"/>
      <c r="B459" s="5"/>
      <c r="C459" s="5"/>
      <c r="D459" s="5"/>
      <c r="E459" s="5"/>
      <c r="F459" s="5"/>
      <c r="G459" s="5"/>
      <c r="H459" s="5"/>
      <c r="I459" s="5"/>
    </row>
    <row r="460" spans="1:33">
      <c r="A460" s="5"/>
      <c r="B460" s="5"/>
      <c r="C460" s="5"/>
      <c r="D460" s="5"/>
      <c r="E460" s="5"/>
      <c r="F460" s="5"/>
      <c r="G460" s="5"/>
      <c r="H460" s="5"/>
      <c r="I460" s="5"/>
    </row>
    <row r="461" spans="1:33">
      <c r="A461" s="5"/>
      <c r="B461" s="5"/>
      <c r="C461" s="5"/>
      <c r="D461" s="5"/>
      <c r="E461" s="5"/>
      <c r="F461" s="5"/>
      <c r="G461" s="5"/>
      <c r="H461" s="5"/>
      <c r="I461" s="5"/>
    </row>
    <row r="462" spans="1:33">
      <c r="A462" s="5"/>
      <c r="B462" s="5"/>
      <c r="C462" s="5"/>
      <c r="D462" s="5"/>
      <c r="E462" s="5"/>
      <c r="F462" s="5"/>
      <c r="G462" s="5"/>
      <c r="H462" s="5"/>
      <c r="I462" s="5"/>
    </row>
    <row r="463" spans="1:33">
      <c r="A463" s="5"/>
      <c r="B463" s="5"/>
      <c r="C463" s="5"/>
      <c r="D463" s="5"/>
      <c r="E463" s="5"/>
      <c r="F463" s="5"/>
      <c r="G463" s="5"/>
      <c r="H463" s="5"/>
      <c r="I463" s="5"/>
      <c r="X463" t="s">
        <v>297</v>
      </c>
      <c r="Y463" t="s">
        <v>336</v>
      </c>
      <c r="Z463">
        <v>23.4</v>
      </c>
      <c r="AA463">
        <v>23.4</v>
      </c>
      <c r="AB463">
        <v>23.4</v>
      </c>
      <c r="AC463">
        <v>23.4</v>
      </c>
      <c r="AD463">
        <v>23.4</v>
      </c>
      <c r="AE463">
        <v>23.4</v>
      </c>
      <c r="AF463">
        <v>23.4</v>
      </c>
      <c r="AG463">
        <v>23.4</v>
      </c>
    </row>
    <row r="464" spans="1:33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 spans="1:33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 spans="1:33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 spans="1:33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 spans="1:33">
      <c r="A468" s="5"/>
      <c r="B468" s="5"/>
      <c r="C468" s="5"/>
      <c r="D468" s="5"/>
      <c r="E468" s="5"/>
      <c r="F468" s="5"/>
      <c r="G468" s="5"/>
      <c r="H468" s="5"/>
      <c r="I468" s="5"/>
      <c r="J468" s="5"/>
      <c r="X468" t="s">
        <v>302</v>
      </c>
      <c r="Y468" t="s">
        <v>336</v>
      </c>
      <c r="Z468">
        <v>4.55</v>
      </c>
      <c r="AA468">
        <v>4.55</v>
      </c>
      <c r="AB468">
        <v>4.55</v>
      </c>
      <c r="AC468">
        <v>4.55</v>
      </c>
      <c r="AD468">
        <v>4.55</v>
      </c>
      <c r="AE468">
        <v>4.55</v>
      </c>
      <c r="AF468">
        <v>4.55</v>
      </c>
      <c r="AG468">
        <v>4.55</v>
      </c>
    </row>
    <row r="469" spans="1:33">
      <c r="A469" s="9"/>
    </row>
    <row r="470" spans="1:33">
      <c r="A470" s="9"/>
    </row>
    <row r="471" spans="1:33">
      <c r="A471" s="9"/>
    </row>
    <row r="472" spans="1:33">
      <c r="A472" s="9"/>
    </row>
    <row r="475" spans="1:33">
      <c r="A475" s="9"/>
    </row>
    <row r="476" spans="1:33">
      <c r="A476" s="9"/>
    </row>
    <row r="477" spans="1:33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 spans="1:33">
      <c r="A478" s="9"/>
    </row>
    <row r="479" spans="1:33">
      <c r="A479" s="9"/>
    </row>
    <row r="480" spans="1:33">
      <c r="A480" s="9"/>
    </row>
    <row r="481" spans="1:10">
      <c r="A481" s="9"/>
    </row>
    <row r="482" spans="1:10">
      <c r="A482" s="17"/>
      <c r="B482" s="2"/>
    </row>
    <row r="487" spans="1:10">
      <c r="A487" s="9"/>
    </row>
    <row r="488" spans="1:10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 spans="1:10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 spans="1:10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spans="1:10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 spans="1:10">
      <c r="A497" s="5"/>
      <c r="B497" s="5"/>
      <c r="C497" s="5"/>
      <c r="D497" s="5"/>
      <c r="E497" s="5"/>
      <c r="F497" s="5"/>
      <c r="G497" s="5"/>
      <c r="H497" s="5"/>
      <c r="I497" s="5"/>
    </row>
    <row r="498" spans="1:10">
      <c r="A498" s="5"/>
      <c r="B498" s="5"/>
      <c r="C498" s="5"/>
      <c r="D498" s="5"/>
      <c r="E498" s="5"/>
      <c r="F498" s="5"/>
      <c r="G498" s="5"/>
      <c r="H498" s="5"/>
      <c r="I498" s="5"/>
    </row>
    <row r="499" spans="1:10">
      <c r="A499" s="5"/>
      <c r="B499" s="5"/>
      <c r="C499" s="5"/>
      <c r="D499" s="5"/>
      <c r="E499" s="5"/>
      <c r="F499" s="5"/>
      <c r="G499" s="5"/>
      <c r="H499" s="5"/>
      <c r="I499" s="5"/>
    </row>
    <row r="500" spans="1:10">
      <c r="A500" s="5"/>
      <c r="B500" s="5"/>
      <c r="C500" s="5"/>
      <c r="D500" s="5"/>
      <c r="E500" s="5"/>
      <c r="F500" s="5"/>
      <c r="G500" s="5"/>
      <c r="H500" s="5"/>
      <c r="I500" s="5"/>
    </row>
    <row r="501" spans="1:10">
      <c r="A501" s="5"/>
      <c r="B501" s="5"/>
      <c r="C501" s="5"/>
      <c r="D501" s="5"/>
      <c r="E501" s="5"/>
      <c r="F501" s="5"/>
      <c r="G501" s="5"/>
      <c r="H501" s="5"/>
      <c r="I501" s="5"/>
    </row>
    <row r="502" spans="1:10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 spans="1:10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 spans="1:10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 spans="1:10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spans="1:10">
      <c r="A507" s="9"/>
    </row>
    <row r="508" spans="1:10">
      <c r="A508" s="9"/>
    </row>
    <row r="509" spans="1:10">
      <c r="A509" s="9"/>
    </row>
    <row r="510" spans="1:10">
      <c r="A510" s="9"/>
    </row>
    <row r="514" spans="1:10">
      <c r="A514" s="9"/>
    </row>
    <row r="515" spans="1:10">
      <c r="A515" s="9"/>
    </row>
    <row r="516" spans="1:10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 spans="1:10">
      <c r="A517" s="9"/>
    </row>
    <row r="518" spans="1:10">
      <c r="A518" s="9"/>
    </row>
    <row r="519" spans="1:10">
      <c r="A519" s="9"/>
    </row>
    <row r="520" spans="1:10">
      <c r="A520" s="9"/>
    </row>
    <row r="524" spans="1:10">
      <c r="A524" s="9"/>
    </row>
    <row r="525" spans="1:10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 spans="1:10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 spans="1:10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 spans="1:10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 spans="1:10">
      <c r="A533" s="5"/>
      <c r="B533" s="5"/>
      <c r="C533" s="5"/>
      <c r="D533" s="5"/>
      <c r="E533" s="5"/>
      <c r="F533" s="5"/>
      <c r="G533" s="5"/>
      <c r="H533" s="5"/>
      <c r="I533" s="5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</row>
    <row r="535" spans="1:10">
      <c r="A535" s="5"/>
      <c r="B535" s="5"/>
      <c r="C535" s="5"/>
      <c r="D535" s="5"/>
      <c r="E535" s="5"/>
      <c r="F535" s="5"/>
      <c r="G535" s="5"/>
      <c r="H535" s="5"/>
      <c r="I535" s="5"/>
    </row>
    <row r="536" spans="1:10">
      <c r="A536" s="5"/>
      <c r="B536" s="5"/>
      <c r="C536" s="5"/>
      <c r="D536" s="5"/>
      <c r="E536" s="5"/>
      <c r="F536" s="5"/>
      <c r="G536" s="5"/>
      <c r="H536" s="5"/>
      <c r="I536" s="5"/>
    </row>
    <row r="537" spans="1:10">
      <c r="A537" s="5"/>
      <c r="B537" s="5"/>
      <c r="C537" s="5"/>
      <c r="D537" s="5"/>
      <c r="E537" s="5"/>
      <c r="F537" s="5"/>
      <c r="G537" s="5"/>
      <c r="H537" s="5"/>
      <c r="I537" s="5"/>
    </row>
    <row r="538" spans="1:10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 spans="1:10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 spans="1:10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 spans="1:10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 spans="1:10">
      <c r="A543" s="9"/>
    </row>
    <row r="544" spans="1:10">
      <c r="A544" s="9"/>
    </row>
    <row r="545" spans="1:10">
      <c r="A545" s="9"/>
    </row>
    <row r="546" spans="1:10">
      <c r="A546" s="9"/>
    </row>
    <row r="550" spans="1:10">
      <c r="A550" s="9"/>
    </row>
    <row r="551" spans="1:10">
      <c r="A551" s="9"/>
    </row>
    <row r="552" spans="1:10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 spans="1:10">
      <c r="A553" s="9"/>
    </row>
    <row r="554" spans="1:10">
      <c r="A554" s="9"/>
    </row>
    <row r="555" spans="1:10">
      <c r="A555" s="9"/>
    </row>
    <row r="556" spans="1:10">
      <c r="A556" s="9"/>
    </row>
    <row r="557" spans="1:10">
      <c r="A557" s="17"/>
      <c r="B557" s="2"/>
    </row>
    <row r="558" spans="1:10">
      <c r="A558" s="17"/>
      <c r="B558" s="17"/>
      <c r="D558" s="5"/>
      <c r="E558" s="5"/>
      <c r="F558" s="5"/>
      <c r="G558" s="5"/>
      <c r="H558" s="5"/>
      <c r="I558" s="5"/>
    </row>
    <row r="563" spans="1:10">
      <c r="A563" s="9"/>
    </row>
    <row r="564" spans="1:10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 spans="1:10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spans="1:10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 spans="1:10">
      <c r="A572" s="5"/>
      <c r="B572" s="5"/>
      <c r="C572" s="5"/>
      <c r="D572" s="5"/>
      <c r="E572" s="5"/>
      <c r="F572" s="5"/>
      <c r="G572" s="5"/>
      <c r="H572" s="5"/>
      <c r="I572" s="5"/>
    </row>
    <row r="573" spans="1:10">
      <c r="A573" s="5"/>
      <c r="B573" s="5"/>
      <c r="C573" s="5"/>
      <c r="D573" s="5"/>
      <c r="E573" s="5"/>
      <c r="F573" s="5"/>
      <c r="G573" s="5"/>
      <c r="H573" s="5"/>
      <c r="I573" s="5"/>
    </row>
    <row r="574" spans="1:10">
      <c r="A574" s="5"/>
      <c r="B574" s="5"/>
      <c r="C574" s="5"/>
      <c r="D574" s="5"/>
      <c r="E574" s="5"/>
      <c r="F574" s="5"/>
      <c r="G574" s="5"/>
      <c r="H574" s="5"/>
      <c r="I574" s="5"/>
    </row>
    <row r="575" spans="1:10">
      <c r="A575" s="5"/>
      <c r="B575" s="5"/>
      <c r="C575" s="5"/>
      <c r="D575" s="5"/>
      <c r="E575" s="5"/>
      <c r="F575" s="5"/>
      <c r="G575" s="5"/>
      <c r="H575" s="5"/>
      <c r="I575" s="5"/>
    </row>
    <row r="576" spans="1:10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 spans="1:10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 spans="1:10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 spans="1:10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 spans="1:10">
      <c r="A581" s="9"/>
    </row>
    <row r="582" spans="1:10">
      <c r="A582" s="9"/>
    </row>
    <row r="583" spans="1:10">
      <c r="A583" s="9"/>
    </row>
    <row r="584" spans="1:10">
      <c r="A584" s="9"/>
    </row>
    <row r="588" spans="1:10">
      <c r="A588" s="9"/>
    </row>
    <row r="589" spans="1:10">
      <c r="A589" s="9"/>
    </row>
    <row r="590" spans="1:10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 spans="1:10">
      <c r="A591" s="9"/>
    </row>
    <row r="592" spans="1:10">
      <c r="A592" s="9"/>
    </row>
    <row r="593" spans="1:10">
      <c r="A593" s="9"/>
    </row>
    <row r="594" spans="1:10">
      <c r="A594" s="9"/>
    </row>
    <row r="595" spans="1:10">
      <c r="A595" s="9"/>
    </row>
    <row r="596" spans="1:10">
      <c r="A596" s="17"/>
      <c r="B596" s="2"/>
    </row>
    <row r="600" spans="1:10">
      <c r="A600" s="9"/>
    </row>
    <row r="601" spans="1:10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 spans="1:10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 spans="1:10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 spans="1:10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</row>
    <row r="609" spans="1:10">
      <c r="A609" s="5"/>
      <c r="B609" s="5"/>
      <c r="C609" s="5"/>
      <c r="D609" s="5"/>
      <c r="E609" s="5"/>
      <c r="F609" s="5"/>
      <c r="G609" s="5"/>
      <c r="H609" s="5"/>
      <c r="I609" s="5"/>
    </row>
    <row r="610" spans="1:10">
      <c r="A610" s="5"/>
      <c r="B610" s="5"/>
      <c r="C610" s="5"/>
      <c r="D610" s="5"/>
      <c r="E610" s="5"/>
      <c r="F610" s="5"/>
      <c r="G610" s="5"/>
      <c r="H610" s="5"/>
      <c r="I610" s="5"/>
    </row>
    <row r="611" spans="1:10">
      <c r="A611" s="5"/>
      <c r="B611" s="5"/>
      <c r="C611" s="5"/>
      <c r="D611" s="5"/>
      <c r="E611" s="5"/>
      <c r="F611" s="5"/>
      <c r="G611" s="5"/>
      <c r="H611" s="5"/>
      <c r="I611" s="5"/>
    </row>
    <row r="612" spans="1:10">
      <c r="A612" s="5"/>
      <c r="B612" s="5"/>
      <c r="C612" s="5"/>
      <c r="D612" s="5"/>
      <c r="E612" s="5"/>
      <c r="F612" s="5"/>
      <c r="G612" s="5"/>
      <c r="H612" s="5"/>
      <c r="I612" s="5"/>
    </row>
    <row r="613" spans="1:10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 spans="1:10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 spans="1:10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 spans="1:10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 spans="1:10">
      <c r="A618" s="9"/>
    </row>
    <row r="619" spans="1:10">
      <c r="A619" s="9"/>
    </row>
    <row r="620" spans="1:10">
      <c r="A620" s="9"/>
    </row>
    <row r="621" spans="1:10">
      <c r="A621" s="9"/>
    </row>
    <row r="625" spans="1:10">
      <c r="A625" s="9"/>
    </row>
    <row r="626" spans="1:10">
      <c r="A626" s="9"/>
    </row>
    <row r="627" spans="1:10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 spans="1:10">
      <c r="A628" s="9"/>
    </row>
    <row r="629" spans="1:10">
      <c r="A629" s="9"/>
    </row>
    <row r="630" spans="1:10">
      <c r="A630" s="9"/>
    </row>
    <row r="631" spans="1:10">
      <c r="A631" s="9"/>
    </row>
    <row r="632" spans="1:10">
      <c r="A632" s="17"/>
      <c r="B632" s="2"/>
    </row>
    <row r="635" spans="1:10">
      <c r="A635" s="9"/>
    </row>
    <row r="636" spans="1:10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 spans="1:10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 spans="1:10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 spans="1:10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 spans="1:10">
      <c r="A644" s="5"/>
      <c r="B644" s="5"/>
      <c r="C644" s="5"/>
      <c r="D644" s="5"/>
      <c r="E644" s="5"/>
      <c r="F644" s="5"/>
      <c r="G644" s="5"/>
      <c r="H644" s="5"/>
      <c r="I644" s="5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</row>
    <row r="646" spans="1:10">
      <c r="A646" s="5"/>
      <c r="B646" s="5"/>
      <c r="C646" s="5"/>
      <c r="D646" s="5"/>
      <c r="E646" s="5"/>
      <c r="F646" s="5"/>
      <c r="G646" s="5"/>
      <c r="H646" s="5"/>
      <c r="I646" s="5"/>
    </row>
    <row r="647" spans="1:10">
      <c r="A647" s="5"/>
      <c r="B647" s="5"/>
      <c r="C647" s="5"/>
      <c r="D647" s="5"/>
      <c r="E647" s="5"/>
      <c r="F647" s="5"/>
      <c r="G647" s="5"/>
      <c r="H647" s="5"/>
      <c r="I647" s="5"/>
    </row>
    <row r="648" spans="1:10">
      <c r="A648" s="5"/>
      <c r="B648" s="5"/>
      <c r="C648" s="5"/>
      <c r="D648" s="5"/>
      <c r="E648" s="5"/>
      <c r="F648" s="5"/>
      <c r="G648" s="5"/>
      <c r="H648" s="5"/>
      <c r="I648" s="5"/>
    </row>
    <row r="649" spans="1:10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 spans="1:10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 spans="1:10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 spans="1:10">
      <c r="A652" s="9"/>
    </row>
    <row r="653" spans="1:10">
      <c r="A653" s="9"/>
    </row>
    <row r="654" spans="1:10">
      <c r="A654" s="9"/>
    </row>
    <row r="655" spans="1:10">
      <c r="A655" s="9"/>
    </row>
    <row r="658" spans="1:10">
      <c r="A658" s="9"/>
    </row>
    <row r="659" spans="1:10">
      <c r="A659" s="9"/>
    </row>
    <row r="660" spans="1:10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spans="1:10">
      <c r="A661" s="9"/>
    </row>
    <row r="662" spans="1:10">
      <c r="A662" s="9"/>
    </row>
    <row r="663" spans="1:10">
      <c r="A663" s="9"/>
    </row>
    <row r="664" spans="1:10">
      <c r="A664" s="9"/>
    </row>
    <row r="668" spans="1:10">
      <c r="A668" s="9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 spans="1:10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 spans="1:10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 spans="1:10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 spans="1:10">
      <c r="A676" s="5"/>
      <c r="B676" s="5"/>
      <c r="C676" s="5"/>
      <c r="D676" s="5"/>
      <c r="E676" s="5"/>
      <c r="F676" s="5"/>
      <c r="G676" s="5"/>
      <c r="H676" s="5"/>
      <c r="I676" s="5"/>
    </row>
    <row r="677" spans="1:10">
      <c r="A677" s="5"/>
      <c r="B677" s="5"/>
      <c r="C677" s="5"/>
      <c r="D677" s="5"/>
      <c r="E677" s="5"/>
      <c r="F677" s="5"/>
      <c r="G677" s="5"/>
      <c r="H677" s="5"/>
      <c r="I677" s="5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</row>
    <row r="679" spans="1:10">
      <c r="A679" s="5"/>
      <c r="B679" s="5"/>
      <c r="C679" s="5"/>
      <c r="D679" s="5"/>
      <c r="E679" s="5"/>
      <c r="F679" s="5"/>
      <c r="G679" s="5"/>
      <c r="H679" s="5"/>
      <c r="I679" s="5"/>
    </row>
    <row r="680" spans="1:10">
      <c r="A680" s="5"/>
      <c r="B680" s="5"/>
      <c r="C680" s="5"/>
      <c r="D680" s="5"/>
      <c r="E680" s="5"/>
      <c r="F680" s="5"/>
      <c r="G680" s="5"/>
      <c r="H680" s="5"/>
      <c r="I680" s="5"/>
    </row>
    <row r="681" spans="1:10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 spans="1:10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 spans="1:10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 spans="1:10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 spans="1:10">
      <c r="A686" s="9"/>
    </row>
    <row r="687" spans="1:10">
      <c r="A687" s="9"/>
    </row>
    <row r="688" spans="1:10">
      <c r="A688" s="9"/>
    </row>
    <row r="689" spans="1:10">
      <c r="A689" s="9"/>
    </row>
    <row r="692" spans="1:10">
      <c r="A692" s="9"/>
    </row>
    <row r="693" spans="1:10">
      <c r="A693" s="9"/>
    </row>
    <row r="694" spans="1:10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 spans="1:10">
      <c r="A695" s="9"/>
    </row>
    <row r="696" spans="1:10">
      <c r="A696" s="9"/>
    </row>
    <row r="697" spans="1:10">
      <c r="A697" s="9"/>
    </row>
    <row r="698" spans="1:10">
      <c r="A698" s="9"/>
    </row>
    <row r="699" spans="1:10">
      <c r="A699" s="9"/>
    </row>
    <row r="700" spans="1:10">
      <c r="A700" s="9"/>
    </row>
    <row r="701" spans="1:10">
      <c r="A701" s="9"/>
    </row>
    <row r="702" spans="1:10">
      <c r="A702" s="9"/>
    </row>
    <row r="703" spans="1:10">
      <c r="A703" s="9"/>
    </row>
    <row r="704" spans="1:10">
      <c r="A704" s="9"/>
    </row>
    <row r="705" spans="1:3">
      <c r="A705" s="9"/>
    </row>
    <row r="706" spans="1:3">
      <c r="A706" s="9"/>
    </row>
    <row r="707" spans="1:3">
      <c r="A707" s="9"/>
    </row>
    <row r="708" spans="1:3">
      <c r="A708" s="9"/>
    </row>
    <row r="709" spans="1:3">
      <c r="A709" s="9"/>
    </row>
    <row r="710" spans="1:3">
      <c r="A710" s="9"/>
    </row>
    <row r="711" spans="1:3">
      <c r="A711" s="9"/>
    </row>
    <row r="712" spans="1:3">
      <c r="A712" s="9"/>
    </row>
    <row r="713" spans="1:3">
      <c r="A713" s="9"/>
    </row>
    <row r="714" spans="1:3">
      <c r="A714" s="9"/>
    </row>
    <row r="715" spans="1:3">
      <c r="A715" s="9"/>
    </row>
    <row r="716" spans="1:3">
      <c r="A716" s="9"/>
    </row>
    <row r="717" spans="1:3">
      <c r="A717" s="9"/>
    </row>
    <row r="718" spans="1:3">
      <c r="A718" s="15"/>
      <c r="B718" s="15"/>
      <c r="C718" s="15"/>
    </row>
    <row r="719" spans="1:3">
      <c r="A719" s="15"/>
      <c r="B719" s="15"/>
      <c r="C719" s="15"/>
    </row>
    <row r="726" spans="1:10">
      <c r="A726" s="9"/>
    </row>
    <row r="727" spans="1:10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spans="1:10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spans="1:10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spans="1:10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spans="1:10">
      <c r="A735" s="5"/>
      <c r="B735" s="5"/>
      <c r="C735" s="5"/>
      <c r="D735" s="5"/>
      <c r="E735" s="5"/>
      <c r="F735" s="5"/>
      <c r="G735" s="5"/>
      <c r="H735" s="5"/>
      <c r="I735" s="5"/>
    </row>
    <row r="736" spans="1:10">
      <c r="A736" s="5"/>
      <c r="B736" s="5"/>
      <c r="C736" s="5"/>
      <c r="D736" s="5"/>
      <c r="E736" s="5"/>
      <c r="F736" s="5"/>
      <c r="G736" s="5"/>
      <c r="H736" s="5"/>
      <c r="I736" s="5"/>
    </row>
    <row r="737" spans="1:10">
      <c r="A737" s="5"/>
      <c r="B737" s="5"/>
      <c r="C737" s="5"/>
      <c r="D737" s="5"/>
      <c r="E737" s="5"/>
      <c r="F737" s="5"/>
      <c r="G737" s="5"/>
      <c r="H737" s="5"/>
      <c r="I737" s="5"/>
    </row>
    <row r="738" spans="1:10">
      <c r="A738" s="5"/>
      <c r="B738" s="5"/>
      <c r="C738" s="5"/>
      <c r="D738" s="5"/>
      <c r="E738" s="5"/>
      <c r="F738" s="5"/>
      <c r="G738" s="5"/>
      <c r="H738" s="5"/>
      <c r="I738" s="5"/>
    </row>
    <row r="739" spans="1:10">
      <c r="A739" s="5"/>
      <c r="B739" s="5"/>
      <c r="C739" s="5"/>
      <c r="D739" s="5"/>
      <c r="E739" s="5"/>
      <c r="F739" s="5"/>
      <c r="G739" s="5"/>
      <c r="H739" s="5"/>
      <c r="I739" s="5"/>
    </row>
    <row r="740" spans="1:10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spans="1:10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spans="1:10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spans="1:10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spans="1:10">
      <c r="A745" s="9"/>
    </row>
    <row r="746" spans="1:10">
      <c r="A746" s="9"/>
    </row>
    <row r="747" spans="1:10">
      <c r="A747" s="9"/>
    </row>
    <row r="748" spans="1:10">
      <c r="A748" s="9"/>
    </row>
    <row r="752" spans="1:10">
      <c r="A752" s="9"/>
    </row>
    <row r="753" spans="1:10">
      <c r="A753" s="9"/>
    </row>
    <row r="754" spans="1:10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spans="1:10">
      <c r="A755" s="9"/>
    </row>
    <row r="756" spans="1:10">
      <c r="A756" s="9"/>
    </row>
    <row r="757" spans="1:10">
      <c r="A757" s="9"/>
    </row>
    <row r="758" spans="1:10">
      <c r="A758" s="9"/>
    </row>
    <row r="759" spans="1:10">
      <c r="A759" s="17"/>
      <c r="B759" s="2"/>
    </row>
    <row r="760" spans="1:10">
      <c r="A760" s="15"/>
      <c r="B760" s="15"/>
      <c r="C760" s="15"/>
    </row>
    <row r="761" spans="1:10">
      <c r="A761" s="15"/>
      <c r="B761" s="15"/>
      <c r="C761" s="15"/>
    </row>
    <row r="762" spans="1:10">
      <c r="A762" s="9"/>
    </row>
    <row r="763" spans="1:10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spans="1:10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spans="1:10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spans="1:10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spans="1:10">
      <c r="A770" s="5"/>
      <c r="B770" s="5"/>
      <c r="C770" s="5"/>
      <c r="D770" s="5"/>
      <c r="E770" s="5"/>
      <c r="F770" s="5"/>
      <c r="G770" s="5"/>
      <c r="H770" s="5"/>
      <c r="I770" s="5"/>
    </row>
    <row r="771" spans="1:10">
      <c r="A771" s="5"/>
      <c r="B771" s="5"/>
      <c r="C771" s="5"/>
      <c r="D771" s="5"/>
      <c r="E771" s="5"/>
      <c r="F771" s="5"/>
      <c r="G771" s="5"/>
      <c r="H771" s="5"/>
      <c r="I771" s="5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</row>
    <row r="773" spans="1:10">
      <c r="A773" s="5"/>
      <c r="B773" s="5"/>
      <c r="C773" s="5"/>
      <c r="D773" s="5"/>
      <c r="E773" s="5"/>
      <c r="F773" s="5"/>
      <c r="G773" s="5"/>
      <c r="H773" s="5"/>
      <c r="I773" s="5"/>
    </row>
    <row r="774" spans="1:10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spans="1:10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spans="1:10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spans="1:10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spans="1:10">
      <c r="A779" s="9"/>
    </row>
    <row r="780" spans="1:10">
      <c r="A780" s="9"/>
    </row>
    <row r="781" spans="1:10">
      <c r="A781" s="9"/>
    </row>
    <row r="782" spans="1:10">
      <c r="A782" s="9"/>
    </row>
    <row r="785" spans="1:10">
      <c r="A785" s="9"/>
    </row>
    <row r="786" spans="1:10">
      <c r="A786" s="9"/>
    </row>
    <row r="787" spans="1:10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spans="1:10">
      <c r="A788" s="9"/>
    </row>
    <row r="789" spans="1:10">
      <c r="A789" s="9"/>
    </row>
    <row r="790" spans="1:10">
      <c r="A790" s="9"/>
    </row>
    <row r="791" spans="1:10">
      <c r="A791" s="9"/>
    </row>
    <row r="792" spans="1:10">
      <c r="A792" s="9"/>
    </row>
    <row r="793" spans="1:10">
      <c r="A793" s="17"/>
      <c r="B793" s="2"/>
    </row>
    <row r="794" spans="1:10">
      <c r="A794" s="15"/>
      <c r="B794" s="15"/>
      <c r="C794" s="15"/>
    </row>
    <row r="795" spans="1:10">
      <c r="A795" s="15"/>
      <c r="B795" s="15"/>
      <c r="C795" s="1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spans="1:10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spans="1:10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spans="1:10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</row>
    <row r="806" spans="1:10">
      <c r="A806" s="5"/>
      <c r="B806" s="5"/>
      <c r="C806" s="5"/>
      <c r="D806" s="5"/>
      <c r="E806" s="5"/>
      <c r="F806" s="5"/>
      <c r="G806" s="5"/>
      <c r="H806" s="5"/>
      <c r="I806" s="5"/>
    </row>
    <row r="807" spans="1:10">
      <c r="A807" s="5"/>
      <c r="B807" s="5"/>
      <c r="C807" s="5"/>
      <c r="D807" s="5"/>
      <c r="E807" s="5"/>
      <c r="F807" s="5"/>
      <c r="G807" s="5"/>
      <c r="H807" s="5"/>
      <c r="I807" s="5"/>
    </row>
    <row r="808" spans="1:10">
      <c r="A808" s="5"/>
      <c r="B808" s="5"/>
      <c r="C808" s="5"/>
      <c r="D808" s="5"/>
      <c r="E808" s="5"/>
      <c r="F808" s="5"/>
      <c r="G808" s="5"/>
      <c r="H808" s="5"/>
      <c r="I808" s="5"/>
    </row>
    <row r="809" spans="1:10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spans="1:10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spans="1:10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spans="1:10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spans="1:10">
      <c r="A814" s="17"/>
      <c r="C814" s="5"/>
      <c r="D814" s="5"/>
      <c r="E814" s="5"/>
      <c r="F814" s="5"/>
      <c r="G814" s="5"/>
      <c r="H814" s="5"/>
      <c r="I814" s="5"/>
      <c r="J814" s="5"/>
    </row>
    <row r="815" spans="1:10">
      <c r="A815" s="17"/>
      <c r="C815" s="5"/>
      <c r="D815" s="5"/>
      <c r="E815" s="5"/>
      <c r="F815" s="5"/>
      <c r="G815" s="5"/>
      <c r="H815" s="5"/>
      <c r="I815" s="5"/>
      <c r="J815" s="5"/>
    </row>
    <row r="816" spans="1:10">
      <c r="A816" s="17"/>
      <c r="C816" s="5"/>
      <c r="D816" s="5"/>
      <c r="E816" s="5"/>
      <c r="F816" s="5"/>
      <c r="G816" s="5"/>
      <c r="H816" s="5"/>
      <c r="I816" s="5"/>
      <c r="J816" s="5"/>
    </row>
    <row r="817" spans="1:10">
      <c r="A817" s="17"/>
      <c r="C817" s="5"/>
      <c r="D817" s="5"/>
      <c r="E817" s="5"/>
      <c r="F817" s="5"/>
      <c r="G817" s="5"/>
      <c r="H817" s="5"/>
      <c r="I817" s="5"/>
      <c r="J817" s="5"/>
    </row>
    <row r="818" spans="1:10">
      <c r="A818" s="17"/>
      <c r="C818" s="5"/>
      <c r="D818" s="5"/>
      <c r="E818" s="5"/>
      <c r="F818" s="5"/>
      <c r="G818" s="5"/>
      <c r="H818" s="5"/>
      <c r="I818" s="5"/>
      <c r="J818" s="5"/>
    </row>
    <row r="819" spans="1:10">
      <c r="A819" s="17"/>
      <c r="C819" s="5"/>
      <c r="D819" s="5"/>
      <c r="E819" s="5"/>
      <c r="F819" s="5"/>
      <c r="G819" s="5"/>
      <c r="H819" s="5"/>
      <c r="I819" s="5"/>
      <c r="J819" s="5"/>
    </row>
    <row r="820" spans="1:10">
      <c r="A820" s="17"/>
      <c r="B820" s="5"/>
      <c r="C820" s="5"/>
      <c r="D820" s="5"/>
      <c r="E820" s="5"/>
      <c r="F820" s="5"/>
      <c r="G820" s="5"/>
      <c r="H820" s="5"/>
      <c r="I820" s="5"/>
      <c r="J820" s="5"/>
    </row>
    <row r="821" spans="1:10">
      <c r="A821" s="17"/>
      <c r="C821" s="5"/>
      <c r="D821" s="5"/>
      <c r="E821" s="5"/>
      <c r="F821" s="5"/>
      <c r="G821" s="5"/>
      <c r="H821" s="5"/>
      <c r="I821" s="5"/>
      <c r="J821" s="5"/>
    </row>
    <row r="822" spans="1:10">
      <c r="A822" s="17"/>
      <c r="C822" s="5"/>
      <c r="D822" s="5"/>
      <c r="E822" s="5"/>
      <c r="F822" s="5"/>
      <c r="G822" s="5"/>
      <c r="H822" s="5"/>
      <c r="I822" s="5"/>
      <c r="J822" s="5"/>
    </row>
    <row r="823" spans="1:10">
      <c r="A823" s="17"/>
      <c r="C823" s="5"/>
      <c r="D823" s="5"/>
      <c r="E823" s="5"/>
      <c r="F823" s="5"/>
      <c r="G823" s="5"/>
      <c r="H823" s="5"/>
      <c r="I823" s="5"/>
      <c r="J823" s="5"/>
    </row>
    <row r="824" spans="1:10">
      <c r="A824" s="17"/>
      <c r="C824" s="5"/>
      <c r="D824" s="5"/>
      <c r="E824" s="5"/>
      <c r="F824" s="5"/>
      <c r="G824" s="5"/>
      <c r="H824" s="5"/>
      <c r="I824" s="5"/>
      <c r="J824" s="5"/>
    </row>
    <row r="829" spans="1:10">
      <c r="A829" s="9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spans="1:10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spans="1:10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spans="1:10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spans="1:10">
      <c r="A839" s="5"/>
      <c r="B839" s="5"/>
      <c r="C839" s="5"/>
      <c r="D839" s="5"/>
      <c r="E839" s="5"/>
      <c r="F839" s="5"/>
      <c r="G839" s="5"/>
      <c r="H839" s="5"/>
      <c r="I839" s="5"/>
    </row>
    <row r="840" spans="1:10">
      <c r="A840" s="5"/>
      <c r="B840" s="5"/>
      <c r="C840" s="5"/>
      <c r="D840" s="5"/>
      <c r="E840" s="5"/>
      <c r="F840" s="5"/>
      <c r="G840" s="5"/>
      <c r="H840" s="5"/>
      <c r="I840" s="5"/>
    </row>
    <row r="841" spans="1:10">
      <c r="A841" s="5"/>
      <c r="B841" s="5"/>
      <c r="C841" s="5"/>
      <c r="D841" s="5"/>
      <c r="E841" s="5"/>
      <c r="F841" s="5"/>
      <c r="G841" s="5"/>
      <c r="H841" s="5"/>
      <c r="I841" s="5"/>
    </row>
    <row r="842" spans="1:10">
      <c r="A842" s="5"/>
      <c r="B842" s="5"/>
      <c r="C842" s="5"/>
      <c r="D842" s="5"/>
      <c r="E842" s="5"/>
      <c r="F842" s="5"/>
      <c r="G842" s="5"/>
      <c r="H842" s="5"/>
      <c r="I842" s="5"/>
    </row>
    <row r="843" spans="1:10">
      <c r="A843" s="5"/>
      <c r="B843" s="5"/>
      <c r="C843" s="5"/>
      <c r="D843" s="5"/>
      <c r="E843" s="5"/>
      <c r="F843" s="5"/>
      <c r="G843" s="5"/>
      <c r="H843" s="5"/>
      <c r="I843" s="5"/>
    </row>
    <row r="844" spans="1:10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spans="1:10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spans="1:10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spans="1:10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>
      <c r="A849" s="9"/>
    </row>
    <row r="850" spans="1:10">
      <c r="A850" s="9"/>
    </row>
    <row r="851" spans="1:10">
      <c r="A851" s="9"/>
    </row>
    <row r="852" spans="1:10">
      <c r="A852" s="9"/>
    </row>
    <row r="855" spans="1:10">
      <c r="A855" s="9"/>
    </row>
    <row r="856" spans="1:10">
      <c r="A856" s="9"/>
    </row>
    <row r="857" spans="1:10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spans="1:10">
      <c r="A858" s="9"/>
    </row>
    <row r="859" spans="1:10">
      <c r="A859" s="9"/>
    </row>
    <row r="860" spans="1:10">
      <c r="A860" s="9"/>
    </row>
    <row r="861" spans="1:10">
      <c r="A861" s="9"/>
    </row>
    <row r="862" spans="1:10">
      <c r="A862" s="17"/>
      <c r="B862" s="2"/>
    </row>
    <row r="866" spans="1:10">
      <c r="A866" s="9"/>
    </row>
    <row r="867" spans="1:10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spans="1:10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spans="1:10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spans="1:10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spans="1:10">
      <c r="A874" s="5"/>
      <c r="B874" s="5"/>
      <c r="C874" s="5"/>
      <c r="D874" s="5"/>
      <c r="E874" s="5"/>
      <c r="F874" s="5"/>
      <c r="G874" s="5"/>
      <c r="H874" s="5"/>
      <c r="I874" s="5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</row>
    <row r="876" spans="1:10">
      <c r="A876" s="5"/>
      <c r="B876" s="5"/>
      <c r="C876" s="5"/>
      <c r="D876" s="5"/>
      <c r="E876" s="5"/>
      <c r="F876" s="5"/>
      <c r="G876" s="5"/>
      <c r="H876" s="5"/>
      <c r="I876" s="5"/>
    </row>
    <row r="877" spans="1:10">
      <c r="A877" s="5"/>
      <c r="B877" s="5"/>
      <c r="C877" s="5"/>
      <c r="D877" s="5"/>
      <c r="E877" s="5"/>
      <c r="F877" s="5"/>
      <c r="G877" s="5"/>
      <c r="H877" s="5"/>
      <c r="I877" s="5"/>
    </row>
    <row r="878" spans="1:10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spans="1:10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spans="1:10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spans="1:10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spans="1:10">
      <c r="A883" s="9"/>
    </row>
    <row r="884" spans="1:10">
      <c r="A884" s="9"/>
    </row>
    <row r="885" spans="1:10">
      <c r="A885" s="9"/>
    </row>
    <row r="886" spans="1:10">
      <c r="A886" s="9"/>
    </row>
    <row r="889" spans="1:10">
      <c r="A889" s="9"/>
    </row>
    <row r="890" spans="1:10">
      <c r="A890" s="9"/>
    </row>
    <row r="891" spans="1:10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spans="1:10">
      <c r="A892" s="9"/>
    </row>
    <row r="893" spans="1:10">
      <c r="A893" s="9"/>
    </row>
    <row r="894" spans="1:10">
      <c r="A894" s="9"/>
    </row>
    <row r="895" spans="1:10">
      <c r="A895" s="9"/>
    </row>
    <row r="896" spans="1:10">
      <c r="A896" s="17"/>
      <c r="B896" s="2"/>
    </row>
    <row r="902" spans="1:10">
      <c r="A902" s="9"/>
    </row>
    <row r="903" spans="1:10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spans="1:10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spans="1:10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spans="1:10">
      <c r="A912" s="5"/>
      <c r="B912" s="5"/>
      <c r="C912" s="5"/>
      <c r="D912" s="5"/>
      <c r="E912" s="5"/>
      <c r="F912" s="5"/>
      <c r="G912" s="5"/>
      <c r="H912" s="5"/>
      <c r="I912" s="5"/>
    </row>
    <row r="913" spans="1:30">
      <c r="A913" s="5"/>
      <c r="B913" s="5"/>
      <c r="C913" s="5"/>
      <c r="D913" s="5"/>
      <c r="E913" s="5"/>
      <c r="F913" s="5"/>
      <c r="G913" s="5"/>
      <c r="H913" s="5"/>
      <c r="I913" s="5"/>
    </row>
    <row r="914" spans="1:30">
      <c r="A914" s="5"/>
      <c r="B914" s="5"/>
      <c r="C914" s="5"/>
      <c r="D914" s="5"/>
      <c r="E914" s="5"/>
      <c r="F914" s="5"/>
      <c r="G914" s="5"/>
      <c r="H914" s="5"/>
      <c r="I914" s="5"/>
    </row>
    <row r="915" spans="1:30">
      <c r="A915" s="5"/>
      <c r="B915" s="5"/>
      <c r="C915" s="5"/>
      <c r="D915" s="5"/>
      <c r="E915" s="5"/>
      <c r="F915" s="5"/>
      <c r="G915" s="5"/>
      <c r="H915" s="5"/>
      <c r="I915" s="5"/>
    </row>
    <row r="916" spans="1:30">
      <c r="A916" s="5"/>
      <c r="B916" s="5"/>
      <c r="C916" s="5"/>
      <c r="D916" s="5"/>
      <c r="E916" s="5"/>
      <c r="F916" s="5"/>
      <c r="G916" s="5"/>
      <c r="H916" s="5"/>
      <c r="I916" s="5"/>
    </row>
    <row r="917" spans="1:30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30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spans="1:30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spans="1:30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spans="1:30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spans="1:30">
      <c r="A922" s="9"/>
    </row>
    <row r="923" spans="1:30">
      <c r="A923" s="9"/>
    </row>
    <row r="924" spans="1:30">
      <c r="A924" s="9"/>
    </row>
    <row r="925" spans="1:30">
      <c r="A925" s="9"/>
    </row>
    <row r="928" spans="1:30" s="33" customFormat="1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  <c r="Y928"/>
      <c r="Z928"/>
      <c r="AA928"/>
      <c r="AB928"/>
      <c r="AC928"/>
      <c r="AD928"/>
    </row>
    <row r="929" spans="1:30" s="33" customFormat="1">
      <c r="A929" s="9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  <c r="Y929"/>
      <c r="Z929"/>
      <c r="AA929"/>
      <c r="AB929"/>
      <c r="AC929"/>
      <c r="AD929"/>
    </row>
    <row r="930" spans="1:30" s="33" customFormat="1">
      <c r="A930" s="9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  <c r="Y930"/>
      <c r="Z930"/>
      <c r="AA930"/>
      <c r="AB930"/>
      <c r="AC930"/>
      <c r="AD930"/>
    </row>
    <row r="931" spans="1:30" s="33" customForma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  <c r="Y931"/>
      <c r="Z931"/>
      <c r="AA931"/>
      <c r="AB931"/>
      <c r="AC931"/>
      <c r="AD931"/>
    </row>
    <row r="932" spans="1:30" s="33" customFormat="1">
      <c r="A932" s="9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  <c r="Y932"/>
      <c r="Z932"/>
      <c r="AA932"/>
      <c r="AB932"/>
      <c r="AC932"/>
      <c r="AD932"/>
    </row>
    <row r="933" spans="1:30">
      <c r="A933" s="9"/>
      <c r="M933" t="s">
        <v>507</v>
      </c>
    </row>
    <row r="934" spans="1:30">
      <c r="A934" s="9"/>
      <c r="M934" t="s">
        <v>507</v>
      </c>
    </row>
    <row r="935" spans="1:30">
      <c r="A935" s="9"/>
      <c r="M935" t="s">
        <v>507</v>
      </c>
    </row>
    <row r="936" spans="1:30">
      <c r="A936" s="9"/>
      <c r="M936" t="s">
        <v>507</v>
      </c>
    </row>
    <row r="937" spans="1:30">
      <c r="A937" s="9"/>
      <c r="M937" t="s">
        <v>507</v>
      </c>
    </row>
    <row r="938" spans="1:30">
      <c r="A938" s="9"/>
      <c r="M938" t="s">
        <v>507</v>
      </c>
    </row>
    <row r="939" spans="1:30">
      <c r="A939" s="9"/>
      <c r="M939" t="s">
        <v>507</v>
      </c>
    </row>
    <row r="940" spans="1:30">
      <c r="A940" s="9"/>
      <c r="M940" t="s">
        <v>507</v>
      </c>
    </row>
    <row r="941" spans="1:30">
      <c r="A941" s="9"/>
      <c r="M941" t="s">
        <v>507</v>
      </c>
    </row>
    <row r="942" spans="1:30">
      <c r="A942" s="9"/>
      <c r="M942" t="s">
        <v>507</v>
      </c>
    </row>
    <row r="943" spans="1:30">
      <c r="A943" s="9"/>
      <c r="M943" t="s">
        <v>507</v>
      </c>
    </row>
    <row r="944" spans="1:30">
      <c r="A944" s="9"/>
      <c r="M944" t="s">
        <v>507</v>
      </c>
    </row>
    <row r="945" spans="1:13">
      <c r="A945" s="9"/>
      <c r="M945" t="s">
        <v>507</v>
      </c>
    </row>
    <row r="946" spans="1:13">
      <c r="M946" t="s">
        <v>507</v>
      </c>
    </row>
    <row r="947" spans="1:13">
      <c r="M947" t="s">
        <v>507</v>
      </c>
    </row>
    <row r="948" spans="1:13">
      <c r="M948" t="s">
        <v>507</v>
      </c>
    </row>
    <row r="949" spans="1:13">
      <c r="M949" t="s">
        <v>507</v>
      </c>
    </row>
    <row r="950" spans="1:13">
      <c r="A950" s="9"/>
      <c r="M950" t="s">
        <v>507</v>
      </c>
    </row>
    <row r="951" spans="1:13">
      <c r="A951" s="5"/>
      <c r="B951" s="5"/>
      <c r="C951" s="5"/>
      <c r="D951" s="5"/>
      <c r="E951" s="5"/>
      <c r="F951" s="5"/>
      <c r="G951" s="5"/>
      <c r="H951" s="5"/>
      <c r="I951" s="5"/>
      <c r="J951" s="5"/>
      <c r="M951" t="s">
        <v>507</v>
      </c>
    </row>
    <row r="952" spans="1:13">
      <c r="A952" s="5"/>
      <c r="B952" s="5"/>
      <c r="C952" s="5"/>
      <c r="D952" s="5"/>
      <c r="E952" s="5"/>
      <c r="F952" s="5"/>
      <c r="G952" s="5"/>
      <c r="H952" s="5"/>
      <c r="I952" s="5"/>
      <c r="J952" s="5"/>
      <c r="M952" t="s">
        <v>507</v>
      </c>
    </row>
    <row r="953" spans="1:13">
      <c r="A953" s="5"/>
      <c r="B953" s="5"/>
      <c r="C953" s="5"/>
      <c r="D953" s="5"/>
      <c r="E953" s="5"/>
      <c r="F953" s="5"/>
      <c r="G953" s="5"/>
      <c r="H953" s="5"/>
      <c r="I953" s="5"/>
      <c r="J953" s="5"/>
      <c r="M953" t="s">
        <v>507</v>
      </c>
    </row>
    <row r="954" spans="1:13">
      <c r="A954" s="5"/>
      <c r="B954" s="5"/>
      <c r="C954" s="5"/>
      <c r="D954" s="5"/>
      <c r="E954" s="5"/>
      <c r="F954" s="5"/>
      <c r="G954" s="5"/>
      <c r="H954" s="5"/>
      <c r="I954" s="5"/>
      <c r="J954" s="5"/>
      <c r="M954" t="s">
        <v>507</v>
      </c>
    </row>
    <row r="955" spans="1:13">
      <c r="A955" s="5"/>
      <c r="B955" s="5"/>
      <c r="C955" s="5"/>
      <c r="D955" s="5"/>
      <c r="E955" s="5"/>
      <c r="F955" s="5"/>
      <c r="G955" s="5"/>
      <c r="H955" s="5"/>
      <c r="I955" s="5"/>
      <c r="J955" s="5"/>
      <c r="M955" t="s">
        <v>507</v>
      </c>
    </row>
    <row r="956" spans="1:13">
      <c r="A956" s="5"/>
      <c r="B956" s="5"/>
      <c r="C956" s="5"/>
      <c r="D956" s="5"/>
      <c r="E956" s="5"/>
      <c r="F956" s="5"/>
      <c r="G956" s="5"/>
      <c r="H956" s="5"/>
      <c r="I956" s="5"/>
      <c r="J956" s="5"/>
      <c r="M956" t="s">
        <v>507</v>
      </c>
    </row>
    <row r="957" spans="1:13">
      <c r="A957" s="5"/>
      <c r="B957" s="5"/>
      <c r="C957" s="5"/>
      <c r="D957" s="5"/>
      <c r="E957" s="5"/>
      <c r="F957" s="5"/>
      <c r="G957" s="5"/>
      <c r="H957" s="5"/>
      <c r="I957" s="5"/>
      <c r="J957" s="5"/>
      <c r="M957" t="s">
        <v>507</v>
      </c>
    </row>
    <row r="958" spans="1:13">
      <c r="A958" s="5"/>
      <c r="B958" s="5"/>
      <c r="C958" s="5"/>
      <c r="D958" s="5"/>
      <c r="E958" s="5"/>
      <c r="F958" s="5"/>
      <c r="G958" s="5"/>
      <c r="H958" s="5"/>
      <c r="I958" s="5"/>
      <c r="J958" s="5"/>
      <c r="M958" t="s">
        <v>507</v>
      </c>
    </row>
    <row r="959" spans="1:13">
      <c r="A959" s="5"/>
      <c r="B959" s="5"/>
      <c r="C959" s="5"/>
      <c r="D959" s="5"/>
      <c r="E959" s="5"/>
      <c r="F959" s="5"/>
      <c r="G959" s="5"/>
      <c r="H959" s="5"/>
      <c r="I959" s="5"/>
      <c r="M959" t="s">
        <v>507</v>
      </c>
    </row>
    <row r="960" spans="1:13">
      <c r="A960" s="5"/>
      <c r="B960" s="5"/>
      <c r="C960" s="5"/>
      <c r="D960" s="5"/>
      <c r="E960" s="5"/>
      <c r="F960" s="5"/>
      <c r="G960" s="5"/>
      <c r="H960" s="5"/>
      <c r="I960" s="5"/>
      <c r="M960" t="s">
        <v>507</v>
      </c>
    </row>
    <row r="961" spans="1:13">
      <c r="A961" s="5"/>
      <c r="B961" s="5"/>
      <c r="C961" s="5"/>
      <c r="D961" s="5"/>
      <c r="E961" s="5"/>
      <c r="F961" s="5"/>
      <c r="G961" s="5"/>
      <c r="H961" s="5"/>
      <c r="I961" s="5"/>
      <c r="M961" t="s">
        <v>507</v>
      </c>
    </row>
    <row r="962" spans="1:13">
      <c r="A962" s="5"/>
      <c r="B962" s="5"/>
      <c r="C962" s="5"/>
      <c r="D962" s="5"/>
      <c r="E962" s="5"/>
      <c r="F962" s="5"/>
      <c r="G962" s="5"/>
      <c r="H962" s="5"/>
      <c r="I962" s="5"/>
      <c r="M962" t="s">
        <v>507</v>
      </c>
    </row>
    <row r="963" spans="1:13">
      <c r="A963" s="5"/>
      <c r="B963" s="5"/>
      <c r="C963" s="5"/>
      <c r="D963" s="5"/>
      <c r="E963" s="5"/>
      <c r="F963" s="5"/>
      <c r="G963" s="5"/>
      <c r="H963" s="5"/>
      <c r="I963" s="5"/>
      <c r="J963" s="5"/>
      <c r="M963" t="s">
        <v>507</v>
      </c>
    </row>
    <row r="964" spans="1:13">
      <c r="A964" s="5"/>
      <c r="B964" s="5"/>
      <c r="C964" s="5"/>
      <c r="D964" s="5"/>
      <c r="E964" s="5"/>
      <c r="F964" s="5"/>
      <c r="G964" s="5"/>
      <c r="H964" s="5"/>
      <c r="I964" s="5"/>
      <c r="J964" s="5"/>
      <c r="M964" t="s">
        <v>507</v>
      </c>
    </row>
    <row r="965" spans="1:13">
      <c r="A965" s="5"/>
      <c r="B965" s="5"/>
      <c r="C965" s="5"/>
      <c r="D965" s="5"/>
      <c r="E965" s="5"/>
      <c r="F965" s="5"/>
      <c r="G965" s="5"/>
      <c r="H965" s="5"/>
      <c r="I965" s="5"/>
      <c r="J965" s="5"/>
      <c r="M965" t="s">
        <v>507</v>
      </c>
    </row>
    <row r="966" spans="1:13">
      <c r="A966" s="5"/>
      <c r="B966" s="5"/>
      <c r="C966" s="5"/>
      <c r="D966" s="5"/>
      <c r="E966" s="5"/>
      <c r="F966" s="5"/>
      <c r="G966" s="5"/>
      <c r="H966" s="5"/>
      <c r="I966" s="5"/>
      <c r="J966" s="5"/>
      <c r="M966" t="s">
        <v>507</v>
      </c>
    </row>
    <row r="967" spans="1:13">
      <c r="A967" s="9"/>
      <c r="M967" t="s">
        <v>507</v>
      </c>
    </row>
    <row r="968" spans="1:13">
      <c r="A968" s="9"/>
      <c r="M968" t="s">
        <v>507</v>
      </c>
    </row>
    <row r="969" spans="1:13">
      <c r="A969" s="9"/>
      <c r="M969" t="s">
        <v>507</v>
      </c>
    </row>
    <row r="970" spans="1:13">
      <c r="A970" s="9"/>
      <c r="M970" t="s">
        <v>507</v>
      </c>
    </row>
    <row r="971" spans="1:13">
      <c r="M971" t="s">
        <v>507</v>
      </c>
    </row>
    <row r="972" spans="1:13">
      <c r="M972" t="s">
        <v>507</v>
      </c>
    </row>
    <row r="973" spans="1:13">
      <c r="A973" s="9"/>
      <c r="M973" t="s">
        <v>507</v>
      </c>
    </row>
    <row r="974" spans="1:13">
      <c r="A974" s="9"/>
      <c r="M974" t="s">
        <v>507</v>
      </c>
    </row>
    <row r="975" spans="1:13">
      <c r="A975" s="5"/>
      <c r="B975" s="5"/>
      <c r="C975" s="5"/>
      <c r="D975" s="5"/>
      <c r="E975" s="5"/>
      <c r="F975" s="5"/>
      <c r="G975" s="5"/>
      <c r="H975" s="5"/>
      <c r="I975" s="5"/>
      <c r="J975" s="5"/>
      <c r="M975" t="s">
        <v>507</v>
      </c>
    </row>
    <row r="976" spans="1:13">
      <c r="A976" s="9"/>
      <c r="M976" t="s">
        <v>507</v>
      </c>
    </row>
    <row r="977" spans="1:13">
      <c r="A977" s="9"/>
      <c r="M977" t="s">
        <v>507</v>
      </c>
    </row>
    <row r="978" spans="1:13">
      <c r="A978" s="9"/>
      <c r="M978" t="s">
        <v>507</v>
      </c>
    </row>
    <row r="979" spans="1:13">
      <c r="A979" s="9"/>
      <c r="M979" t="s">
        <v>507</v>
      </c>
    </row>
    <row r="980" spans="1:13">
      <c r="A980" s="9"/>
      <c r="M980" t="s">
        <v>507</v>
      </c>
    </row>
    <row r="981" spans="1:13">
      <c r="A981" s="17"/>
      <c r="B981" s="2"/>
      <c r="M981" t="s">
        <v>507</v>
      </c>
    </row>
    <row r="982" spans="1:13">
      <c r="M982" t="s">
        <v>507</v>
      </c>
    </row>
    <row r="983" spans="1:13">
      <c r="M983" t="s">
        <v>507</v>
      </c>
    </row>
    <row r="984" spans="1:13">
      <c r="M984" t="s">
        <v>507</v>
      </c>
    </row>
    <row r="985" spans="1:13">
      <c r="M985" t="s">
        <v>507</v>
      </c>
    </row>
    <row r="986" spans="1:13">
      <c r="A986" s="9"/>
      <c r="M986" t="s">
        <v>507</v>
      </c>
    </row>
    <row r="987" spans="1:13">
      <c r="A987" s="5"/>
      <c r="B987" s="5"/>
      <c r="C987" s="5"/>
      <c r="D987" s="5"/>
      <c r="E987" s="5"/>
      <c r="F987" s="5"/>
      <c r="G987" s="5"/>
      <c r="H987" s="5"/>
      <c r="I987" s="5"/>
      <c r="J987" s="5"/>
      <c r="M987" t="s">
        <v>507</v>
      </c>
    </row>
    <row r="988" spans="1:13">
      <c r="A988" s="5"/>
      <c r="B988" s="5"/>
      <c r="C988" s="5"/>
      <c r="D988" s="5"/>
      <c r="E988" s="5"/>
      <c r="F988" s="5"/>
      <c r="G988" s="5"/>
      <c r="H988" s="5"/>
      <c r="I988" s="5"/>
      <c r="J988" s="5"/>
      <c r="M988" t="s">
        <v>507</v>
      </c>
    </row>
    <row r="989" spans="1:13">
      <c r="A989" s="5"/>
      <c r="B989" s="5"/>
      <c r="C989" s="5"/>
      <c r="D989" s="5"/>
      <c r="E989" s="5"/>
      <c r="F989" s="5"/>
      <c r="G989" s="5"/>
      <c r="H989" s="5"/>
      <c r="I989" s="5"/>
      <c r="J989" s="5"/>
      <c r="M989" t="s">
        <v>507</v>
      </c>
    </row>
    <row r="990" spans="1:13">
      <c r="A990" s="5"/>
      <c r="B990" s="5"/>
      <c r="C990" s="5"/>
      <c r="D990" s="5"/>
      <c r="E990" s="5"/>
      <c r="F990" s="5"/>
      <c r="G990" s="5"/>
      <c r="H990" s="5"/>
      <c r="I990" s="5"/>
      <c r="J990" s="5"/>
      <c r="M990" t="s">
        <v>507</v>
      </c>
    </row>
    <row r="991" spans="1:13">
      <c r="A991" s="5"/>
      <c r="B991" s="5"/>
      <c r="C991" s="5"/>
      <c r="D991" s="5"/>
      <c r="E991" s="5"/>
      <c r="F991" s="5"/>
      <c r="G991" s="5"/>
      <c r="H991" s="5"/>
      <c r="I991" s="5"/>
      <c r="J991" s="5"/>
      <c r="M991" t="s">
        <v>507</v>
      </c>
    </row>
    <row r="992" spans="1:13">
      <c r="A992" s="5"/>
      <c r="B992" s="5"/>
      <c r="C992" s="5"/>
      <c r="D992" s="5"/>
      <c r="E992" s="5"/>
      <c r="F992" s="5"/>
      <c r="G992" s="5"/>
      <c r="H992" s="5"/>
      <c r="I992" s="5"/>
      <c r="J992" s="5"/>
      <c r="M992" t="s">
        <v>507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J993" s="5"/>
      <c r="M993" t="s">
        <v>507</v>
      </c>
    </row>
    <row r="994" spans="1:13">
      <c r="A994" s="5"/>
      <c r="B994" s="5"/>
      <c r="C994" s="5"/>
      <c r="D994" s="5"/>
      <c r="E994" s="5"/>
      <c r="F994" s="5"/>
      <c r="G994" s="5"/>
      <c r="H994" s="5"/>
      <c r="I994" s="5"/>
      <c r="J994" s="5"/>
      <c r="M994" t="s">
        <v>507</v>
      </c>
    </row>
    <row r="995" spans="1:13">
      <c r="A995" s="5"/>
      <c r="B995" s="5"/>
      <c r="C995" s="5"/>
      <c r="D995" s="5"/>
      <c r="E995" s="5"/>
      <c r="F995" s="5"/>
      <c r="G995" s="5"/>
      <c r="H995" s="5"/>
      <c r="I995" s="5"/>
      <c r="J995" s="5"/>
      <c r="M995" t="s">
        <v>507</v>
      </c>
    </row>
    <row r="996" spans="1:13">
      <c r="A996" s="5"/>
      <c r="B996" s="5"/>
      <c r="C996" s="5"/>
      <c r="D996" s="5"/>
      <c r="E996" s="5"/>
      <c r="F996" s="5"/>
      <c r="G996" s="5"/>
      <c r="H996" s="5"/>
      <c r="I996" s="5"/>
      <c r="M996" t="s">
        <v>507</v>
      </c>
    </row>
    <row r="997" spans="1:13">
      <c r="A997" s="5"/>
      <c r="B997" s="5"/>
      <c r="C997" s="5"/>
      <c r="D997" s="5"/>
      <c r="E997" s="5"/>
      <c r="F997" s="5"/>
      <c r="G997" s="5"/>
      <c r="H997" s="5"/>
      <c r="I997" s="5"/>
      <c r="M997" t="s">
        <v>507</v>
      </c>
    </row>
    <row r="998" spans="1:13">
      <c r="A998" s="5"/>
      <c r="B998" s="5"/>
      <c r="C998" s="5"/>
      <c r="D998" s="5"/>
      <c r="E998" s="5"/>
      <c r="F998" s="5"/>
      <c r="G998" s="5"/>
      <c r="H998" s="5"/>
      <c r="I998" s="5"/>
      <c r="M998" t="s">
        <v>507</v>
      </c>
    </row>
    <row r="999" spans="1:13">
      <c r="A999" s="5"/>
      <c r="B999" s="5"/>
      <c r="C999" s="5"/>
      <c r="D999" s="5"/>
      <c r="E999" s="5"/>
      <c r="F999" s="5"/>
      <c r="G999" s="5"/>
      <c r="H999" s="5"/>
      <c r="I999" s="5"/>
      <c r="M999" t="s">
        <v>507</v>
      </c>
    </row>
    <row r="1000" spans="1:1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M1000" t="s">
        <v>507</v>
      </c>
    </row>
    <row r="1001" spans="1:13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M1001" t="s">
        <v>507</v>
      </c>
    </row>
    <row r="1002" spans="1:13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M1002" t="s">
        <v>507</v>
      </c>
    </row>
    <row r="1003" spans="1:1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M1003" t="s">
        <v>507</v>
      </c>
    </row>
    <row r="1004" spans="1:13">
      <c r="A1004" s="9"/>
      <c r="M1004" t="s">
        <v>507</v>
      </c>
    </row>
    <row r="1005" spans="1:13">
      <c r="A1005" s="9"/>
      <c r="M1005" t="s">
        <v>507</v>
      </c>
    </row>
    <row r="1006" spans="1:13">
      <c r="A1006" s="9"/>
      <c r="M1006" t="s">
        <v>507</v>
      </c>
    </row>
    <row r="1007" spans="1:13">
      <c r="A1007" s="9"/>
      <c r="M1007" t="s">
        <v>507</v>
      </c>
    </row>
    <row r="1008" spans="1:13">
      <c r="M1008" t="s">
        <v>507</v>
      </c>
    </row>
    <row r="1009" spans="1:13">
      <c r="M1009" t="s">
        <v>507</v>
      </c>
    </row>
    <row r="1010" spans="1:13">
      <c r="A1010" s="9"/>
      <c r="M1010" t="s">
        <v>507</v>
      </c>
    </row>
    <row r="1011" spans="1:13">
      <c r="A1011" s="9"/>
      <c r="M1011" t="s">
        <v>507</v>
      </c>
    </row>
    <row r="1012" spans="1:13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M1012" t="s">
        <v>507</v>
      </c>
    </row>
    <row r="1013" spans="1:13">
      <c r="A1013" s="9"/>
      <c r="M1013" t="s">
        <v>507</v>
      </c>
    </row>
    <row r="1014" spans="1:13">
      <c r="A1014" s="9"/>
      <c r="M1014" t="s">
        <v>507</v>
      </c>
    </row>
    <row r="1015" spans="1:13">
      <c r="A1015" s="9"/>
      <c r="M1015" t="s">
        <v>507</v>
      </c>
    </row>
    <row r="1016" spans="1:13">
      <c r="A1016" s="9"/>
      <c r="M1016" t="s">
        <v>507</v>
      </c>
    </row>
    <row r="1017" spans="1:13">
      <c r="A1017" s="17"/>
      <c r="B1017" s="2"/>
      <c r="M1017" t="s">
        <v>507</v>
      </c>
    </row>
    <row r="1018" spans="1:13">
      <c r="M1018" t="s">
        <v>507</v>
      </c>
    </row>
    <row r="1019" spans="1:13">
      <c r="M1019" t="s">
        <v>507</v>
      </c>
    </row>
    <row r="1020" spans="1:13">
      <c r="M1020" t="s">
        <v>507</v>
      </c>
    </row>
    <row r="1021" spans="1:13">
      <c r="M1021" t="s">
        <v>507</v>
      </c>
    </row>
    <row r="1022" spans="1:13">
      <c r="A1022" s="9"/>
      <c r="M1022" t="s">
        <v>507</v>
      </c>
    </row>
    <row r="1023" spans="1:1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M1023" t="s">
        <v>507</v>
      </c>
    </row>
    <row r="1024" spans="1:13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M1024" t="s">
        <v>507</v>
      </c>
    </row>
    <row r="1025" spans="1:13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M1025" t="s">
        <v>507</v>
      </c>
    </row>
    <row r="1026" spans="1:13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M1026" t="s">
        <v>507</v>
      </c>
    </row>
    <row r="1027" spans="1:13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M1027" t="s">
        <v>507</v>
      </c>
    </row>
    <row r="1028" spans="1:13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M1028" t="s">
        <v>507</v>
      </c>
    </row>
    <row r="1029" spans="1:13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M1029" t="s">
        <v>507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M1030" t="s">
        <v>507</v>
      </c>
    </row>
    <row r="1031" spans="1:13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M1031" t="s">
        <v>507</v>
      </c>
    </row>
    <row r="1032" spans="1:13">
      <c r="A1032" s="5"/>
      <c r="B1032" s="5"/>
      <c r="C1032" s="5"/>
      <c r="D1032" s="5"/>
      <c r="E1032" s="5"/>
      <c r="F1032" s="5"/>
      <c r="G1032" s="5"/>
      <c r="H1032" s="5"/>
      <c r="I1032" s="5"/>
      <c r="M1032" t="s">
        <v>507</v>
      </c>
    </row>
    <row r="1033" spans="1:13">
      <c r="A1033" s="5"/>
      <c r="B1033" s="5"/>
      <c r="C1033" s="5"/>
      <c r="D1033" s="5"/>
      <c r="E1033" s="5"/>
      <c r="F1033" s="5"/>
      <c r="G1033" s="5"/>
      <c r="H1033" s="5"/>
      <c r="I1033" s="5"/>
      <c r="M1033" t="s">
        <v>507</v>
      </c>
    </row>
    <row r="1034" spans="1:13">
      <c r="A1034" s="5"/>
      <c r="B1034" s="5"/>
      <c r="C1034" s="5"/>
      <c r="D1034" s="5"/>
      <c r="E1034" s="5"/>
      <c r="F1034" s="5"/>
      <c r="G1034" s="5"/>
      <c r="H1034" s="5"/>
      <c r="I1034" s="5"/>
      <c r="M1034" t="s">
        <v>507</v>
      </c>
    </row>
    <row r="1035" spans="1:13">
      <c r="A1035" s="5"/>
      <c r="B1035" s="5"/>
      <c r="C1035" s="5"/>
      <c r="D1035" s="5"/>
      <c r="E1035" s="5"/>
      <c r="F1035" s="5"/>
      <c r="G1035" s="5"/>
      <c r="H1035" s="5"/>
      <c r="I1035" s="5"/>
      <c r="M1035" t="s">
        <v>507</v>
      </c>
    </row>
    <row r="1036" spans="1:13">
      <c r="A1036" s="5"/>
      <c r="B1036" s="5"/>
      <c r="C1036" s="5"/>
      <c r="D1036" s="5"/>
      <c r="E1036" s="5"/>
      <c r="F1036" s="5"/>
      <c r="G1036" s="5"/>
      <c r="H1036" s="5"/>
      <c r="I1036" s="5"/>
      <c r="M1036" t="s">
        <v>507</v>
      </c>
    </row>
    <row r="1037" spans="1:13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M1037" t="s">
        <v>507</v>
      </c>
    </row>
    <row r="1038" spans="1:13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M1038" t="s">
        <v>507</v>
      </c>
    </row>
    <row r="1039" spans="1:13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M1039" t="s">
        <v>507</v>
      </c>
    </row>
    <row r="1040" spans="1:13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M1040" t="s">
        <v>507</v>
      </c>
    </row>
    <row r="1041" spans="1:13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M1041" t="s">
        <v>507</v>
      </c>
    </row>
    <row r="1042" spans="1:13">
      <c r="A1042" s="9"/>
      <c r="M1042" t="s">
        <v>507</v>
      </c>
    </row>
    <row r="1043" spans="1:13">
      <c r="A1043" s="9"/>
      <c r="M1043" t="s">
        <v>507</v>
      </c>
    </row>
    <row r="1044" spans="1:13">
      <c r="A1044" s="9"/>
      <c r="M1044" t="s">
        <v>507</v>
      </c>
    </row>
    <row r="1045" spans="1:13">
      <c r="A1045" s="9"/>
      <c r="M1045" t="s">
        <v>507</v>
      </c>
    </row>
    <row r="1046" spans="1:13">
      <c r="M1046" t="s">
        <v>507</v>
      </c>
    </row>
    <row r="1047" spans="1:13">
      <c r="M1047" t="s">
        <v>507</v>
      </c>
    </row>
    <row r="1048" spans="1:13">
      <c r="A1048" s="9"/>
      <c r="M1048" t="s">
        <v>507</v>
      </c>
    </row>
    <row r="1049" spans="1:13">
      <c r="A1049" s="9"/>
      <c r="M1049" t="s">
        <v>507</v>
      </c>
    </row>
    <row r="1050" spans="1:13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M1050" t="s">
        <v>507</v>
      </c>
    </row>
    <row r="1051" spans="1:13">
      <c r="A1051" s="9"/>
      <c r="M1051" t="s">
        <v>507</v>
      </c>
    </row>
    <row r="1052" spans="1:13">
      <c r="A1052" s="9"/>
      <c r="M1052" t="s">
        <v>507</v>
      </c>
    </row>
    <row r="1053" spans="1:13">
      <c r="A1053" s="9"/>
      <c r="M1053" t="s">
        <v>507</v>
      </c>
    </row>
    <row r="1054" spans="1:13">
      <c r="A1054" s="9"/>
      <c r="M1054" t="s">
        <v>507</v>
      </c>
    </row>
    <row r="1055" spans="1:13">
      <c r="A1055" s="15"/>
      <c r="B1055" s="15"/>
      <c r="C1055" s="15"/>
      <c r="M1055" t="s">
        <v>507</v>
      </c>
    </row>
    <row r="1056" spans="1:13">
      <c r="A1056" s="15"/>
      <c r="B1056" s="15"/>
      <c r="C1056" s="15"/>
      <c r="M1056" t="s">
        <v>507</v>
      </c>
    </row>
    <row r="1057" spans="1:12">
      <c r="A1057" s="15"/>
      <c r="B1057" s="15"/>
      <c r="C1057" s="15"/>
    </row>
    <row r="1058" spans="1:12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2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2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2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2">
      <c r="A1062" s="5"/>
      <c r="B1062" s="5"/>
      <c r="C1062" s="5"/>
      <c r="D1062" s="5"/>
      <c r="E1062" s="5"/>
      <c r="F1062" s="5"/>
      <c r="G1062" s="5"/>
      <c r="H1062" s="5"/>
      <c r="I1062" s="5"/>
      <c r="J1062" s="5"/>
    </row>
    <row r="1063" spans="1:12">
      <c r="A1063" s="5"/>
      <c r="B1063" s="5"/>
      <c r="C1063" s="5"/>
      <c r="D1063" s="5"/>
      <c r="E1063" s="5"/>
      <c r="F1063" s="5"/>
      <c r="G1063" s="5"/>
      <c r="H1063" s="5"/>
      <c r="I1063" s="5"/>
      <c r="J1063" s="5"/>
    </row>
    <row r="1064" spans="1:12">
      <c r="A1064" s="5"/>
      <c r="B1064" s="5"/>
      <c r="C1064" s="5"/>
      <c r="D1064" s="5"/>
      <c r="E1064" s="5"/>
      <c r="F1064" s="5"/>
      <c r="G1064" s="5"/>
      <c r="H1064" s="5"/>
      <c r="I1064" s="5"/>
      <c r="J1064" s="5"/>
    </row>
    <row r="1065" spans="1:12">
      <c r="A1065" s="5"/>
      <c r="B1065" s="5"/>
      <c r="C1065" s="5"/>
      <c r="D1065" s="5"/>
      <c r="E1065" s="5"/>
      <c r="F1065" s="5"/>
      <c r="G1065" s="5"/>
      <c r="H1065" s="5"/>
      <c r="I1065" s="5"/>
      <c r="J1065" s="5"/>
    </row>
    <row r="1066" spans="1:12">
      <c r="A1066" s="5"/>
      <c r="B1066" s="5"/>
      <c r="C1066" s="5"/>
      <c r="D1066" s="5"/>
      <c r="E1066" s="5"/>
      <c r="F1066" s="5"/>
      <c r="G1066" s="5"/>
      <c r="H1066" s="5"/>
      <c r="I1066" s="5"/>
    </row>
    <row r="1067" spans="1:12">
      <c r="A1067" s="5"/>
      <c r="B1067" s="5"/>
      <c r="C1067" s="5"/>
      <c r="D1067" s="5"/>
      <c r="E1067" s="5"/>
      <c r="F1067" s="5"/>
      <c r="G1067" s="5"/>
      <c r="H1067" s="5"/>
      <c r="I1067" s="5"/>
    </row>
    <row r="1068" spans="1:12">
      <c r="A1068" s="5"/>
      <c r="B1068" s="5"/>
      <c r="C1068" s="5"/>
      <c r="D1068" s="5"/>
      <c r="E1068" s="5"/>
      <c r="F1068" s="5"/>
      <c r="G1068" s="5"/>
      <c r="H1068" s="5"/>
      <c r="I1068" s="5"/>
    </row>
    <row r="1069" spans="1:12">
      <c r="A1069" s="5"/>
      <c r="B1069" s="5"/>
      <c r="C1069" s="5"/>
      <c r="D1069" s="5"/>
      <c r="E1069" s="5"/>
      <c r="F1069" s="5"/>
      <c r="G1069" s="5"/>
      <c r="H1069" s="5"/>
      <c r="I1069" s="5"/>
    </row>
    <row r="1070" spans="1:12">
      <c r="A1070" s="5"/>
      <c r="B1070" s="5"/>
      <c r="C1070" s="5"/>
      <c r="D1070" s="5"/>
      <c r="E1070" s="5"/>
      <c r="F1070" s="5"/>
      <c r="G1070" s="5"/>
      <c r="H1070" s="5"/>
      <c r="I1070" s="5"/>
      <c r="J1070" s="5"/>
    </row>
    <row r="1071" spans="1:12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L1071" s="16"/>
    </row>
    <row r="1072" spans="1:12">
      <c r="A1072" s="5"/>
      <c r="B1072" s="5"/>
      <c r="C1072" s="5"/>
      <c r="D1072" s="5"/>
      <c r="E1072" s="5"/>
      <c r="F1072" s="5"/>
      <c r="G1072" s="5"/>
      <c r="H1072" s="5"/>
      <c r="I1072" s="5"/>
      <c r="J1072" s="5"/>
    </row>
    <row r="1073" spans="1:10">
      <c r="A1073" s="5"/>
      <c r="B1073" s="5"/>
      <c r="C1073" s="5"/>
      <c r="D1073" s="5"/>
      <c r="E1073" s="5"/>
      <c r="F1073" s="5"/>
      <c r="G1073" s="5"/>
      <c r="H1073" s="5"/>
      <c r="I1073" s="5"/>
      <c r="J1073" s="5"/>
    </row>
    <row r="1074" spans="1:10">
      <c r="A1074" s="17"/>
      <c r="B1074" s="2"/>
    </row>
    <row r="1075" spans="1:10">
      <c r="A1075" s="17"/>
      <c r="B1075" s="2"/>
      <c r="D1075" s="5"/>
      <c r="E1075" s="5"/>
      <c r="F1075" s="5"/>
      <c r="G1075" s="5"/>
      <c r="H1075" s="5"/>
      <c r="I1075" s="5"/>
      <c r="J1075" s="5"/>
    </row>
    <row r="1076" spans="1:10">
      <c r="A1076" s="17"/>
      <c r="B1076" s="2"/>
      <c r="D1076" s="5"/>
      <c r="E1076" s="5"/>
      <c r="F1076" s="5"/>
      <c r="G1076" s="5"/>
      <c r="H1076" s="5"/>
      <c r="I1076" s="5"/>
      <c r="J1076" s="5"/>
    </row>
    <row r="1077" spans="1:10">
      <c r="A1077" s="17"/>
      <c r="B1077" s="2"/>
      <c r="D1077" s="5"/>
      <c r="E1077" s="5"/>
      <c r="F1077" s="5"/>
      <c r="G1077" s="5"/>
      <c r="H1077" s="5"/>
      <c r="I1077" s="5"/>
      <c r="J1077" s="5"/>
    </row>
    <row r="1080" spans="1:10">
      <c r="A1080" s="39"/>
      <c r="B1080" s="2"/>
      <c r="D1080" s="5"/>
      <c r="E1080" s="5"/>
      <c r="F1080" s="5"/>
      <c r="G1080" s="5"/>
      <c r="H1080" s="5"/>
      <c r="I1080" s="5"/>
      <c r="J1080" s="5"/>
    </row>
    <row r="1081" spans="1:10">
      <c r="A1081" s="17"/>
      <c r="B1081" s="2"/>
      <c r="D1081" s="5"/>
      <c r="E1081" s="5"/>
      <c r="F1081" s="5"/>
      <c r="G1081" s="5"/>
      <c r="H1081" s="5"/>
      <c r="I1081" s="5"/>
      <c r="J1081" s="5"/>
    </row>
    <row r="1082" spans="1:10">
      <c r="A1082" s="17"/>
      <c r="B1082" s="2"/>
    </row>
    <row r="1083" spans="1:10">
      <c r="A1083" s="17"/>
      <c r="B1083" s="2"/>
    </row>
    <row r="1084" spans="1:10">
      <c r="A1084" s="17"/>
      <c r="B1084" s="2"/>
      <c r="D1084" s="5"/>
      <c r="E1084" s="5"/>
      <c r="F1084" s="5"/>
      <c r="G1084" s="5"/>
      <c r="H1084" s="5"/>
      <c r="I1084" s="5"/>
      <c r="J1084" s="5"/>
    </row>
    <row r="1085" spans="1:10">
      <c r="A1085" s="17"/>
      <c r="B1085" s="2"/>
    </row>
    <row r="1086" spans="1:10">
      <c r="A1086" s="32"/>
    </row>
    <row r="1090" spans="1:10">
      <c r="A1090" s="9"/>
    </row>
    <row r="1091" spans="1:10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>
      <c r="A1095" s="5"/>
      <c r="B1095" s="5"/>
      <c r="C1095" s="5"/>
      <c r="D1095" s="5"/>
      <c r="E1095" s="5"/>
      <c r="F1095" s="5"/>
      <c r="G1095" s="5"/>
      <c r="H1095" s="5"/>
      <c r="I1095" s="5"/>
      <c r="J1095" s="5"/>
    </row>
    <row r="1096" spans="1:10">
      <c r="A1096" s="5"/>
      <c r="B1096" s="5"/>
      <c r="C1096" s="5"/>
      <c r="D1096" s="5"/>
      <c r="E1096" s="5"/>
      <c r="F1096" s="5"/>
      <c r="G1096" s="5"/>
      <c r="H1096" s="5"/>
      <c r="I1096" s="5"/>
      <c r="J1096" s="5"/>
    </row>
    <row r="1097" spans="1:10">
      <c r="A1097" s="5"/>
      <c r="B1097" s="5"/>
      <c r="C1097" s="5"/>
      <c r="D1097" s="5"/>
      <c r="E1097" s="5"/>
      <c r="F1097" s="5"/>
      <c r="G1097" s="5"/>
      <c r="H1097" s="5"/>
      <c r="I1097" s="5"/>
      <c r="J1097" s="5"/>
    </row>
    <row r="1098" spans="1:10">
      <c r="A1098" s="5"/>
      <c r="B1098" s="5"/>
      <c r="C1098" s="5"/>
      <c r="D1098" s="5"/>
      <c r="E1098" s="5"/>
      <c r="F1098" s="5"/>
      <c r="G1098" s="5"/>
      <c r="H1098" s="5"/>
      <c r="I1098" s="5"/>
      <c r="J1098" s="5"/>
    </row>
    <row r="1099" spans="1:10">
      <c r="A1099" s="5"/>
      <c r="B1099" s="5"/>
      <c r="C1099" s="5"/>
      <c r="D1099" s="5"/>
      <c r="E1099" s="5"/>
      <c r="F1099" s="5"/>
      <c r="G1099" s="5"/>
      <c r="H1099" s="5"/>
      <c r="I1099" s="5"/>
    </row>
    <row r="1100" spans="1:10">
      <c r="A1100" s="5"/>
      <c r="B1100" s="5"/>
      <c r="C1100" s="5"/>
      <c r="D1100" s="5"/>
      <c r="E1100" s="5"/>
      <c r="F1100" s="5"/>
      <c r="G1100" s="5"/>
      <c r="H1100" s="5"/>
      <c r="I1100" s="5"/>
    </row>
    <row r="1101" spans="1:10">
      <c r="A1101" s="5"/>
      <c r="B1101" s="5"/>
      <c r="C1101" s="5"/>
      <c r="D1101" s="5"/>
      <c r="E1101" s="5"/>
      <c r="F1101" s="5"/>
      <c r="G1101" s="5"/>
      <c r="H1101" s="5"/>
      <c r="I1101" s="5"/>
    </row>
    <row r="1102" spans="1:10">
      <c r="A1102" s="5"/>
      <c r="B1102" s="5"/>
      <c r="C1102" s="5"/>
      <c r="D1102" s="5"/>
      <c r="E1102" s="5"/>
      <c r="F1102" s="5"/>
      <c r="G1102" s="5"/>
      <c r="H1102" s="5"/>
      <c r="I1102" s="5"/>
    </row>
    <row r="1103" spans="1:10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>
      <c r="A1104" s="5"/>
      <c r="B1104" s="5"/>
      <c r="C1104" s="5"/>
      <c r="D1104" s="5"/>
      <c r="E1104" s="5"/>
      <c r="F1104" s="5"/>
      <c r="G1104" s="5"/>
      <c r="H1104" s="5"/>
      <c r="I1104" s="5"/>
      <c r="J1104" s="5"/>
    </row>
    <row r="1105" spans="1:13">
      <c r="A1105" s="5"/>
      <c r="B1105" s="5"/>
      <c r="C1105" s="5"/>
      <c r="D1105" s="5"/>
      <c r="E1105" s="5"/>
      <c r="F1105" s="5"/>
      <c r="G1105" s="5"/>
      <c r="H1105" s="5"/>
      <c r="I1105" s="5"/>
      <c r="J1105" s="5"/>
    </row>
    <row r="1106" spans="1:13">
      <c r="A1106" s="5"/>
      <c r="B1106" s="5"/>
      <c r="C1106" s="5"/>
      <c r="D1106" s="5"/>
      <c r="E1106" s="5"/>
      <c r="F1106" s="5"/>
      <c r="G1106" s="5"/>
      <c r="H1106" s="5"/>
      <c r="I1106" s="5"/>
      <c r="J1106" s="5"/>
    </row>
    <row r="1107" spans="1:13">
      <c r="A1107" s="5"/>
      <c r="B1107" s="5"/>
      <c r="C1107" s="5"/>
      <c r="D1107" s="5"/>
      <c r="E1107" s="5"/>
      <c r="F1107" s="5"/>
      <c r="G1107" s="5"/>
      <c r="H1107" s="5"/>
      <c r="I1107" s="5"/>
      <c r="J1107" s="5"/>
    </row>
    <row r="1108" spans="1:13">
      <c r="A1108" s="9"/>
    </row>
    <row r="1109" spans="1:13">
      <c r="A1109" s="9"/>
    </row>
    <row r="1110" spans="1:13">
      <c r="A1110" s="9"/>
    </row>
    <row r="1111" spans="1:13">
      <c r="A1111" s="9"/>
    </row>
    <row r="1115" spans="1:13">
      <c r="A1115" s="9"/>
    </row>
    <row r="1116" spans="1:13">
      <c r="A1116" s="9"/>
    </row>
    <row r="1117" spans="1:13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M1117" t="s">
        <v>507</v>
      </c>
    </row>
    <row r="1118" spans="1:13">
      <c r="A1118" s="9"/>
      <c r="M1118" t="s">
        <v>507</v>
      </c>
    </row>
    <row r="1119" spans="1:13">
      <c r="A1119" s="9"/>
      <c r="M1119" t="s">
        <v>507</v>
      </c>
    </row>
    <row r="1120" spans="1:13">
      <c r="A1120" s="9"/>
      <c r="M1120" t="s">
        <v>507</v>
      </c>
    </row>
    <row r="1121" spans="1:2">
      <c r="A1121" s="9"/>
    </row>
    <row r="1122" spans="1:2">
      <c r="A1122" s="17"/>
      <c r="B1122" s="2"/>
    </row>
  </sheetData>
  <autoFilter ref="A5:J1403" xr:uid="{00000000-0009-0000-0000-00001E000000}">
    <sortState xmlns:xlrd2="http://schemas.microsoft.com/office/spreadsheetml/2017/richdata2" ref="A6:J1122">
      <sortCondition ref="A5:A1122"/>
    </sortState>
  </autoFilter>
  <pageMargins left="0.7" right="0.7" top="0.78740157499999996" bottom="0.78740157499999996" header="0.3" footer="0.3"/>
  <pageSetup paperSize="9" orientation="portrait" horizontalDpi="1200" verticalDpi="120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A170" sqref="A170"/>
    </sheetView>
  </sheetViews>
  <sheetFormatPr defaultColWidth="11.42578125" defaultRowHeight="15"/>
  <cols>
    <col min="1" max="1" width="11.42578125" style="5"/>
    <col min="2" max="2" width="28.5703125" style="5" customWidth="1"/>
    <col min="3" max="10" width="12.42578125" style="5" bestFit="1" customWidth="1"/>
    <col min="11" max="11" width="2.85546875" style="5" customWidth="1"/>
    <col min="12" max="15" width="11.42578125" style="5"/>
    <col min="16" max="16" width="12.140625" style="5" bestFit="1" customWidth="1"/>
    <col min="17" max="16384" width="11.42578125" style="5"/>
  </cols>
  <sheetData>
    <row r="1" spans="1:10">
      <c r="A1" t="s">
        <v>434</v>
      </c>
    </row>
    <row r="2" spans="1:10">
      <c r="A2" t="s">
        <v>433</v>
      </c>
    </row>
    <row r="3" spans="1:10">
      <c r="A3" t="s">
        <v>413</v>
      </c>
    </row>
    <row r="5" spans="1:10">
      <c r="A5" s="5" t="s">
        <v>20</v>
      </c>
      <c r="B5" s="5" t="s">
        <v>26</v>
      </c>
      <c r="C5" s="5">
        <v>2018</v>
      </c>
      <c r="D5" s="5">
        <v>2020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509</v>
      </c>
      <c r="B6" t="s">
        <v>175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509</v>
      </c>
      <c r="B7" t="s">
        <v>176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509</v>
      </c>
      <c r="B8" s="5" t="s">
        <v>140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509</v>
      </c>
      <c r="B9" s="5" t="s">
        <v>141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509</v>
      </c>
      <c r="B10" s="5" t="s">
        <v>152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509</v>
      </c>
      <c r="B11" s="5" t="s">
        <v>153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509</v>
      </c>
      <c r="B12" s="5" t="s">
        <v>250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509</v>
      </c>
      <c r="B13" s="5" t="s">
        <v>252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509</v>
      </c>
      <c r="B14" s="5" t="s">
        <v>139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509</v>
      </c>
      <c r="B15" s="5" t="s">
        <v>142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509</v>
      </c>
      <c r="B16" s="5" t="s">
        <v>196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509</v>
      </c>
      <c r="B17" s="5" t="s">
        <v>134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509</v>
      </c>
      <c r="B18" s="5" t="s">
        <v>135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509</v>
      </c>
      <c r="B19" s="5" t="s">
        <v>181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509</v>
      </c>
      <c r="B20" s="5" t="s">
        <v>129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509</v>
      </c>
      <c r="B21" s="5" t="s">
        <v>61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509</v>
      </c>
      <c r="B22" s="5" t="s">
        <v>130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509</v>
      </c>
      <c r="B23" s="5" t="s">
        <v>131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509</v>
      </c>
      <c r="B24" s="5" t="s">
        <v>188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509</v>
      </c>
      <c r="B25" s="5" t="s">
        <v>189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509</v>
      </c>
      <c r="B26" s="5" t="s">
        <v>60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509</v>
      </c>
      <c r="B27" s="5" t="s">
        <v>59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509</v>
      </c>
      <c r="B28" s="5" t="s">
        <v>163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509</v>
      </c>
      <c r="B29" s="5" t="s">
        <v>107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509</v>
      </c>
      <c r="B30" s="5" t="s">
        <v>106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509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509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509</v>
      </c>
      <c r="B33" s="5" t="s">
        <v>58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509</v>
      </c>
      <c r="B34" s="5" t="s">
        <v>137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509</v>
      </c>
      <c r="B35" s="5" t="s">
        <v>62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509</v>
      </c>
      <c r="B36" s="5" t="s">
        <v>138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509</v>
      </c>
      <c r="B37" s="5" t="s">
        <v>132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509</v>
      </c>
      <c r="B38" s="5" t="s">
        <v>133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509</v>
      </c>
      <c r="B39" s="5" t="s">
        <v>64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509</v>
      </c>
      <c r="B40" s="5" t="s">
        <v>127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509</v>
      </c>
      <c r="B41" s="5" t="s">
        <v>63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509</v>
      </c>
      <c r="B42" s="5" t="s">
        <v>128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509</v>
      </c>
      <c r="B43" s="5" t="s">
        <v>190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509</v>
      </c>
      <c r="B44" s="5" t="s">
        <v>191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509</v>
      </c>
      <c r="B45" s="5" t="s">
        <v>90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509</v>
      </c>
      <c r="B46" s="5" t="s">
        <v>89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509</v>
      </c>
      <c r="B47" s="5" t="s">
        <v>88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509</v>
      </c>
      <c r="B48" s="5" t="s">
        <v>91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509</v>
      </c>
      <c r="B49" s="5" t="s">
        <v>92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509</v>
      </c>
      <c r="B50" s="5" t="s">
        <v>158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509</v>
      </c>
      <c r="B51" s="5" t="s">
        <v>100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509</v>
      </c>
      <c r="B52" s="5" t="s">
        <v>101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509</v>
      </c>
      <c r="B53" s="5" t="s">
        <v>105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509</v>
      </c>
      <c r="B54" s="5" t="s">
        <v>103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509</v>
      </c>
      <c r="B55" s="5" t="s">
        <v>104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509</v>
      </c>
      <c r="B56" s="5" t="s">
        <v>177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509</v>
      </c>
      <c r="B57" s="5" t="s">
        <v>178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509</v>
      </c>
      <c r="B58" s="5" t="s">
        <v>94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509</v>
      </c>
      <c r="B59" s="5" t="s">
        <v>93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509</v>
      </c>
      <c r="B60" s="5" t="s">
        <v>95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509</v>
      </c>
      <c r="B61" s="5" t="s">
        <v>170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509</v>
      </c>
      <c r="B62" s="5" t="s">
        <v>171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509</v>
      </c>
      <c r="B63" s="5" t="s">
        <v>172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509</v>
      </c>
      <c r="B64" s="5" t="s">
        <v>97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509</v>
      </c>
      <c r="B65" s="5" t="s">
        <v>96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509</v>
      </c>
      <c r="B66" s="5" t="s">
        <v>98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509</v>
      </c>
      <c r="B67" s="5" t="s">
        <v>125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509</v>
      </c>
      <c r="B68" s="5" t="s">
        <v>126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509</v>
      </c>
      <c r="B69" s="5" t="s">
        <v>162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509</v>
      </c>
      <c r="B70" s="5" t="s">
        <v>200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509</v>
      </c>
      <c r="B71" s="5" t="s">
        <v>198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509</v>
      </c>
      <c r="B72" s="5" t="s">
        <v>199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509</v>
      </c>
      <c r="B73" s="5" t="s">
        <v>224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509</v>
      </c>
      <c r="B74" s="5" t="s">
        <v>211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509</v>
      </c>
      <c r="B75" s="5" t="s">
        <v>206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509</v>
      </c>
      <c r="B76" s="5" t="s">
        <v>210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509</v>
      </c>
      <c r="B77" s="5" t="s">
        <v>207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509</v>
      </c>
      <c r="B78" s="5" t="s">
        <v>208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509</v>
      </c>
      <c r="B79" s="5" t="s">
        <v>209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509</v>
      </c>
      <c r="B80" s="5" t="s">
        <v>232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509</v>
      </c>
      <c r="B81" s="5" t="s">
        <v>233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509</v>
      </c>
      <c r="B82" s="5" t="s">
        <v>234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509</v>
      </c>
      <c r="B83" s="5" t="s">
        <v>235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509</v>
      </c>
      <c r="B84" s="5" t="s">
        <v>236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509</v>
      </c>
      <c r="B85" s="5" t="s">
        <v>215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509</v>
      </c>
      <c r="B86" s="5" t="s">
        <v>225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509</v>
      </c>
      <c r="B87" s="5" t="s">
        <v>226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509</v>
      </c>
      <c r="B88" s="5" t="s">
        <v>216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509</v>
      </c>
      <c r="B89" s="5" t="s">
        <v>217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509</v>
      </c>
      <c r="B90" s="5" t="s">
        <v>218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509</v>
      </c>
      <c r="B91" s="5" t="s">
        <v>219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509</v>
      </c>
      <c r="B92" s="5" t="s">
        <v>220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509</v>
      </c>
      <c r="B93" s="5" t="s">
        <v>221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509</v>
      </c>
      <c r="B94" s="5" t="s">
        <v>249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509</v>
      </c>
      <c r="B95" s="5" t="s">
        <v>238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509</v>
      </c>
      <c r="B96" s="5" t="s">
        <v>239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509</v>
      </c>
      <c r="B97" s="5" t="s">
        <v>222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509</v>
      </c>
      <c r="B98" s="5" t="s">
        <v>227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509</v>
      </c>
      <c r="B99" s="5" t="s">
        <v>237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509</v>
      </c>
      <c r="B100" s="5" t="s">
        <v>223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509</v>
      </c>
      <c r="B101" s="5" t="s">
        <v>230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509</v>
      </c>
      <c r="B102" s="5" t="s">
        <v>241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509</v>
      </c>
      <c r="B103" s="5" t="s">
        <v>228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509</v>
      </c>
      <c r="B104" s="5" t="s">
        <v>229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509</v>
      </c>
      <c r="B105" s="5" t="s">
        <v>240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509</v>
      </c>
      <c r="B106" s="5" t="s">
        <v>231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509</v>
      </c>
      <c r="B107" s="5" t="s">
        <v>243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509</v>
      </c>
      <c r="B108" s="5" t="s">
        <v>244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509</v>
      </c>
      <c r="B109" s="5" t="s">
        <v>245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509</v>
      </c>
      <c r="B110" s="5" t="s">
        <v>246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509</v>
      </c>
      <c r="B111" s="5" t="s">
        <v>247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509</v>
      </c>
      <c r="B112" s="5" t="s">
        <v>248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509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509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509</v>
      </c>
      <c r="B115" s="5" t="s">
        <v>111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509</v>
      </c>
      <c r="B116" s="5" t="s">
        <v>111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509</v>
      </c>
      <c r="B117" s="5" t="s">
        <v>254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509</v>
      </c>
      <c r="B118" s="5" t="s">
        <v>255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509</v>
      </c>
      <c r="B119" s="5" t="s">
        <v>267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509</v>
      </c>
      <c r="B120" s="5" t="s">
        <v>261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509</v>
      </c>
      <c r="B121" s="5" t="s">
        <v>262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509</v>
      </c>
      <c r="B122" s="5" t="s">
        <v>268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509</v>
      </c>
      <c r="B123" s="5" t="s">
        <v>259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509</v>
      </c>
      <c r="B124" s="5" t="s">
        <v>260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509</v>
      </c>
      <c r="B125" s="5" t="s">
        <v>263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509</v>
      </c>
      <c r="B126" s="5" t="s">
        <v>264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509</v>
      </c>
      <c r="B127" s="5" t="s">
        <v>256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509</v>
      </c>
      <c r="B128" s="5" t="s">
        <v>257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509</v>
      </c>
      <c r="B129" s="5" t="s">
        <v>258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509</v>
      </c>
      <c r="B130" s="5" t="s">
        <v>265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509</v>
      </c>
      <c r="B131" s="5" t="s">
        <v>266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509</v>
      </c>
      <c r="B132" s="5" t="s">
        <v>269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509</v>
      </c>
      <c r="B133" s="5" t="s">
        <v>270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509</v>
      </c>
      <c r="B134" s="5" t="s">
        <v>272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509</v>
      </c>
      <c r="B135" s="5" t="s">
        <v>273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509</v>
      </c>
      <c r="B136" s="5" t="s">
        <v>274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509</v>
      </c>
      <c r="B137" s="5" t="s">
        <v>328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509</v>
      </c>
      <c r="B138" s="5" t="s">
        <v>334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509</v>
      </c>
      <c r="B139" s="5" t="s">
        <v>329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509</v>
      </c>
      <c r="B140" s="5" t="s">
        <v>332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509</v>
      </c>
      <c r="B141" s="5" t="s">
        <v>331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509</v>
      </c>
      <c r="B142" s="5" t="s">
        <v>333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509</v>
      </c>
      <c r="B143" s="5" t="s">
        <v>330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509</v>
      </c>
      <c r="B144" s="2" t="s">
        <v>338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509</v>
      </c>
      <c r="B145" s="2" t="s">
        <v>339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509</v>
      </c>
      <c r="B146" s="2" t="s">
        <v>344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509</v>
      </c>
      <c r="B147" s="2" t="s">
        <v>345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509</v>
      </c>
      <c r="B148" s="2" t="s">
        <v>346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509</v>
      </c>
      <c r="B149" t="s">
        <v>357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509</v>
      </c>
      <c r="B150" s="2" t="s">
        <v>359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509</v>
      </c>
      <c r="B151" s="2" t="s">
        <v>360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509</v>
      </c>
      <c r="B152" s="2" t="s">
        <v>361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509</v>
      </c>
      <c r="B153" t="s">
        <v>362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509</v>
      </c>
      <c r="B154" t="s">
        <v>363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288</v>
      </c>
      <c r="B155" s="5" t="s">
        <v>102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298</v>
      </c>
      <c r="B156" s="5" t="s">
        <v>102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509</v>
      </c>
      <c r="B157" s="5" t="s">
        <v>479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488</v>
      </c>
      <c r="P157" s="5" t="s">
        <v>499</v>
      </c>
    </row>
    <row r="158" spans="1:16">
      <c r="A158" s="5" t="s">
        <v>509</v>
      </c>
      <c r="B158" s="5" t="s">
        <v>481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509</v>
      </c>
      <c r="B159" s="5" t="s">
        <v>480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509</v>
      </c>
      <c r="B160" s="5" t="s">
        <v>466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500</v>
      </c>
    </row>
    <row r="161" spans="1:14">
      <c r="A161" s="5" t="s">
        <v>509</v>
      </c>
      <c r="B161" s="5" t="s">
        <v>108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500</v>
      </c>
    </row>
    <row r="162" spans="1:14">
      <c r="A162" s="5" t="s">
        <v>509</v>
      </c>
      <c r="B162" s="5" t="s">
        <v>109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500</v>
      </c>
    </row>
    <row r="163" spans="1:14">
      <c r="A163" s="5" t="s">
        <v>509</v>
      </c>
      <c r="B163" s="5" t="s">
        <v>472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500</v>
      </c>
    </row>
    <row r="164" spans="1:14">
      <c r="A164" s="5" t="s">
        <v>509</v>
      </c>
      <c r="B164" s="5" t="s">
        <v>470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500</v>
      </c>
    </row>
    <row r="165" spans="1:14">
      <c r="A165" s="5" t="s">
        <v>509</v>
      </c>
      <c r="B165" s="5" t="s">
        <v>474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500</v>
      </c>
    </row>
    <row r="166" spans="1:14">
      <c r="A166" s="5" t="s">
        <v>509</v>
      </c>
      <c r="B166" s="5" t="s">
        <v>467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500</v>
      </c>
    </row>
    <row r="167" spans="1:14">
      <c r="A167" s="5" t="s">
        <v>509</v>
      </c>
      <c r="B167" s="5" t="s">
        <v>468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500</v>
      </c>
    </row>
    <row r="168" spans="1:14">
      <c r="A168" s="5" t="s">
        <v>509</v>
      </c>
      <c r="B168" s="5" t="s">
        <v>469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500</v>
      </c>
    </row>
    <row r="169" spans="1:14">
      <c r="A169" s="5" t="s">
        <v>509</v>
      </c>
      <c r="B169" s="5" t="s">
        <v>473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500</v>
      </c>
    </row>
    <row r="170" spans="1:14">
      <c r="A170" s="5" t="s">
        <v>509</v>
      </c>
      <c r="B170" s="5" t="s">
        <v>471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500</v>
      </c>
    </row>
    <row r="171" spans="1:14">
      <c r="A171" s="5" t="s">
        <v>509</v>
      </c>
      <c r="B171" s="5" t="s">
        <v>475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509</v>
      </c>
      <c r="B172" s="5" t="s">
        <v>477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509</v>
      </c>
      <c r="B173" s="5" t="s">
        <v>478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509</v>
      </c>
      <c r="B174" s="5" t="s">
        <v>476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501</v>
      </c>
    </row>
    <row r="175" spans="1:14">
      <c r="A175" s="5" t="s">
        <v>509</v>
      </c>
      <c r="B175" s="5" t="s">
        <v>490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B12" sqref="B12"/>
    </sheetView>
  </sheetViews>
  <sheetFormatPr defaultColWidth="11.42578125" defaultRowHeight="15"/>
  <cols>
    <col min="1" max="1" width="24" customWidth="1"/>
    <col min="2" max="2" width="40.5703125" customWidth="1"/>
    <col min="3" max="3" width="10.140625" bestFit="1" customWidth="1"/>
    <col min="11" max="11" width="11.42578125" customWidth="1"/>
    <col min="12" max="12" width="3.42578125" customWidth="1"/>
  </cols>
  <sheetData>
    <row r="1" spans="1:11">
      <c r="A1" t="s">
        <v>435</v>
      </c>
    </row>
    <row r="2" spans="1:11">
      <c r="A2" t="s">
        <v>6</v>
      </c>
    </row>
    <row r="3" spans="1:11">
      <c r="A3" t="s">
        <v>413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164</v>
      </c>
    </row>
    <row r="999" spans="14:14">
      <c r="N999" t="s">
        <v>164</v>
      </c>
    </row>
    <row r="1000" spans="14:14">
      <c r="N1000" t="s">
        <v>164</v>
      </c>
    </row>
    <row r="1001" spans="14:14">
      <c r="N1001" t="s">
        <v>164</v>
      </c>
    </row>
    <row r="1002" spans="14:14">
      <c r="N1002" t="s">
        <v>164</v>
      </c>
    </row>
    <row r="1003" spans="14:14">
      <c r="N1003" t="s">
        <v>164</v>
      </c>
    </row>
    <row r="1004" spans="14:14">
      <c r="N1004" t="s">
        <v>164</v>
      </c>
    </row>
    <row r="1005" spans="14:14">
      <c r="N1005" t="s">
        <v>164</v>
      </c>
    </row>
    <row r="1006" spans="14:14">
      <c r="N1006" t="s">
        <v>164</v>
      </c>
    </row>
    <row r="1007" spans="14:14">
      <c r="N1007" t="s">
        <v>164</v>
      </c>
    </row>
    <row r="1008" spans="14:14">
      <c r="N1008" t="s">
        <v>164</v>
      </c>
    </row>
    <row r="1009" spans="14:14">
      <c r="N1009" t="s">
        <v>164</v>
      </c>
    </row>
    <row r="1010" spans="14:14">
      <c r="N1010" t="s">
        <v>164</v>
      </c>
    </row>
    <row r="1011" spans="14:14">
      <c r="N1011" t="s">
        <v>164</v>
      </c>
    </row>
    <row r="1012" spans="14:14">
      <c r="N1012" t="s">
        <v>164</v>
      </c>
    </row>
    <row r="1013" spans="14:14">
      <c r="N1013" t="s">
        <v>164</v>
      </c>
    </row>
    <row r="1030" spans="14:14">
      <c r="N1030" t="s">
        <v>164</v>
      </c>
    </row>
    <row r="1031" spans="14:14">
      <c r="N1031" t="s">
        <v>164</v>
      </c>
    </row>
    <row r="1032" spans="14:14">
      <c r="N1032" t="s">
        <v>164</v>
      </c>
    </row>
    <row r="1033" spans="14:14">
      <c r="N1033" t="s">
        <v>164</v>
      </c>
    </row>
    <row r="1034" spans="14:14">
      <c r="N1034" t="s">
        <v>164</v>
      </c>
    </row>
    <row r="1035" spans="14:14">
      <c r="N1035" t="s">
        <v>164</v>
      </c>
    </row>
    <row r="1036" spans="14:14">
      <c r="N1036" t="s">
        <v>164</v>
      </c>
    </row>
    <row r="1037" spans="14:14">
      <c r="N1037" t="s">
        <v>164</v>
      </c>
    </row>
    <row r="1038" spans="14:14">
      <c r="N1038" t="s">
        <v>164</v>
      </c>
    </row>
    <row r="1039" spans="14:14">
      <c r="N1039" t="s">
        <v>164</v>
      </c>
    </row>
    <row r="1040" spans="14:14">
      <c r="N1040" t="s">
        <v>164</v>
      </c>
    </row>
    <row r="1041" spans="14:14">
      <c r="N1041" t="s">
        <v>164</v>
      </c>
    </row>
    <row r="1042" spans="14:14">
      <c r="N1042" t="s">
        <v>164</v>
      </c>
    </row>
    <row r="1043" spans="14:14">
      <c r="N1043" t="s">
        <v>164</v>
      </c>
    </row>
    <row r="1044" spans="14:14">
      <c r="N1044" t="s">
        <v>164</v>
      </c>
    </row>
    <row r="1045" spans="14:14">
      <c r="N1045" t="s">
        <v>164</v>
      </c>
    </row>
    <row r="7286" spans="15:15">
      <c r="O7286" t="s">
        <v>167</v>
      </c>
    </row>
    <row r="7302" spans="15:15">
      <c r="O7302" t="s">
        <v>167</v>
      </c>
    </row>
    <row r="7318" spans="15:15">
      <c r="O7318" t="s">
        <v>167</v>
      </c>
    </row>
    <row r="7337" spans="15:15">
      <c r="O7337" t="s">
        <v>167</v>
      </c>
    </row>
    <row r="7382" spans="15:15">
      <c r="O7382" t="s">
        <v>168</v>
      </c>
    </row>
    <row r="7383" spans="15:15">
      <c r="O7383" t="s">
        <v>169</v>
      </c>
    </row>
    <row r="7398" spans="15:15">
      <c r="O7398" t="s">
        <v>165</v>
      </c>
    </row>
    <row r="7399" spans="15:15">
      <c r="O7399" t="s">
        <v>166</v>
      </c>
    </row>
    <row r="19126" spans="15:15">
      <c r="O19126" t="s">
        <v>167</v>
      </c>
    </row>
    <row r="19145" spans="15:15">
      <c r="O19145" t="s">
        <v>167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topLeftCell="A136" workbookViewId="0">
      <selection activeCell="F147" sqref="F147"/>
    </sheetView>
  </sheetViews>
  <sheetFormatPr defaultColWidth="11.42578125" defaultRowHeight="15"/>
  <cols>
    <col min="2" max="2" width="25.42578125" customWidth="1"/>
  </cols>
  <sheetData>
    <row r="1" spans="1:3">
      <c r="A1" t="s">
        <v>437</v>
      </c>
    </row>
    <row r="2" spans="1:3">
      <c r="A2" t="s">
        <v>11</v>
      </c>
    </row>
    <row r="3" spans="1:3">
      <c r="A3" t="s">
        <v>436</v>
      </c>
    </row>
    <row r="5" spans="1:3">
      <c r="A5" t="s">
        <v>509</v>
      </c>
      <c r="B5" t="s">
        <v>175</v>
      </c>
      <c r="C5">
        <v>101</v>
      </c>
    </row>
    <row r="6" spans="1:3">
      <c r="A6" t="s">
        <v>509</v>
      </c>
      <c r="B6" t="s">
        <v>176</v>
      </c>
      <c r="C6">
        <v>101</v>
      </c>
    </row>
    <row r="7" spans="1:3">
      <c r="A7" t="s">
        <v>509</v>
      </c>
      <c r="B7" t="s">
        <v>140</v>
      </c>
      <c r="C7">
        <v>11</v>
      </c>
    </row>
    <row r="8" spans="1:3">
      <c r="A8" t="s">
        <v>509</v>
      </c>
      <c r="B8" t="s">
        <v>141</v>
      </c>
      <c r="C8">
        <v>20</v>
      </c>
    </row>
    <row r="9" spans="1:3">
      <c r="A9" t="s">
        <v>509</v>
      </c>
      <c r="B9" t="s">
        <v>152</v>
      </c>
      <c r="C9">
        <v>40</v>
      </c>
    </row>
    <row r="10" spans="1:3">
      <c r="A10" t="s">
        <v>509</v>
      </c>
      <c r="B10" t="s">
        <v>153</v>
      </c>
      <c r="C10">
        <v>40</v>
      </c>
    </row>
    <row r="11" spans="1:3">
      <c r="A11" t="s">
        <v>509</v>
      </c>
      <c r="B11" t="s">
        <v>250</v>
      </c>
      <c r="C11">
        <v>30</v>
      </c>
    </row>
    <row r="12" spans="1:3">
      <c r="A12" t="s">
        <v>509</v>
      </c>
      <c r="B12" t="s">
        <v>252</v>
      </c>
      <c r="C12">
        <v>30</v>
      </c>
    </row>
    <row r="13" spans="1:3">
      <c r="A13" t="s">
        <v>509</v>
      </c>
      <c r="B13" t="s">
        <v>139</v>
      </c>
      <c r="C13">
        <v>40</v>
      </c>
    </row>
    <row r="14" spans="1:3">
      <c r="A14" t="s">
        <v>509</v>
      </c>
      <c r="B14" t="s">
        <v>142</v>
      </c>
      <c r="C14">
        <v>40</v>
      </c>
    </row>
    <row r="15" spans="1:3">
      <c r="A15" t="s">
        <v>509</v>
      </c>
      <c r="B15" t="s">
        <v>196</v>
      </c>
      <c r="C15">
        <v>30</v>
      </c>
    </row>
    <row r="16" spans="1:3">
      <c r="A16" t="s">
        <v>509</v>
      </c>
      <c r="B16" s="2" t="s">
        <v>134</v>
      </c>
      <c r="C16">
        <v>26</v>
      </c>
    </row>
    <row r="17" spans="1:3">
      <c r="A17" t="s">
        <v>509</v>
      </c>
      <c r="B17" s="2" t="s">
        <v>135</v>
      </c>
      <c r="C17">
        <v>31</v>
      </c>
    </row>
    <row r="18" spans="1:3">
      <c r="A18" t="s">
        <v>509</v>
      </c>
      <c r="B18" s="2" t="s">
        <v>129</v>
      </c>
      <c r="C18">
        <v>21</v>
      </c>
    </row>
    <row r="19" spans="1:3">
      <c r="A19" t="s">
        <v>509</v>
      </c>
      <c r="B19" s="2" t="s">
        <v>61</v>
      </c>
      <c r="C19">
        <v>21</v>
      </c>
    </row>
    <row r="20" spans="1:3">
      <c r="A20" t="s">
        <v>509</v>
      </c>
      <c r="B20" s="2" t="s">
        <v>130</v>
      </c>
      <c r="C20">
        <v>21</v>
      </c>
    </row>
    <row r="21" spans="1:3">
      <c r="A21" t="s">
        <v>509</v>
      </c>
      <c r="B21" s="2" t="s">
        <v>131</v>
      </c>
      <c r="C21">
        <v>26</v>
      </c>
    </row>
    <row r="22" spans="1:3">
      <c r="A22" t="s">
        <v>509</v>
      </c>
      <c r="B22" s="2" t="s">
        <v>188</v>
      </c>
      <c r="C22">
        <v>21</v>
      </c>
    </row>
    <row r="23" spans="1:3">
      <c r="A23" t="s">
        <v>509</v>
      </c>
      <c r="B23" s="2" t="s">
        <v>193</v>
      </c>
      <c r="C23">
        <v>26</v>
      </c>
    </row>
    <row r="24" spans="1:3">
      <c r="A24" t="s">
        <v>509</v>
      </c>
      <c r="B24" s="2" t="s">
        <v>181</v>
      </c>
      <c r="C24">
        <v>26</v>
      </c>
    </row>
    <row r="25" spans="1:3">
      <c r="A25" t="s">
        <v>509</v>
      </c>
      <c r="B25" s="2" t="s">
        <v>60</v>
      </c>
      <c r="C25">
        <v>31</v>
      </c>
    </row>
    <row r="26" spans="1:3">
      <c r="A26" t="s">
        <v>509</v>
      </c>
      <c r="B26" s="2" t="s">
        <v>59</v>
      </c>
      <c r="C26">
        <v>31</v>
      </c>
    </row>
    <row r="27" spans="1:3">
      <c r="A27" t="s">
        <v>509</v>
      </c>
      <c r="B27" t="s">
        <v>163</v>
      </c>
      <c r="C27">
        <v>31</v>
      </c>
    </row>
    <row r="28" spans="1:3">
      <c r="A28" t="s">
        <v>509</v>
      </c>
      <c r="B28" t="s">
        <v>107</v>
      </c>
      <c r="C28">
        <v>51</v>
      </c>
    </row>
    <row r="29" spans="1:3">
      <c r="A29" t="s">
        <v>509</v>
      </c>
      <c r="B29" t="s">
        <v>106</v>
      </c>
      <c r="C29">
        <v>31</v>
      </c>
    </row>
    <row r="30" spans="1:3">
      <c r="A30" t="s">
        <v>509</v>
      </c>
      <c r="B30" t="s">
        <v>22</v>
      </c>
      <c r="C30">
        <v>31</v>
      </c>
    </row>
    <row r="31" spans="1:3">
      <c r="A31" t="s">
        <v>509</v>
      </c>
      <c r="B31" t="s">
        <v>23</v>
      </c>
      <c r="C31">
        <v>41</v>
      </c>
    </row>
    <row r="32" spans="1:3">
      <c r="A32" t="s">
        <v>509</v>
      </c>
      <c r="B32" t="s">
        <v>58</v>
      </c>
      <c r="C32">
        <v>31</v>
      </c>
    </row>
    <row r="33" spans="1:3">
      <c r="A33" t="s">
        <v>509</v>
      </c>
      <c r="B33" s="2" t="s">
        <v>137</v>
      </c>
      <c r="C33">
        <v>16</v>
      </c>
    </row>
    <row r="34" spans="1:3">
      <c r="A34" t="s">
        <v>509</v>
      </c>
      <c r="B34" s="2" t="s">
        <v>62</v>
      </c>
      <c r="C34">
        <v>16</v>
      </c>
    </row>
    <row r="35" spans="1:3">
      <c r="A35" t="s">
        <v>509</v>
      </c>
      <c r="B35" s="2" t="s">
        <v>138</v>
      </c>
      <c r="C35">
        <v>16</v>
      </c>
    </row>
    <row r="36" spans="1:3">
      <c r="A36" t="s">
        <v>509</v>
      </c>
      <c r="B36" s="2" t="s">
        <v>132</v>
      </c>
      <c r="C36">
        <v>26</v>
      </c>
    </row>
    <row r="37" spans="1:3">
      <c r="A37" t="s">
        <v>509</v>
      </c>
      <c r="B37" s="2" t="s">
        <v>133</v>
      </c>
      <c r="C37">
        <v>31</v>
      </c>
    </row>
    <row r="38" spans="1:3">
      <c r="A38" t="s">
        <v>509</v>
      </c>
      <c r="B38" s="2" t="s">
        <v>64</v>
      </c>
      <c r="C38">
        <v>16</v>
      </c>
    </row>
    <row r="39" spans="1:3">
      <c r="A39" t="s">
        <v>509</v>
      </c>
      <c r="B39" s="2" t="s">
        <v>127</v>
      </c>
      <c r="C39">
        <v>21</v>
      </c>
    </row>
    <row r="40" spans="1:3">
      <c r="A40" t="s">
        <v>509</v>
      </c>
      <c r="B40" s="2" t="s">
        <v>63</v>
      </c>
      <c r="C40">
        <v>21</v>
      </c>
    </row>
    <row r="41" spans="1:3">
      <c r="A41" t="s">
        <v>509</v>
      </c>
      <c r="B41" s="2" t="s">
        <v>128</v>
      </c>
      <c r="C41">
        <v>21</v>
      </c>
    </row>
    <row r="42" spans="1:3">
      <c r="A42" t="s">
        <v>509</v>
      </c>
      <c r="B42" s="2" t="s">
        <v>194</v>
      </c>
      <c r="C42">
        <v>21</v>
      </c>
    </row>
    <row r="43" spans="1:3">
      <c r="A43" t="s">
        <v>509</v>
      </c>
      <c r="B43" s="2" t="s">
        <v>192</v>
      </c>
      <c r="C43">
        <v>21</v>
      </c>
    </row>
    <row r="44" spans="1:3">
      <c r="A44" t="s">
        <v>509</v>
      </c>
      <c r="B44" t="s">
        <v>90</v>
      </c>
      <c r="C44">
        <v>31</v>
      </c>
    </row>
    <row r="45" spans="1:3">
      <c r="A45" t="s">
        <v>509</v>
      </c>
      <c r="B45" t="s">
        <v>89</v>
      </c>
      <c r="C45">
        <v>31</v>
      </c>
    </row>
    <row r="46" spans="1:3">
      <c r="A46" t="s">
        <v>509</v>
      </c>
      <c r="B46" t="s">
        <v>88</v>
      </c>
      <c r="C46">
        <v>31</v>
      </c>
    </row>
    <row r="47" spans="1:3">
      <c r="A47" t="s">
        <v>509</v>
      </c>
      <c r="B47" t="s">
        <v>91</v>
      </c>
      <c r="C47">
        <v>31</v>
      </c>
    </row>
    <row r="48" spans="1:3">
      <c r="A48" t="s">
        <v>509</v>
      </c>
      <c r="B48" t="s">
        <v>92</v>
      </c>
      <c r="C48">
        <v>31</v>
      </c>
    </row>
    <row r="49" spans="1:3">
      <c r="A49" t="s">
        <v>509</v>
      </c>
      <c r="B49" t="s">
        <v>158</v>
      </c>
      <c r="C49">
        <v>101</v>
      </c>
    </row>
    <row r="50" spans="1:3">
      <c r="A50" t="s">
        <v>509</v>
      </c>
      <c r="B50" t="s">
        <v>100</v>
      </c>
      <c r="C50">
        <v>31</v>
      </c>
    </row>
    <row r="51" spans="1:3">
      <c r="A51" t="s">
        <v>509</v>
      </c>
      <c r="B51" t="s">
        <v>105</v>
      </c>
      <c r="C51">
        <v>41</v>
      </c>
    </row>
    <row r="52" spans="1:3">
      <c r="A52" t="s">
        <v>509</v>
      </c>
      <c r="B52" t="s">
        <v>102</v>
      </c>
      <c r="C52">
        <v>81</v>
      </c>
    </row>
    <row r="53" spans="1:3">
      <c r="A53" t="s">
        <v>509</v>
      </c>
      <c r="B53" t="s">
        <v>103</v>
      </c>
      <c r="C53">
        <v>81</v>
      </c>
    </row>
    <row r="54" spans="1:3">
      <c r="A54" t="s">
        <v>509</v>
      </c>
      <c r="B54" t="s">
        <v>104</v>
      </c>
      <c r="C54">
        <v>21</v>
      </c>
    </row>
    <row r="55" spans="1:3">
      <c r="A55" t="s">
        <v>509</v>
      </c>
      <c r="B55" t="s">
        <v>177</v>
      </c>
      <c r="C55">
        <v>21</v>
      </c>
    </row>
    <row r="56" spans="1:3">
      <c r="A56" t="s">
        <v>509</v>
      </c>
      <c r="B56" t="s">
        <v>178</v>
      </c>
      <c r="C56">
        <v>21</v>
      </c>
    </row>
    <row r="57" spans="1:3">
      <c r="A57" t="s">
        <v>509</v>
      </c>
      <c r="B57" t="s">
        <v>94</v>
      </c>
      <c r="C57">
        <v>21</v>
      </c>
    </row>
    <row r="58" spans="1:3">
      <c r="A58" t="s">
        <v>509</v>
      </c>
      <c r="B58" t="s">
        <v>93</v>
      </c>
      <c r="C58">
        <v>21</v>
      </c>
    </row>
    <row r="59" spans="1:3">
      <c r="A59" t="s">
        <v>509</v>
      </c>
      <c r="B59" t="s">
        <v>95</v>
      </c>
      <c r="C59">
        <v>21</v>
      </c>
    </row>
    <row r="60" spans="1:3">
      <c r="A60" t="s">
        <v>509</v>
      </c>
      <c r="B60" t="s">
        <v>170</v>
      </c>
      <c r="C60">
        <v>21</v>
      </c>
    </row>
    <row r="61" spans="1:3">
      <c r="A61" t="s">
        <v>509</v>
      </c>
      <c r="B61" t="s">
        <v>171</v>
      </c>
      <c r="C61">
        <v>21</v>
      </c>
    </row>
    <row r="62" spans="1:3">
      <c r="A62" t="s">
        <v>509</v>
      </c>
      <c r="B62" t="s">
        <v>172</v>
      </c>
      <c r="C62">
        <v>21</v>
      </c>
    </row>
    <row r="63" spans="1:3">
      <c r="A63" t="s">
        <v>509</v>
      </c>
      <c r="B63" t="s">
        <v>97</v>
      </c>
      <c r="C63">
        <v>21</v>
      </c>
    </row>
    <row r="64" spans="1:3">
      <c r="A64" t="s">
        <v>509</v>
      </c>
      <c r="B64" t="s">
        <v>96</v>
      </c>
      <c r="C64">
        <v>21</v>
      </c>
    </row>
    <row r="65" spans="1:3">
      <c r="A65" t="s">
        <v>509</v>
      </c>
      <c r="B65" t="s">
        <v>98</v>
      </c>
      <c r="C65">
        <v>21</v>
      </c>
    </row>
    <row r="66" spans="1:3">
      <c r="A66" t="s">
        <v>509</v>
      </c>
      <c r="B66" t="s">
        <v>125</v>
      </c>
      <c r="C66">
        <v>31</v>
      </c>
    </row>
    <row r="67" spans="1:3">
      <c r="A67" t="s">
        <v>509</v>
      </c>
      <c r="B67" t="s">
        <v>126</v>
      </c>
      <c r="C67">
        <v>31</v>
      </c>
    </row>
    <row r="68" spans="1:3">
      <c r="A68" t="s">
        <v>509</v>
      </c>
      <c r="B68" t="s">
        <v>162</v>
      </c>
      <c r="C68">
        <v>31</v>
      </c>
    </row>
    <row r="69" spans="1:3">
      <c r="A69" t="s">
        <v>509</v>
      </c>
      <c r="B69" t="s">
        <v>200</v>
      </c>
      <c r="C69">
        <v>101</v>
      </c>
    </row>
    <row r="70" spans="1:3">
      <c r="A70" t="s">
        <v>509</v>
      </c>
      <c r="B70" t="s">
        <v>198</v>
      </c>
      <c r="C70">
        <v>31</v>
      </c>
    </row>
    <row r="71" spans="1:3">
      <c r="A71" t="s">
        <v>509</v>
      </c>
      <c r="B71" t="s">
        <v>199</v>
      </c>
      <c r="C71">
        <v>31</v>
      </c>
    </row>
    <row r="72" spans="1:3">
      <c r="A72" t="s">
        <v>509</v>
      </c>
      <c r="B72" t="s">
        <v>224</v>
      </c>
      <c r="C72">
        <v>26</v>
      </c>
    </row>
    <row r="73" spans="1:3">
      <c r="A73" t="s">
        <v>509</v>
      </c>
      <c r="B73" t="s">
        <v>211</v>
      </c>
      <c r="C73">
        <v>26</v>
      </c>
    </row>
    <row r="74" spans="1:3">
      <c r="A74" t="s">
        <v>509</v>
      </c>
      <c r="B74" t="s">
        <v>206</v>
      </c>
      <c r="C74">
        <v>26</v>
      </c>
    </row>
    <row r="75" spans="1:3">
      <c r="A75" t="s">
        <v>509</v>
      </c>
      <c r="B75" t="s">
        <v>210</v>
      </c>
      <c r="C75">
        <v>26</v>
      </c>
    </row>
    <row r="76" spans="1:3">
      <c r="A76" t="s">
        <v>509</v>
      </c>
      <c r="B76" t="s">
        <v>207</v>
      </c>
      <c r="C76">
        <v>26</v>
      </c>
    </row>
    <row r="77" spans="1:3">
      <c r="A77" t="s">
        <v>509</v>
      </c>
      <c r="B77" t="s">
        <v>208</v>
      </c>
      <c r="C77">
        <v>26</v>
      </c>
    </row>
    <row r="78" spans="1:3">
      <c r="A78" t="s">
        <v>509</v>
      </c>
      <c r="B78" t="s">
        <v>209</v>
      </c>
      <c r="C78">
        <v>26</v>
      </c>
    </row>
    <row r="79" spans="1:3">
      <c r="A79" t="s">
        <v>509</v>
      </c>
      <c r="B79" t="s">
        <v>232</v>
      </c>
      <c r="C79">
        <v>26</v>
      </c>
    </row>
    <row r="80" spans="1:3">
      <c r="A80" t="s">
        <v>509</v>
      </c>
      <c r="B80" t="s">
        <v>233</v>
      </c>
      <c r="C80">
        <v>26</v>
      </c>
    </row>
    <row r="81" spans="1:3">
      <c r="A81" t="s">
        <v>509</v>
      </c>
      <c r="B81" t="s">
        <v>234</v>
      </c>
      <c r="C81">
        <v>26</v>
      </c>
    </row>
    <row r="82" spans="1:3">
      <c r="A82" t="s">
        <v>509</v>
      </c>
      <c r="B82" t="s">
        <v>235</v>
      </c>
      <c r="C82">
        <v>21</v>
      </c>
    </row>
    <row r="83" spans="1:3">
      <c r="A83" t="s">
        <v>509</v>
      </c>
      <c r="B83" t="s">
        <v>236</v>
      </c>
      <c r="C83">
        <v>21</v>
      </c>
    </row>
    <row r="84" spans="1:3">
      <c r="A84" t="s">
        <v>509</v>
      </c>
      <c r="B84" t="s">
        <v>215</v>
      </c>
      <c r="C84">
        <v>41</v>
      </c>
    </row>
    <row r="85" spans="1:3">
      <c r="A85" t="s">
        <v>509</v>
      </c>
      <c r="B85" t="s">
        <v>225</v>
      </c>
      <c r="C85">
        <v>26</v>
      </c>
    </row>
    <row r="86" spans="1:3">
      <c r="A86" t="s">
        <v>509</v>
      </c>
      <c r="B86" t="s">
        <v>226</v>
      </c>
      <c r="C86">
        <v>26</v>
      </c>
    </row>
    <row r="87" spans="1:3">
      <c r="A87" t="s">
        <v>509</v>
      </c>
      <c r="B87" t="s">
        <v>216</v>
      </c>
      <c r="C87">
        <v>26</v>
      </c>
    </row>
    <row r="88" spans="1:3">
      <c r="A88" t="s">
        <v>509</v>
      </c>
      <c r="B88" t="s">
        <v>217</v>
      </c>
      <c r="C88">
        <v>26</v>
      </c>
    </row>
    <row r="89" spans="1:3">
      <c r="A89" t="s">
        <v>509</v>
      </c>
      <c r="B89" t="s">
        <v>218</v>
      </c>
      <c r="C89">
        <v>26</v>
      </c>
    </row>
    <row r="90" spans="1:3">
      <c r="A90" t="s">
        <v>509</v>
      </c>
      <c r="B90" t="s">
        <v>219</v>
      </c>
      <c r="C90">
        <v>26</v>
      </c>
    </row>
    <row r="91" spans="1:3">
      <c r="A91" t="s">
        <v>509</v>
      </c>
      <c r="B91" t="s">
        <v>220</v>
      </c>
      <c r="C91">
        <v>26</v>
      </c>
    </row>
    <row r="92" spans="1:3">
      <c r="A92" t="s">
        <v>509</v>
      </c>
      <c r="B92" t="s">
        <v>221</v>
      </c>
      <c r="C92">
        <v>26</v>
      </c>
    </row>
    <row r="93" spans="1:3">
      <c r="A93" t="s">
        <v>509</v>
      </c>
      <c r="B93" t="s">
        <v>249</v>
      </c>
      <c r="C93">
        <v>26</v>
      </c>
    </row>
    <row r="94" spans="1:3">
      <c r="A94" t="s">
        <v>509</v>
      </c>
      <c r="B94" t="s">
        <v>238</v>
      </c>
      <c r="C94">
        <v>21</v>
      </c>
    </row>
    <row r="95" spans="1:3">
      <c r="A95" t="s">
        <v>509</v>
      </c>
      <c r="B95" t="s">
        <v>239</v>
      </c>
      <c r="C95">
        <v>31</v>
      </c>
    </row>
    <row r="96" spans="1:3">
      <c r="A96" t="s">
        <v>509</v>
      </c>
      <c r="B96" t="s">
        <v>222</v>
      </c>
      <c r="C96">
        <v>41</v>
      </c>
    </row>
    <row r="97" spans="1:3">
      <c r="A97" t="s">
        <v>509</v>
      </c>
      <c r="B97" t="s">
        <v>227</v>
      </c>
      <c r="C97">
        <v>21</v>
      </c>
    </row>
    <row r="98" spans="1:3">
      <c r="A98" t="s">
        <v>509</v>
      </c>
      <c r="B98" t="s">
        <v>223</v>
      </c>
      <c r="C98">
        <v>31</v>
      </c>
    </row>
    <row r="99" spans="1:3">
      <c r="A99" t="s">
        <v>509</v>
      </c>
      <c r="B99" t="s">
        <v>237</v>
      </c>
      <c r="C99">
        <v>26</v>
      </c>
    </row>
    <row r="100" spans="1:3">
      <c r="A100" t="s">
        <v>509</v>
      </c>
      <c r="B100" s="15" t="s">
        <v>230</v>
      </c>
      <c r="C100">
        <v>31</v>
      </c>
    </row>
    <row r="101" spans="1:3">
      <c r="A101" t="s">
        <v>509</v>
      </c>
      <c r="B101" s="15" t="s">
        <v>241</v>
      </c>
      <c r="C101">
        <v>31</v>
      </c>
    </row>
    <row r="102" spans="1:3">
      <c r="A102" t="s">
        <v>509</v>
      </c>
      <c r="B102" s="15" t="s">
        <v>228</v>
      </c>
      <c r="C102">
        <v>31</v>
      </c>
    </row>
    <row r="103" spans="1:3">
      <c r="A103" t="s">
        <v>509</v>
      </c>
      <c r="B103" s="15" t="s">
        <v>229</v>
      </c>
      <c r="C103">
        <v>31</v>
      </c>
    </row>
    <row r="104" spans="1:3">
      <c r="A104" t="s">
        <v>509</v>
      </c>
      <c r="B104" s="15" t="s">
        <v>240</v>
      </c>
      <c r="C104">
        <v>31</v>
      </c>
    </row>
    <row r="105" spans="1:3">
      <c r="A105" t="s">
        <v>509</v>
      </c>
      <c r="B105" s="15" t="s">
        <v>231</v>
      </c>
      <c r="C105">
        <v>31</v>
      </c>
    </row>
    <row r="106" spans="1:3">
      <c r="A106" t="s">
        <v>509</v>
      </c>
      <c r="B106" t="s">
        <v>243</v>
      </c>
      <c r="C106">
        <v>26</v>
      </c>
    </row>
    <row r="107" spans="1:3">
      <c r="A107" t="s">
        <v>509</v>
      </c>
      <c r="B107" t="s">
        <v>244</v>
      </c>
      <c r="C107">
        <v>21</v>
      </c>
    </row>
    <row r="108" spans="1:3">
      <c r="A108" t="s">
        <v>509</v>
      </c>
      <c r="B108" t="s">
        <v>245</v>
      </c>
      <c r="C108">
        <v>21</v>
      </c>
    </row>
    <row r="109" spans="1:3">
      <c r="A109" t="s">
        <v>509</v>
      </c>
      <c r="B109" t="s">
        <v>246</v>
      </c>
      <c r="C109">
        <v>21</v>
      </c>
    </row>
    <row r="110" spans="1:3">
      <c r="A110" t="s">
        <v>509</v>
      </c>
      <c r="B110" t="s">
        <v>247</v>
      </c>
      <c r="C110">
        <v>21</v>
      </c>
    </row>
    <row r="111" spans="1:3">
      <c r="A111" t="s">
        <v>509</v>
      </c>
      <c r="B111" t="s">
        <v>248</v>
      </c>
      <c r="C111">
        <v>26</v>
      </c>
    </row>
    <row r="112" spans="1:3">
      <c r="A112" t="s">
        <v>509</v>
      </c>
      <c r="B112" t="s">
        <v>254</v>
      </c>
      <c r="C112">
        <v>21</v>
      </c>
    </row>
    <row r="113" spans="1:3">
      <c r="A113" t="s">
        <v>509</v>
      </c>
      <c r="B113" t="s">
        <v>255</v>
      </c>
      <c r="C113">
        <v>21</v>
      </c>
    </row>
    <row r="114" spans="1:3">
      <c r="A114" t="s">
        <v>509</v>
      </c>
      <c r="B114" t="s">
        <v>267</v>
      </c>
      <c r="C114">
        <v>26</v>
      </c>
    </row>
    <row r="115" spans="1:3">
      <c r="A115" t="s">
        <v>509</v>
      </c>
      <c r="B115" t="s">
        <v>261</v>
      </c>
      <c r="C115">
        <v>31</v>
      </c>
    </row>
    <row r="116" spans="1:3">
      <c r="A116" t="s">
        <v>509</v>
      </c>
      <c r="B116" t="s">
        <v>262</v>
      </c>
      <c r="C116">
        <v>26</v>
      </c>
    </row>
    <row r="117" spans="1:3">
      <c r="A117" t="s">
        <v>509</v>
      </c>
      <c r="B117" t="s">
        <v>268</v>
      </c>
      <c r="C117">
        <v>26</v>
      </c>
    </row>
    <row r="118" spans="1:3">
      <c r="A118" t="s">
        <v>509</v>
      </c>
      <c r="B118" t="s">
        <v>259</v>
      </c>
      <c r="C118">
        <v>26</v>
      </c>
    </row>
    <row r="119" spans="1:3">
      <c r="A119" t="s">
        <v>509</v>
      </c>
      <c r="B119" t="s">
        <v>260</v>
      </c>
      <c r="C119">
        <v>26</v>
      </c>
    </row>
    <row r="120" spans="1:3">
      <c r="A120" t="s">
        <v>509</v>
      </c>
      <c r="B120" t="s">
        <v>263</v>
      </c>
      <c r="C120">
        <v>26</v>
      </c>
    </row>
    <row r="121" spans="1:3">
      <c r="A121" t="s">
        <v>509</v>
      </c>
      <c r="B121" t="s">
        <v>264</v>
      </c>
      <c r="C121">
        <v>31</v>
      </c>
    </row>
    <row r="122" spans="1:3">
      <c r="A122" t="s">
        <v>509</v>
      </c>
      <c r="B122" t="s">
        <v>256</v>
      </c>
      <c r="C122">
        <v>51</v>
      </c>
    </row>
    <row r="123" spans="1:3">
      <c r="A123" t="s">
        <v>509</v>
      </c>
      <c r="B123" t="s">
        <v>257</v>
      </c>
      <c r="C123">
        <v>51</v>
      </c>
    </row>
    <row r="124" spans="1:3">
      <c r="A124" t="s">
        <v>509</v>
      </c>
      <c r="B124" t="s">
        <v>258</v>
      </c>
      <c r="C124">
        <v>41</v>
      </c>
    </row>
    <row r="125" spans="1:3">
      <c r="A125" t="s">
        <v>509</v>
      </c>
      <c r="B125" t="s">
        <v>265</v>
      </c>
      <c r="C125">
        <v>21</v>
      </c>
    </row>
    <row r="126" spans="1:3">
      <c r="A126" t="s">
        <v>509</v>
      </c>
      <c r="B126" t="s">
        <v>266</v>
      </c>
      <c r="C126">
        <v>21</v>
      </c>
    </row>
    <row r="127" spans="1:3">
      <c r="A127" t="s">
        <v>509</v>
      </c>
      <c r="B127" t="s">
        <v>269</v>
      </c>
      <c r="C127">
        <v>21</v>
      </c>
    </row>
    <row r="128" spans="1:3">
      <c r="A128" t="s">
        <v>509</v>
      </c>
      <c r="B128" t="s">
        <v>270</v>
      </c>
      <c r="C128">
        <v>100</v>
      </c>
    </row>
    <row r="129" spans="1:3">
      <c r="A129" s="11" t="s">
        <v>509</v>
      </c>
      <c r="B129" t="s">
        <v>272</v>
      </c>
      <c r="C129">
        <v>36</v>
      </c>
    </row>
    <row r="130" spans="1:3">
      <c r="A130" s="11" t="s">
        <v>509</v>
      </c>
      <c r="B130" t="s">
        <v>273</v>
      </c>
      <c r="C130">
        <v>36</v>
      </c>
    </row>
    <row r="131" spans="1:3">
      <c r="A131" s="11" t="s">
        <v>509</v>
      </c>
      <c r="B131" t="s">
        <v>274</v>
      </c>
      <c r="C131">
        <v>31</v>
      </c>
    </row>
    <row r="132" spans="1:3">
      <c r="A132" t="s">
        <v>509</v>
      </c>
      <c r="B132" t="s">
        <v>328</v>
      </c>
      <c r="C132">
        <v>21</v>
      </c>
    </row>
    <row r="133" spans="1:3">
      <c r="A133" t="s">
        <v>509</v>
      </c>
      <c r="B133" t="s">
        <v>334</v>
      </c>
      <c r="C133">
        <v>101</v>
      </c>
    </row>
    <row r="134" spans="1:3">
      <c r="A134" t="s">
        <v>509</v>
      </c>
      <c r="B134" t="s">
        <v>329</v>
      </c>
      <c r="C134">
        <v>101</v>
      </c>
    </row>
    <row r="135" spans="1:3">
      <c r="A135" t="s">
        <v>509</v>
      </c>
      <c r="B135" t="s">
        <v>332</v>
      </c>
      <c r="C135">
        <v>101</v>
      </c>
    </row>
    <row r="136" spans="1:3">
      <c r="A136" t="s">
        <v>509</v>
      </c>
      <c r="B136" t="s">
        <v>331</v>
      </c>
      <c r="C136">
        <v>101</v>
      </c>
    </row>
    <row r="137" spans="1:3">
      <c r="A137" t="s">
        <v>509</v>
      </c>
      <c r="B137" t="s">
        <v>333</v>
      </c>
      <c r="C137">
        <v>101</v>
      </c>
    </row>
    <row r="138" spans="1:3">
      <c r="A138" t="s">
        <v>509</v>
      </c>
      <c r="B138" t="s">
        <v>330</v>
      </c>
      <c r="C138">
        <v>101</v>
      </c>
    </row>
    <row r="139" spans="1:3">
      <c r="A139" s="18" t="s">
        <v>509</v>
      </c>
      <c r="B139" s="2" t="s">
        <v>338</v>
      </c>
      <c r="C139">
        <v>41</v>
      </c>
    </row>
    <row r="140" spans="1:3">
      <c r="A140" s="18" t="s">
        <v>509</v>
      </c>
      <c r="B140" s="2" t="s">
        <v>339</v>
      </c>
      <c r="C140">
        <v>41</v>
      </c>
    </row>
    <row r="141" spans="1:3">
      <c r="A141" s="18" t="s">
        <v>509</v>
      </c>
      <c r="B141" s="2" t="s">
        <v>344</v>
      </c>
      <c r="C141">
        <v>21</v>
      </c>
    </row>
    <row r="142" spans="1:3">
      <c r="A142" s="18" t="s">
        <v>509</v>
      </c>
      <c r="B142" s="2" t="s">
        <v>345</v>
      </c>
      <c r="C142">
        <v>31</v>
      </c>
    </row>
    <row r="143" spans="1:3">
      <c r="A143" s="18" t="s">
        <v>509</v>
      </c>
      <c r="B143" s="2" t="s">
        <v>346</v>
      </c>
      <c r="C143">
        <v>21</v>
      </c>
    </row>
    <row r="144" spans="1:3">
      <c r="A144" s="18" t="s">
        <v>509</v>
      </c>
      <c r="B144" t="s">
        <v>357</v>
      </c>
      <c r="C144">
        <v>31</v>
      </c>
    </row>
    <row r="145" spans="1:6">
      <c r="A145" s="6" t="s">
        <v>509</v>
      </c>
      <c r="B145" s="2" t="s">
        <v>359</v>
      </c>
      <c r="C145">
        <v>21</v>
      </c>
    </row>
    <row r="146" spans="1:6">
      <c r="A146" s="6" t="s">
        <v>509</v>
      </c>
      <c r="B146" s="2" t="s">
        <v>360</v>
      </c>
      <c r="C146">
        <v>21</v>
      </c>
    </row>
    <row r="147" spans="1:6">
      <c r="A147" t="s">
        <v>509</v>
      </c>
      <c r="B147" s="2" t="s">
        <v>361</v>
      </c>
      <c r="C147">
        <v>101</v>
      </c>
    </row>
    <row r="148" spans="1:6">
      <c r="A148" t="s">
        <v>509</v>
      </c>
      <c r="B148" t="s">
        <v>362</v>
      </c>
      <c r="C148">
        <v>101</v>
      </c>
    </row>
    <row r="149" spans="1:6">
      <c r="A149" t="s">
        <v>509</v>
      </c>
      <c r="B149" t="s">
        <v>363</v>
      </c>
      <c r="C149">
        <v>101</v>
      </c>
    </row>
    <row r="150" spans="1:6">
      <c r="A150" t="s">
        <v>509</v>
      </c>
      <c r="B150" t="s">
        <v>479</v>
      </c>
      <c r="C150">
        <v>31</v>
      </c>
    </row>
    <row r="151" spans="1:6">
      <c r="A151" t="s">
        <v>509</v>
      </c>
      <c r="B151" t="s">
        <v>481</v>
      </c>
      <c r="C151">
        <v>31</v>
      </c>
    </row>
    <row r="152" spans="1:6">
      <c r="A152" t="s">
        <v>509</v>
      </c>
      <c r="B152" t="s">
        <v>480</v>
      </c>
      <c r="C152">
        <v>31</v>
      </c>
    </row>
    <row r="153" spans="1:6">
      <c r="A153" t="s">
        <v>509</v>
      </c>
      <c r="B153" t="s">
        <v>466</v>
      </c>
      <c r="C153">
        <v>31</v>
      </c>
      <c r="E153" t="s">
        <v>500</v>
      </c>
      <c r="F153" t="s">
        <v>502</v>
      </c>
    </row>
    <row r="154" spans="1:6">
      <c r="A154" t="s">
        <v>509</v>
      </c>
      <c r="B154" t="s">
        <v>108</v>
      </c>
      <c r="C154">
        <v>31</v>
      </c>
      <c r="E154" t="s">
        <v>500</v>
      </c>
      <c r="F154" t="s">
        <v>502</v>
      </c>
    </row>
    <row r="155" spans="1:6">
      <c r="A155" t="s">
        <v>509</v>
      </c>
      <c r="B155" t="s">
        <v>109</v>
      </c>
      <c r="C155">
        <v>31</v>
      </c>
      <c r="E155" t="s">
        <v>500</v>
      </c>
      <c r="F155" t="s">
        <v>502</v>
      </c>
    </row>
    <row r="156" spans="1:6">
      <c r="A156" t="s">
        <v>509</v>
      </c>
      <c r="B156" t="s">
        <v>472</v>
      </c>
      <c r="C156">
        <v>26</v>
      </c>
      <c r="E156" t="s">
        <v>500</v>
      </c>
      <c r="F156" t="s">
        <v>502</v>
      </c>
    </row>
    <row r="157" spans="1:6">
      <c r="A157" t="s">
        <v>509</v>
      </c>
      <c r="B157" t="s">
        <v>470</v>
      </c>
      <c r="C157">
        <v>26</v>
      </c>
      <c r="E157" t="s">
        <v>500</v>
      </c>
      <c r="F157" t="s">
        <v>502</v>
      </c>
    </row>
    <row r="158" spans="1:6">
      <c r="A158" t="s">
        <v>509</v>
      </c>
      <c r="B158" t="s">
        <v>474</v>
      </c>
      <c r="C158">
        <v>26</v>
      </c>
      <c r="E158" t="s">
        <v>500</v>
      </c>
      <c r="F158" t="s">
        <v>502</v>
      </c>
    </row>
    <row r="159" spans="1:6">
      <c r="A159" t="s">
        <v>509</v>
      </c>
      <c r="B159" t="s">
        <v>467</v>
      </c>
      <c r="C159">
        <v>31</v>
      </c>
      <c r="E159" t="s">
        <v>500</v>
      </c>
      <c r="F159" t="s">
        <v>502</v>
      </c>
    </row>
    <row r="160" spans="1:6">
      <c r="A160" t="s">
        <v>509</v>
      </c>
      <c r="B160" t="s">
        <v>468</v>
      </c>
      <c r="C160">
        <v>31</v>
      </c>
      <c r="E160" t="s">
        <v>500</v>
      </c>
      <c r="F160" t="s">
        <v>502</v>
      </c>
    </row>
    <row r="161" spans="1:6">
      <c r="A161" t="s">
        <v>509</v>
      </c>
      <c r="B161" t="s">
        <v>469</v>
      </c>
      <c r="C161">
        <v>31</v>
      </c>
      <c r="E161" t="s">
        <v>500</v>
      </c>
      <c r="F161" t="s">
        <v>502</v>
      </c>
    </row>
    <row r="162" spans="1:6">
      <c r="A162" t="s">
        <v>509</v>
      </c>
      <c r="B162" t="s">
        <v>473</v>
      </c>
      <c r="C162">
        <v>26</v>
      </c>
      <c r="E162" t="s">
        <v>500</v>
      </c>
      <c r="F162" t="s">
        <v>502</v>
      </c>
    </row>
    <row r="163" spans="1:6">
      <c r="A163" t="s">
        <v>509</v>
      </c>
      <c r="B163" t="s">
        <v>471</v>
      </c>
      <c r="C163">
        <v>26</v>
      </c>
      <c r="E163" t="s">
        <v>500</v>
      </c>
      <c r="F163" t="s">
        <v>502</v>
      </c>
    </row>
    <row r="164" spans="1:6">
      <c r="A164" t="s">
        <v>509</v>
      </c>
      <c r="B164" t="s">
        <v>475</v>
      </c>
      <c r="C164">
        <v>31</v>
      </c>
      <c r="E164" t="s">
        <v>503</v>
      </c>
    </row>
    <row r="165" spans="1:6">
      <c r="A165" t="s">
        <v>509</v>
      </c>
      <c r="B165" t="s">
        <v>477</v>
      </c>
      <c r="C165">
        <v>100</v>
      </c>
    </row>
    <row r="166" spans="1:6">
      <c r="A166" t="s">
        <v>509</v>
      </c>
      <c r="B166" t="s">
        <v>478</v>
      </c>
      <c r="C166">
        <v>100</v>
      </c>
    </row>
    <row r="167" spans="1:6">
      <c r="A167" t="s">
        <v>509</v>
      </c>
      <c r="B167" t="s">
        <v>476</v>
      </c>
      <c r="C167">
        <v>31</v>
      </c>
      <c r="E167" t="s">
        <v>504</v>
      </c>
    </row>
    <row r="168" spans="1:6">
      <c r="A168" t="s">
        <v>509</v>
      </c>
      <c r="B168" t="s">
        <v>490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5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2578125" defaultRowHeight="15"/>
  <cols>
    <col min="1" max="1" width="11.42578125" style="4"/>
    <col min="2" max="2" width="29.42578125" style="4" customWidth="1"/>
    <col min="3" max="16384" width="11.42578125" style="4"/>
  </cols>
  <sheetData>
    <row r="1" spans="1:10">
      <c r="A1" s="4" t="s">
        <v>438</v>
      </c>
    </row>
    <row r="2" spans="1:10">
      <c r="A2" s="4" t="s">
        <v>56</v>
      </c>
    </row>
    <row r="3" spans="1:10">
      <c r="A3" s="4" t="s">
        <v>420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S52" sqref="S52"/>
    </sheetView>
  </sheetViews>
  <sheetFormatPr defaultColWidth="11.42578125" defaultRowHeight="15"/>
  <cols>
    <col min="1" max="1" width="32.5703125" style="4" customWidth="1"/>
    <col min="2" max="2" width="27.42578125" style="4" customWidth="1"/>
    <col min="3" max="16384" width="11.42578125" style="4"/>
  </cols>
  <sheetData>
    <row r="1" spans="1:10">
      <c r="A1" s="4" t="s">
        <v>439</v>
      </c>
    </row>
    <row r="2" spans="1:10">
      <c r="A2" s="4" t="s">
        <v>375</v>
      </c>
    </row>
    <row r="3" spans="1:10">
      <c r="A3" s="4" t="s">
        <v>420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/>
      <c r="C6" s="26"/>
      <c r="D6" s="26"/>
      <c r="E6" s="26"/>
      <c r="F6" s="26"/>
      <c r="G6" s="26"/>
      <c r="H6" s="26"/>
      <c r="I6" s="26"/>
      <c r="J6" s="26"/>
    </row>
    <row r="7" spans="1:10">
      <c r="A7"/>
      <c r="C7" s="26"/>
      <c r="D7" s="26"/>
      <c r="E7" s="26"/>
      <c r="F7" s="26"/>
      <c r="G7" s="26"/>
      <c r="H7" s="26"/>
      <c r="I7" s="26"/>
      <c r="J7" s="26"/>
    </row>
    <row r="8" spans="1:10">
      <c r="A8"/>
      <c r="C8" s="26"/>
      <c r="D8" s="26"/>
      <c r="E8" s="26"/>
      <c r="F8" s="26"/>
      <c r="G8" s="26"/>
      <c r="H8" s="26"/>
      <c r="I8" s="26"/>
      <c r="J8" s="26"/>
    </row>
    <row r="9" spans="1:10">
      <c r="A9"/>
      <c r="C9" s="26"/>
      <c r="D9" s="26"/>
      <c r="E9" s="26"/>
      <c r="F9" s="26"/>
      <c r="G9" s="26"/>
      <c r="H9" s="26"/>
      <c r="I9" s="26"/>
      <c r="J9" s="26"/>
    </row>
    <row r="10" spans="1:10">
      <c r="A10"/>
      <c r="C10" s="26"/>
      <c r="D10" s="26"/>
      <c r="E10" s="26"/>
      <c r="F10" s="26"/>
      <c r="G10" s="26"/>
      <c r="H10" s="26"/>
      <c r="I10" s="26"/>
      <c r="J10" s="26"/>
    </row>
    <row r="11" spans="1:10">
      <c r="A11"/>
      <c r="C11" s="26"/>
      <c r="D11" s="26"/>
      <c r="E11" s="26"/>
      <c r="F11" s="26"/>
      <c r="G11" s="26"/>
      <c r="H11" s="26"/>
      <c r="I11" s="26"/>
      <c r="J11" s="26"/>
    </row>
    <row r="12" spans="1:10">
      <c r="A12"/>
      <c r="C12" s="26"/>
      <c r="D12" s="26"/>
      <c r="E12" s="26"/>
      <c r="F12" s="26"/>
      <c r="G12" s="26"/>
      <c r="H12" s="26"/>
      <c r="I12" s="26"/>
      <c r="J12" s="26"/>
    </row>
    <row r="13" spans="1:10">
      <c r="A13"/>
      <c r="C13" s="26"/>
      <c r="D13" s="26"/>
      <c r="E13" s="26"/>
      <c r="F13" s="26"/>
      <c r="G13" s="26"/>
      <c r="H13" s="26"/>
      <c r="I13" s="26"/>
      <c r="J13" s="26"/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workbookViewId="0">
      <selection activeCell="A10" sqref="A10"/>
    </sheetView>
  </sheetViews>
  <sheetFormatPr defaultColWidth="11.42578125" defaultRowHeight="15"/>
  <cols>
    <col min="1" max="1" width="21.42578125" customWidth="1"/>
    <col min="2" max="2" width="24.42578125" customWidth="1"/>
    <col min="3" max="3" width="18.5703125" style="19" bestFit="1" customWidth="1"/>
    <col min="4" max="4" width="16.42578125" style="19" customWidth="1"/>
    <col min="5" max="10" width="18.5703125" style="19" bestFit="1" customWidth="1"/>
    <col min="13" max="15" width="12.140625" bestFit="1" customWidth="1"/>
  </cols>
  <sheetData>
    <row r="1" spans="1:12">
      <c r="A1" t="s">
        <v>440</v>
      </c>
    </row>
    <row r="2" spans="1:12">
      <c r="A2" t="s">
        <v>12</v>
      </c>
    </row>
    <row r="3" spans="1:12">
      <c r="A3" t="s">
        <v>395</v>
      </c>
    </row>
    <row r="5" spans="1:12">
      <c r="A5" t="s">
        <v>20</v>
      </c>
      <c r="B5" t="s">
        <v>26</v>
      </c>
      <c r="C5" s="19">
        <v>2018</v>
      </c>
      <c r="D5" s="19">
        <v>2020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s="11"/>
      <c r="C6" s="4"/>
      <c r="D6" s="4"/>
      <c r="E6" s="4"/>
      <c r="F6" s="4"/>
      <c r="G6" s="4"/>
      <c r="H6" s="4"/>
      <c r="I6" s="4"/>
      <c r="J6" s="4"/>
    </row>
    <row r="7" spans="1:12">
      <c r="A7" s="11"/>
      <c r="C7" s="4"/>
      <c r="D7" s="4"/>
      <c r="E7" s="4"/>
      <c r="F7" s="4"/>
      <c r="G7" s="4"/>
      <c r="H7" s="4"/>
      <c r="I7" s="4"/>
      <c r="J7" s="4"/>
    </row>
    <row r="8" spans="1:12">
      <c r="B8" s="8"/>
      <c r="C8" s="8"/>
      <c r="D8" s="8"/>
      <c r="E8" s="8"/>
      <c r="F8" s="8"/>
      <c r="G8" s="8"/>
      <c r="H8" s="8"/>
      <c r="I8" s="8"/>
      <c r="J8" s="8"/>
    </row>
    <row r="9" spans="1:12">
      <c r="B9" s="8"/>
      <c r="C9" s="8"/>
      <c r="D9" s="8"/>
      <c r="E9" s="8"/>
      <c r="F9" s="8"/>
      <c r="G9" s="8"/>
      <c r="H9" s="8"/>
      <c r="I9" s="8"/>
      <c r="J9" s="8"/>
    </row>
    <row r="10" spans="1:12">
      <c r="B10" s="8"/>
      <c r="C10" s="8"/>
      <c r="D10" s="8"/>
      <c r="E10" s="8"/>
      <c r="F10" s="8"/>
      <c r="G10" s="8"/>
      <c r="H10" s="8"/>
      <c r="I10" s="8"/>
      <c r="J10" s="8"/>
    </row>
    <row r="11" spans="1:12">
      <c r="B11" s="8"/>
      <c r="C11" s="8"/>
      <c r="D11" s="8"/>
      <c r="E11" s="8"/>
      <c r="F11" s="8"/>
      <c r="G11" s="8"/>
      <c r="H11" s="8"/>
      <c r="I11" s="8"/>
      <c r="J11" s="8"/>
    </row>
    <row r="12" spans="1:12">
      <c r="B12" s="8"/>
      <c r="C12" s="8"/>
      <c r="D12" s="8"/>
      <c r="E12" s="8"/>
      <c r="F12" s="8"/>
      <c r="G12" s="8"/>
      <c r="H12" s="8"/>
      <c r="I12" s="8"/>
      <c r="J12" s="8"/>
    </row>
    <row r="13" spans="1:12">
      <c r="B13" s="8"/>
      <c r="C13" s="8"/>
      <c r="D13" s="8"/>
      <c r="E13" s="8"/>
      <c r="F13" s="8"/>
      <c r="G13" s="8"/>
      <c r="H13" s="8"/>
      <c r="I13" s="8"/>
      <c r="J13" s="8"/>
    </row>
    <row r="14" spans="1:12">
      <c r="B14" s="8"/>
      <c r="C14" s="8"/>
      <c r="D14" s="8"/>
      <c r="E14" s="8"/>
      <c r="F14" s="8"/>
      <c r="G14" s="8"/>
      <c r="H14" s="8"/>
      <c r="I14" s="8"/>
      <c r="J14" s="8"/>
    </row>
    <row r="15" spans="1:12">
      <c r="B15" s="8"/>
      <c r="C15" s="8"/>
      <c r="D15" s="8"/>
      <c r="E15" s="8"/>
      <c r="F15" s="8"/>
      <c r="G15" s="8"/>
      <c r="H15" s="8"/>
      <c r="I15" s="8"/>
      <c r="J15" s="8"/>
    </row>
    <row r="16" spans="1:12">
      <c r="B16" s="8"/>
      <c r="C16" s="8"/>
      <c r="D16" s="8"/>
      <c r="E16" s="8"/>
      <c r="F16" s="8"/>
      <c r="G16" s="8"/>
      <c r="H16" s="8"/>
      <c r="I16" s="8"/>
      <c r="J16" s="8"/>
    </row>
    <row r="17" spans="2:10">
      <c r="B17" s="8"/>
      <c r="C17" s="8"/>
      <c r="D17" s="8"/>
      <c r="E17" s="8"/>
      <c r="F17" s="8"/>
      <c r="G17" s="8"/>
      <c r="H17" s="8"/>
      <c r="I17" s="8"/>
      <c r="J17" s="8"/>
    </row>
    <row r="18" spans="2:10">
      <c r="B18" s="8"/>
      <c r="C18" s="8"/>
      <c r="D18" s="8"/>
      <c r="E18" s="8"/>
      <c r="F18" s="8"/>
      <c r="G18" s="8"/>
      <c r="H18" s="8"/>
      <c r="I18" s="8"/>
      <c r="J18" s="8"/>
    </row>
    <row r="19" spans="2:10">
      <c r="B19" s="8"/>
      <c r="C19" s="8"/>
      <c r="D19" s="8"/>
      <c r="E19" s="8"/>
      <c r="F19" s="8"/>
      <c r="G19" s="8"/>
      <c r="H19" s="8"/>
      <c r="I19" s="8"/>
      <c r="J19" s="8"/>
    </row>
    <row r="20" spans="2:10">
      <c r="B20" s="8"/>
      <c r="C20" s="8"/>
      <c r="D20" s="8"/>
      <c r="E20" s="8"/>
      <c r="F20" s="8"/>
      <c r="G20" s="8"/>
      <c r="H20" s="8"/>
      <c r="I20" s="8"/>
      <c r="J20" s="8"/>
    </row>
    <row r="21" spans="2:10">
      <c r="B21" s="8"/>
      <c r="C21" s="8"/>
      <c r="D21" s="8"/>
      <c r="E21" s="8"/>
      <c r="F21" s="8"/>
      <c r="G21" s="8"/>
      <c r="H21" s="8"/>
      <c r="I21" s="8"/>
      <c r="J21" s="8"/>
    </row>
    <row r="22" spans="2:10">
      <c r="B22" s="8"/>
      <c r="C22" s="8"/>
      <c r="D22" s="8"/>
      <c r="E22" s="8"/>
      <c r="F22" s="8"/>
      <c r="G22" s="8"/>
      <c r="H22" s="8"/>
      <c r="I22" s="8"/>
      <c r="J22" s="8"/>
    </row>
    <row r="23" spans="2:10">
      <c r="B23" s="8"/>
      <c r="C23" s="8"/>
      <c r="D23" s="8"/>
      <c r="E23" s="8"/>
      <c r="F23" s="8"/>
      <c r="G23" s="8"/>
      <c r="H23" s="8"/>
      <c r="I23" s="8"/>
      <c r="J23" s="8"/>
    </row>
    <row r="24" spans="2:10">
      <c r="B24" s="8"/>
      <c r="C24" s="8"/>
      <c r="D24" s="8"/>
      <c r="E24" s="8"/>
      <c r="F24" s="8"/>
      <c r="G24" s="8"/>
      <c r="H24" s="8"/>
      <c r="I24" s="8"/>
      <c r="J24" s="8"/>
    </row>
    <row r="25" spans="2:10">
      <c r="B25" s="8"/>
      <c r="C25" s="8"/>
      <c r="D25" s="8"/>
      <c r="E25" s="8"/>
      <c r="F25" s="8"/>
      <c r="G25" s="8"/>
      <c r="H25" s="8"/>
      <c r="I25" s="8"/>
      <c r="J25" s="8"/>
    </row>
    <row r="26" spans="2:10">
      <c r="B26" s="8"/>
      <c r="C26" s="8"/>
      <c r="D26" s="8"/>
      <c r="E26" s="8"/>
      <c r="F26" s="8"/>
      <c r="G26" s="8"/>
      <c r="H26" s="8"/>
      <c r="I26" s="8"/>
      <c r="J26" s="8"/>
    </row>
    <row r="27" spans="2:10">
      <c r="B27" s="8"/>
      <c r="C27" s="8"/>
      <c r="D27" s="8"/>
      <c r="E27" s="8"/>
      <c r="F27" s="8"/>
      <c r="G27" s="8"/>
      <c r="H27" s="8"/>
      <c r="I27" s="8"/>
      <c r="J27" s="8"/>
    </row>
    <row r="28" spans="2:10">
      <c r="B28" s="8"/>
      <c r="C28" s="8"/>
      <c r="D28" s="8"/>
      <c r="E28" s="8"/>
      <c r="F28" s="8"/>
      <c r="G28" s="8"/>
      <c r="H28" s="8"/>
      <c r="I28" s="8"/>
      <c r="J28" s="8"/>
    </row>
    <row r="29" spans="2:10">
      <c r="B29" s="8"/>
      <c r="C29" s="8"/>
      <c r="D29" s="8"/>
      <c r="E29" s="8"/>
      <c r="F29" s="8"/>
      <c r="G29" s="8"/>
      <c r="H29" s="8"/>
      <c r="I29" s="8"/>
      <c r="J29" s="8"/>
    </row>
    <row r="30" spans="2:10">
      <c r="B30" s="8"/>
      <c r="C30" s="8"/>
      <c r="D30" s="8"/>
      <c r="E30" s="8"/>
      <c r="F30" s="8"/>
      <c r="G30" s="8"/>
      <c r="H30" s="8"/>
      <c r="I30" s="8"/>
      <c r="J30" s="8"/>
    </row>
    <row r="31" spans="2:10">
      <c r="B31" s="8"/>
      <c r="C31" s="8"/>
      <c r="D31" s="8"/>
      <c r="E31" s="8"/>
      <c r="F31" s="8"/>
      <c r="G31" s="8"/>
      <c r="H31" s="8"/>
      <c r="I31" s="8"/>
      <c r="J31" s="8"/>
    </row>
    <row r="32" spans="2:10">
      <c r="B32" s="8"/>
      <c r="C32" s="8"/>
      <c r="D32" s="8"/>
      <c r="E32" s="8"/>
      <c r="F32" s="8"/>
      <c r="G32" s="8"/>
      <c r="H32" s="8"/>
      <c r="I32" s="8"/>
      <c r="J32" s="8"/>
    </row>
    <row r="33" spans="2:10">
      <c r="B33" s="8"/>
      <c r="C33" s="8"/>
      <c r="D33" s="8"/>
      <c r="E33" s="8"/>
      <c r="F33" s="8"/>
      <c r="G33" s="8"/>
      <c r="H33" s="8"/>
      <c r="I33" s="8"/>
      <c r="J33" s="8"/>
    </row>
    <row r="34" spans="2:10">
      <c r="B34" s="8"/>
      <c r="C34" s="8"/>
      <c r="D34" s="8"/>
      <c r="E34" s="8"/>
      <c r="F34" s="8"/>
      <c r="G34" s="8"/>
      <c r="H34" s="8"/>
      <c r="I34" s="8"/>
      <c r="J34" s="8"/>
    </row>
    <row r="35" spans="2:10">
      <c r="B35" s="8"/>
      <c r="C35" s="8"/>
      <c r="D35" s="8"/>
      <c r="E35" s="8"/>
      <c r="F35" s="8"/>
      <c r="G35" s="8"/>
      <c r="H35" s="8"/>
      <c r="I35" s="8"/>
      <c r="J35" s="8"/>
    </row>
    <row r="36" spans="2:10">
      <c r="B36" s="8"/>
      <c r="C36" s="8"/>
      <c r="D36" s="8"/>
      <c r="E36" s="8"/>
      <c r="F36" s="8"/>
      <c r="G36" s="8"/>
      <c r="H36" s="8"/>
      <c r="I36" s="8"/>
      <c r="J36" s="8"/>
    </row>
    <row r="37" spans="2:10">
      <c r="B37" s="8"/>
      <c r="C37" s="8"/>
      <c r="D37" s="8"/>
      <c r="E37" s="8"/>
      <c r="F37" s="8"/>
      <c r="G37" s="8"/>
      <c r="H37" s="8"/>
      <c r="I37" s="8"/>
      <c r="J37" s="8"/>
    </row>
    <row r="38" spans="2:10">
      <c r="B38" s="8"/>
      <c r="C38" s="8"/>
      <c r="D38" s="8"/>
      <c r="E38" s="8"/>
      <c r="F38" s="8"/>
      <c r="G38" s="8"/>
      <c r="H38" s="8"/>
      <c r="I38" s="8"/>
      <c r="J38" s="8"/>
    </row>
    <row r="39" spans="2:10">
      <c r="B39" s="8"/>
      <c r="C39" s="8"/>
      <c r="D39" s="8"/>
      <c r="E39" s="8"/>
      <c r="F39" s="8"/>
      <c r="G39" s="8"/>
      <c r="H39" s="8"/>
      <c r="I39" s="8"/>
      <c r="J39" s="8"/>
    </row>
    <row r="40" spans="2:10">
      <c r="B40" s="8"/>
      <c r="C40" s="8"/>
      <c r="D40" s="8"/>
      <c r="E40" s="8"/>
      <c r="F40" s="8"/>
      <c r="G40" s="8"/>
      <c r="H40" s="8"/>
      <c r="I40" s="8"/>
      <c r="J40" s="8"/>
    </row>
    <row r="41" spans="2:10">
      <c r="B41" s="8"/>
      <c r="C41" s="8"/>
      <c r="D41" s="8"/>
      <c r="E41" s="8"/>
      <c r="F41" s="8"/>
      <c r="G41" s="8"/>
      <c r="H41" s="8"/>
      <c r="I41" s="8"/>
      <c r="J41" s="8"/>
    </row>
    <row r="42" spans="2:10">
      <c r="B42" s="8"/>
      <c r="C42" s="8"/>
      <c r="D42" s="8"/>
      <c r="E42" s="8"/>
      <c r="F42" s="8"/>
      <c r="G42" s="8"/>
      <c r="H42" s="8"/>
      <c r="I42" s="8"/>
      <c r="J42" s="8"/>
    </row>
    <row r="43" spans="2:10">
      <c r="B43" s="8"/>
      <c r="C43" s="8"/>
      <c r="D43" s="8"/>
      <c r="E43" s="8"/>
      <c r="F43" s="8"/>
      <c r="G43" s="8"/>
      <c r="H43" s="8"/>
      <c r="I43" s="8"/>
      <c r="J43" s="8"/>
    </row>
    <row r="44" spans="2:10">
      <c r="C44" s="8"/>
      <c r="D44" s="8"/>
      <c r="E44" s="8"/>
      <c r="F44" s="8"/>
      <c r="G44" s="8"/>
      <c r="H44" s="8"/>
      <c r="I44" s="8"/>
      <c r="J44" s="8"/>
    </row>
    <row r="45" spans="2:10">
      <c r="C45" s="8"/>
      <c r="D45" s="8"/>
      <c r="E45" s="8"/>
      <c r="F45" s="8"/>
      <c r="G45" s="8"/>
      <c r="H45" s="8"/>
      <c r="I45" s="8"/>
      <c r="J45" s="8"/>
    </row>
    <row r="46" spans="2:10">
      <c r="C46" s="8"/>
      <c r="D46" s="8"/>
      <c r="E46" s="8"/>
      <c r="F46" s="8"/>
      <c r="G46" s="8"/>
      <c r="H46" s="8"/>
      <c r="I46" s="8"/>
      <c r="J46" s="8"/>
    </row>
    <row r="47" spans="2:10">
      <c r="C47" s="8"/>
      <c r="D47" s="8"/>
      <c r="E47" s="8"/>
      <c r="F47" s="8"/>
      <c r="G47" s="8"/>
      <c r="H47" s="8"/>
      <c r="I47" s="8"/>
      <c r="J47" s="8"/>
    </row>
    <row r="48" spans="2:10">
      <c r="C48" s="8"/>
      <c r="D48" s="8"/>
      <c r="E48" s="8"/>
      <c r="F48" s="8"/>
      <c r="G48" s="8"/>
      <c r="H48" s="8"/>
      <c r="I48" s="8"/>
      <c r="J48" s="8"/>
    </row>
    <row r="49" spans="3:10">
      <c r="C49" s="8"/>
      <c r="D49" s="8"/>
      <c r="E49" s="8"/>
      <c r="F49" s="8"/>
      <c r="G49" s="8"/>
      <c r="H49" s="8"/>
      <c r="I49" s="8"/>
      <c r="J49" s="8"/>
    </row>
    <row r="50" spans="3:10">
      <c r="C50" s="8"/>
      <c r="D50" s="8"/>
      <c r="E50" s="8"/>
      <c r="F50" s="8"/>
      <c r="G50" s="8"/>
      <c r="H50" s="8"/>
      <c r="I50" s="8"/>
      <c r="J50" s="8"/>
    </row>
    <row r="51" spans="3:10">
      <c r="C51" s="8"/>
      <c r="D51" s="8"/>
      <c r="E51" s="8"/>
      <c r="F51" s="8"/>
      <c r="G51" s="8"/>
      <c r="H51" s="8"/>
      <c r="I51" s="8"/>
      <c r="J51" s="8"/>
    </row>
    <row r="52" spans="3:10">
      <c r="C52" s="8"/>
      <c r="D52" s="8"/>
      <c r="E52" s="8"/>
      <c r="F52" s="8"/>
      <c r="G52" s="8"/>
      <c r="H52" s="8"/>
      <c r="I52" s="8"/>
      <c r="J52" s="8"/>
    </row>
    <row r="53" spans="3:10">
      <c r="C53" s="8"/>
      <c r="D53" s="8"/>
      <c r="E53" s="8"/>
      <c r="F53" s="8"/>
      <c r="G53" s="8"/>
      <c r="H53" s="8"/>
      <c r="I53" s="8"/>
      <c r="J53" s="8"/>
    </row>
    <row r="54" spans="3:10">
      <c r="C54" s="8"/>
      <c r="D54" s="8"/>
      <c r="E54" s="8"/>
      <c r="F54" s="8"/>
      <c r="G54" s="8"/>
      <c r="H54" s="8"/>
      <c r="I54" s="8"/>
      <c r="J54" s="8"/>
    </row>
    <row r="55" spans="3:10">
      <c r="C55" s="8"/>
      <c r="D55" s="8"/>
      <c r="E55" s="8"/>
      <c r="F55" s="8"/>
      <c r="G55" s="8"/>
      <c r="H55" s="8"/>
      <c r="I55" s="8"/>
      <c r="J55" s="8"/>
    </row>
    <row r="56" spans="3:10">
      <c r="C56" s="8"/>
      <c r="D56" s="8"/>
      <c r="E56" s="8"/>
      <c r="F56" s="8"/>
      <c r="G56" s="8"/>
      <c r="H56" s="8"/>
      <c r="I56" s="8"/>
      <c r="J56" s="8"/>
    </row>
    <row r="57" spans="3:10">
      <c r="C57" s="8"/>
      <c r="D57" s="8"/>
      <c r="E57" s="8"/>
      <c r="F57" s="8"/>
      <c r="G57" s="8"/>
      <c r="H57" s="8"/>
      <c r="I57" s="8"/>
      <c r="J57" s="8"/>
    </row>
    <row r="58" spans="3:10">
      <c r="C58" s="8"/>
      <c r="D58" s="8"/>
      <c r="E58" s="8"/>
      <c r="F58" s="8"/>
      <c r="G58" s="8"/>
      <c r="H58" s="8"/>
      <c r="I58" s="8"/>
      <c r="J58" s="8"/>
    </row>
    <row r="59" spans="3:10">
      <c r="C59" s="8"/>
      <c r="D59" s="8"/>
      <c r="E59" s="8"/>
      <c r="F59" s="8"/>
      <c r="G59" s="8"/>
      <c r="H59" s="8"/>
      <c r="I59" s="8"/>
      <c r="J59" s="8"/>
    </row>
    <row r="60" spans="3:10">
      <c r="C60" s="8"/>
      <c r="D60" s="8"/>
      <c r="E60" s="8"/>
      <c r="F60" s="8"/>
      <c r="G60" s="8"/>
      <c r="H60" s="8"/>
      <c r="I60" s="8"/>
      <c r="J60" s="8"/>
    </row>
    <row r="61" spans="3:10">
      <c r="C61" s="8"/>
      <c r="D61" s="8"/>
      <c r="E61" s="8"/>
      <c r="F61" s="8"/>
      <c r="G61" s="8"/>
      <c r="H61" s="8"/>
      <c r="I61" s="8"/>
      <c r="J61" s="8"/>
    </row>
    <row r="62" spans="3:10">
      <c r="C62" s="8"/>
      <c r="D62" s="8"/>
      <c r="E62" s="8"/>
      <c r="F62" s="8"/>
      <c r="G62" s="8"/>
      <c r="H62" s="8"/>
      <c r="I62" s="8"/>
      <c r="J62" s="8"/>
    </row>
    <row r="63" spans="3:10">
      <c r="C63" s="8"/>
      <c r="D63" s="8"/>
      <c r="E63" s="8"/>
      <c r="F63" s="8"/>
      <c r="G63" s="8"/>
      <c r="H63" s="8"/>
      <c r="I63" s="8"/>
      <c r="J63" s="8"/>
    </row>
    <row r="64" spans="3:10">
      <c r="C64" s="8"/>
      <c r="D64" s="8"/>
      <c r="E64" s="8"/>
      <c r="F64" s="8"/>
      <c r="G64" s="8"/>
      <c r="H64" s="8"/>
      <c r="I64" s="8"/>
      <c r="J64" s="8"/>
    </row>
    <row r="65" spans="3:10">
      <c r="C65" s="8"/>
      <c r="D65" s="8"/>
      <c r="E65" s="8"/>
      <c r="F65" s="8"/>
      <c r="G65" s="8"/>
      <c r="H65" s="8"/>
      <c r="I65" s="8"/>
      <c r="J65" s="8"/>
    </row>
    <row r="66" spans="3:10">
      <c r="C66" s="8"/>
      <c r="D66" s="8"/>
      <c r="E66" s="8"/>
      <c r="F66" s="8"/>
      <c r="G66" s="8"/>
      <c r="H66" s="8"/>
      <c r="I66" s="8"/>
      <c r="J66" s="8"/>
    </row>
    <row r="67" spans="3:10">
      <c r="C67" s="8"/>
      <c r="D67" s="8"/>
      <c r="E67" s="8"/>
      <c r="F67" s="8"/>
      <c r="G67" s="8"/>
      <c r="H67" s="8"/>
      <c r="I67" s="8"/>
      <c r="J67" s="8"/>
    </row>
    <row r="68" spans="3:10">
      <c r="C68" s="8"/>
      <c r="D68" s="8"/>
      <c r="E68" s="8"/>
      <c r="F68" s="8"/>
      <c r="G68" s="8"/>
      <c r="H68" s="8"/>
      <c r="I68" s="8"/>
      <c r="J68" s="8"/>
    </row>
    <row r="69" spans="3:10">
      <c r="C69" s="8"/>
      <c r="D69" s="8"/>
      <c r="E69" s="8"/>
      <c r="F69" s="8"/>
      <c r="G69" s="8"/>
      <c r="H69" s="8"/>
      <c r="I69" s="8"/>
      <c r="J69" s="8"/>
    </row>
    <row r="70" spans="3:10">
      <c r="C70" s="8"/>
      <c r="D70" s="8"/>
      <c r="E70" s="8"/>
      <c r="F70" s="8"/>
      <c r="G70" s="8"/>
      <c r="H70" s="8"/>
      <c r="I70" s="8"/>
      <c r="J70" s="8"/>
    </row>
    <row r="71" spans="3:10">
      <c r="C71" s="8"/>
      <c r="D71" s="8"/>
      <c r="E71" s="8"/>
      <c r="F71" s="8"/>
      <c r="G71" s="8"/>
      <c r="H71" s="8"/>
      <c r="I71" s="8"/>
      <c r="J71" s="8"/>
    </row>
    <row r="72" spans="3:10">
      <c r="C72" s="8"/>
      <c r="D72" s="8"/>
      <c r="E72" s="8"/>
      <c r="F72" s="8"/>
      <c r="G72" s="8"/>
      <c r="H72" s="8"/>
      <c r="I72" s="8"/>
      <c r="J72" s="8"/>
    </row>
    <row r="73" spans="3:10">
      <c r="C73" s="8"/>
      <c r="D73" s="8"/>
      <c r="E73" s="8"/>
      <c r="F73" s="8"/>
      <c r="G73" s="8"/>
      <c r="H73" s="8"/>
      <c r="I73" s="8"/>
      <c r="J73" s="8"/>
    </row>
    <row r="74" spans="3:10">
      <c r="C74" s="8"/>
      <c r="D74" s="8"/>
      <c r="E74" s="8"/>
      <c r="F74" s="8"/>
      <c r="G74" s="8"/>
      <c r="H74" s="8"/>
      <c r="I74" s="8"/>
      <c r="J74" s="8"/>
    </row>
    <row r="75" spans="3:10">
      <c r="C75" s="8"/>
      <c r="D75" s="8"/>
      <c r="E75" s="8"/>
      <c r="F75" s="8"/>
      <c r="G75" s="8"/>
      <c r="H75" s="8"/>
      <c r="I75" s="8"/>
      <c r="J75" s="8"/>
    </row>
    <row r="76" spans="3:10">
      <c r="C76" s="8"/>
      <c r="D76" s="8"/>
      <c r="E76" s="8"/>
      <c r="F76" s="8"/>
      <c r="G76" s="8"/>
      <c r="H76" s="8"/>
      <c r="I76" s="8"/>
      <c r="J76" s="8"/>
    </row>
    <row r="77" spans="3:10">
      <c r="C77" s="8"/>
      <c r="D77" s="8"/>
      <c r="E77" s="8"/>
      <c r="F77" s="8"/>
      <c r="G77" s="8"/>
      <c r="H77" s="8"/>
      <c r="I77" s="8"/>
      <c r="J77" s="8"/>
    </row>
    <row r="78" spans="3:10">
      <c r="C78" s="8"/>
      <c r="D78" s="8"/>
      <c r="E78" s="8"/>
      <c r="F78" s="8"/>
      <c r="G78" s="8"/>
      <c r="H78" s="8"/>
      <c r="I78" s="8"/>
      <c r="J78" s="8"/>
    </row>
    <row r="79" spans="3:10">
      <c r="C79" s="8"/>
      <c r="D79" s="8"/>
      <c r="E79" s="8"/>
      <c r="F79" s="8"/>
      <c r="G79" s="8"/>
      <c r="H79" s="8"/>
      <c r="I79" s="8"/>
      <c r="J79" s="8"/>
    </row>
    <row r="80" spans="3:10">
      <c r="C80" s="8"/>
      <c r="D80" s="8"/>
      <c r="E80" s="8"/>
      <c r="F80" s="8"/>
      <c r="G80" s="8"/>
      <c r="H80" s="8"/>
      <c r="I80" s="8"/>
      <c r="J80" s="8"/>
    </row>
    <row r="81" spans="3:10">
      <c r="C81" s="8"/>
      <c r="D81" s="8"/>
      <c r="E81" s="8"/>
      <c r="F81" s="8"/>
      <c r="G81" s="8"/>
      <c r="H81" s="8"/>
      <c r="I81" s="8"/>
      <c r="J81" s="8"/>
    </row>
    <row r="82" spans="3:10">
      <c r="C82" s="8"/>
      <c r="D82" s="8"/>
      <c r="E82" s="8"/>
      <c r="F82" s="8"/>
      <c r="G82" s="8"/>
      <c r="H82" s="8"/>
      <c r="I82" s="8"/>
      <c r="J82" s="8"/>
    </row>
    <row r="83" spans="3:10">
      <c r="C83" s="8"/>
      <c r="D83" s="8"/>
      <c r="E83" s="8"/>
      <c r="F83" s="8"/>
      <c r="G83" s="8"/>
      <c r="H83" s="8"/>
      <c r="I83" s="8"/>
      <c r="J83" s="8"/>
    </row>
    <row r="84" spans="3:10">
      <c r="C84" s="8"/>
      <c r="D84" s="8"/>
      <c r="E84" s="8"/>
      <c r="F84" s="8"/>
      <c r="G84" s="8"/>
      <c r="H84" s="8"/>
      <c r="I84" s="8"/>
      <c r="J84" s="8"/>
    </row>
    <row r="85" spans="3:10">
      <c r="C85" s="8"/>
      <c r="D85" s="8"/>
      <c r="E85" s="8"/>
      <c r="F85" s="8"/>
      <c r="G85" s="8"/>
      <c r="H85" s="8"/>
      <c r="I85" s="8"/>
      <c r="J85" s="8"/>
    </row>
    <row r="86" spans="3:10">
      <c r="C86" s="8"/>
      <c r="D86" s="8"/>
      <c r="E86" s="8"/>
      <c r="F86" s="8"/>
      <c r="G86" s="8"/>
      <c r="H86" s="8"/>
      <c r="I86" s="8"/>
      <c r="J86" s="8"/>
    </row>
    <row r="87" spans="3:10">
      <c r="C87" s="8"/>
      <c r="D87" s="8"/>
      <c r="E87" s="8"/>
      <c r="F87" s="8"/>
      <c r="G87" s="8"/>
      <c r="H87" s="8"/>
      <c r="I87" s="8"/>
      <c r="J87" s="8"/>
    </row>
    <row r="88" spans="3:10">
      <c r="C88" s="8"/>
      <c r="D88" s="8"/>
      <c r="E88" s="8"/>
      <c r="F88" s="8"/>
      <c r="G88" s="8"/>
      <c r="H88" s="8"/>
      <c r="I88" s="8"/>
      <c r="J88" s="8"/>
    </row>
    <row r="89" spans="3:10">
      <c r="C89" s="8"/>
      <c r="D89" s="8"/>
      <c r="E89" s="8"/>
      <c r="F89" s="8"/>
      <c r="G89" s="8"/>
      <c r="H89" s="8"/>
      <c r="I89" s="8"/>
      <c r="J89" s="8"/>
    </row>
    <row r="90" spans="3:10">
      <c r="C90" s="8"/>
      <c r="D90" s="8"/>
      <c r="E90" s="8"/>
      <c r="F90" s="8"/>
      <c r="G90" s="8"/>
      <c r="H90" s="8"/>
      <c r="I90" s="8"/>
      <c r="J90" s="8"/>
    </row>
    <row r="91" spans="3:10">
      <c r="C91" s="8"/>
      <c r="D91" s="8"/>
      <c r="E91" s="8"/>
      <c r="F91" s="8"/>
      <c r="G91" s="8"/>
      <c r="H91" s="8"/>
      <c r="I91" s="8"/>
      <c r="J91" s="8"/>
    </row>
    <row r="92" spans="3:10">
      <c r="C92" s="8"/>
      <c r="D92" s="8"/>
      <c r="E92" s="8"/>
      <c r="F92" s="8"/>
      <c r="G92" s="8"/>
      <c r="H92" s="8"/>
      <c r="I92" s="8"/>
      <c r="J92" s="8"/>
    </row>
    <row r="93" spans="3:10">
      <c r="C93" s="8"/>
      <c r="D93" s="8"/>
      <c r="E93" s="8"/>
      <c r="F93" s="8"/>
      <c r="G93" s="8"/>
      <c r="H93" s="8"/>
      <c r="I93" s="8"/>
      <c r="J93" s="8"/>
    </row>
    <row r="94" spans="3:10">
      <c r="C94" s="8"/>
      <c r="D94" s="8"/>
      <c r="E94" s="8"/>
      <c r="F94" s="8"/>
      <c r="G94" s="8"/>
      <c r="H94" s="8"/>
      <c r="I94" s="8"/>
      <c r="J94" s="8"/>
    </row>
    <row r="95" spans="3:10">
      <c r="C95" s="8"/>
      <c r="D95" s="8"/>
      <c r="E95" s="8"/>
      <c r="F95" s="8"/>
      <c r="G95" s="8"/>
      <c r="H95" s="8"/>
      <c r="I95" s="8"/>
      <c r="J95" s="8"/>
    </row>
    <row r="96" spans="3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313</v>
      </c>
      <c r="N362" t="s">
        <v>175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314</v>
      </c>
      <c r="N363" t="s">
        <v>175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315</v>
      </c>
      <c r="N364" t="s">
        <v>175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316</v>
      </c>
      <c r="N365" t="s">
        <v>175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317</v>
      </c>
      <c r="N366" t="s">
        <v>175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318</v>
      </c>
      <c r="N367" t="s">
        <v>175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319</v>
      </c>
      <c r="N368" t="s">
        <v>175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320</v>
      </c>
      <c r="N369" t="s">
        <v>175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321</v>
      </c>
      <c r="N370" t="s">
        <v>175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322</v>
      </c>
      <c r="N371" t="s">
        <v>175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323</v>
      </c>
      <c r="N372" t="s">
        <v>175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324</v>
      </c>
      <c r="N373" t="s">
        <v>175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325</v>
      </c>
      <c r="N374" t="s">
        <v>175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326</v>
      </c>
      <c r="N375" t="s">
        <v>175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335</v>
      </c>
      <c r="N376" t="s">
        <v>175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313</v>
      </c>
      <c r="N379" t="s">
        <v>176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314</v>
      </c>
      <c r="N380" t="s">
        <v>176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315</v>
      </c>
      <c r="N381" t="s">
        <v>176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316</v>
      </c>
      <c r="N382" t="s">
        <v>176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317</v>
      </c>
      <c r="N383" t="s">
        <v>176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318</v>
      </c>
      <c r="N384" t="s">
        <v>176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319</v>
      </c>
      <c r="N385" t="s">
        <v>176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320</v>
      </c>
      <c r="N386" t="s">
        <v>176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321</v>
      </c>
      <c r="N387" t="s">
        <v>176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322</v>
      </c>
      <c r="N388" t="s">
        <v>176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323</v>
      </c>
      <c r="N389" t="s">
        <v>176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324</v>
      </c>
      <c r="N390" t="s">
        <v>176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325</v>
      </c>
      <c r="N391" t="s">
        <v>176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326</v>
      </c>
      <c r="N392" t="s">
        <v>176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335</v>
      </c>
      <c r="N393" t="s">
        <v>176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356</v>
      </c>
    </row>
    <row r="649" spans="2:11">
      <c r="K649" s="14" t="s">
        <v>356</v>
      </c>
    </row>
    <row r="650" spans="2:11">
      <c r="K650" s="14" t="s">
        <v>356</v>
      </c>
    </row>
    <row r="651" spans="2:11">
      <c r="K651" s="14" t="s">
        <v>356</v>
      </c>
    </row>
    <row r="652" spans="2:11">
      <c r="K652" s="14" t="s">
        <v>356</v>
      </c>
    </row>
    <row r="653" spans="2:11">
      <c r="K653" s="14" t="s">
        <v>356</v>
      </c>
    </row>
    <row r="654" spans="2:11">
      <c r="K654" s="14" t="s">
        <v>356</v>
      </c>
    </row>
    <row r="655" spans="2:11">
      <c r="K655" s="14" t="s">
        <v>356</v>
      </c>
    </row>
    <row r="656" spans="2:11">
      <c r="K656" s="14" t="s">
        <v>356</v>
      </c>
    </row>
    <row r="657" spans="3:11">
      <c r="K657" s="14" t="s">
        <v>356</v>
      </c>
    </row>
    <row r="658" spans="3:11">
      <c r="K658" s="14" t="s">
        <v>356</v>
      </c>
    </row>
    <row r="659" spans="3:11">
      <c r="K659" s="14" t="s">
        <v>356</v>
      </c>
    </row>
    <row r="660" spans="3:11">
      <c r="K660" s="14" t="s">
        <v>356</v>
      </c>
    </row>
    <row r="661" spans="3:11">
      <c r="K661" s="14" t="s">
        <v>356</v>
      </c>
    </row>
    <row r="662" spans="3:11">
      <c r="K662" s="14" t="s">
        <v>356</v>
      </c>
    </row>
    <row r="663" spans="3:11">
      <c r="K663" s="14" t="s">
        <v>356</v>
      </c>
    </row>
    <row r="664" spans="3:11">
      <c r="K664" s="14" t="s">
        <v>356</v>
      </c>
    </row>
    <row r="665" spans="3:11">
      <c r="K665" s="14" t="s">
        <v>356</v>
      </c>
    </row>
    <row r="666" spans="3:11">
      <c r="K666" s="14" t="s">
        <v>356</v>
      </c>
    </row>
    <row r="667" spans="3:11">
      <c r="K667" s="14" t="s">
        <v>356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45" sqref="K45"/>
    </sheetView>
  </sheetViews>
  <sheetFormatPr defaultColWidth="11.42578125" defaultRowHeight="15"/>
  <cols>
    <col min="1" max="1" width="20.85546875" style="17" customWidth="1"/>
    <col min="2" max="2" width="15.5703125" bestFit="1" customWidth="1"/>
  </cols>
  <sheetData>
    <row r="1" spans="1:10">
      <c r="A1" s="17" t="s">
        <v>441</v>
      </c>
      <c r="C1" s="19"/>
      <c r="D1" s="19"/>
      <c r="E1" s="19"/>
      <c r="F1" s="48" t="s">
        <v>514</v>
      </c>
      <c r="G1" s="19"/>
      <c r="H1" s="19"/>
      <c r="I1" s="19"/>
      <c r="J1" s="19"/>
    </row>
    <row r="2" spans="1:10">
      <c r="A2" s="17" t="s">
        <v>376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420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2578125" defaultRowHeight="15"/>
  <sheetData>
    <row r="1" spans="1:10">
      <c r="A1" t="s">
        <v>442</v>
      </c>
    </row>
    <row r="2" spans="1:10">
      <c r="A2" t="s">
        <v>13</v>
      </c>
    </row>
    <row r="3" spans="1:10">
      <c r="A3" t="s">
        <v>395</v>
      </c>
    </row>
    <row r="5" spans="1:10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B6" activePane="bottomRight" state="frozen"/>
      <selection activeCell="D17" sqref="D17"/>
      <selection pane="topRight" activeCell="D17" sqref="D17"/>
      <selection pane="bottomLeft" activeCell="D17" sqref="D17"/>
      <selection pane="bottomRight" activeCell="B11" sqref="B11"/>
    </sheetView>
  </sheetViews>
  <sheetFormatPr defaultColWidth="11.42578125" defaultRowHeight="15"/>
  <cols>
    <col min="1" max="2" width="23.42578125" customWidth="1"/>
    <col min="3" max="8" width="17.140625" customWidth="1"/>
    <col min="9" max="21" width="17" customWidth="1"/>
  </cols>
  <sheetData>
    <row r="1" spans="1:20">
      <c r="A1" t="s">
        <v>443</v>
      </c>
    </row>
    <row r="2" spans="1:20">
      <c r="A2" t="s">
        <v>377</v>
      </c>
    </row>
    <row r="3" spans="1:20">
      <c r="A3" t="s">
        <v>412</v>
      </c>
    </row>
    <row r="5" spans="1:20">
      <c r="A5" t="s">
        <v>26</v>
      </c>
      <c r="B5" t="s">
        <v>371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42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48</v>
      </c>
      <c r="O5" t="s">
        <v>49</v>
      </c>
      <c r="P5" t="s">
        <v>50</v>
      </c>
      <c r="Q5" t="s">
        <v>51</v>
      </c>
      <c r="R5" t="s">
        <v>52</v>
      </c>
      <c r="S5" t="s">
        <v>53</v>
      </c>
      <c r="T5" t="s">
        <v>54</v>
      </c>
    </row>
    <row r="6" spans="1:20">
      <c r="A6" s="2" t="s">
        <v>134</v>
      </c>
      <c r="B6" s="2">
        <v>1</v>
      </c>
      <c r="G6">
        <v>1</v>
      </c>
      <c r="S6">
        <v>1</v>
      </c>
    </row>
    <row r="7" spans="1:20">
      <c r="A7" s="2" t="s">
        <v>135</v>
      </c>
      <c r="B7" s="2">
        <v>1</v>
      </c>
      <c r="G7">
        <v>1</v>
      </c>
      <c r="M7">
        <v>1</v>
      </c>
    </row>
    <row r="8" spans="1:20">
      <c r="A8" s="2" t="s">
        <v>129</v>
      </c>
      <c r="B8" s="2">
        <v>1</v>
      </c>
      <c r="F8">
        <v>1</v>
      </c>
      <c r="L8">
        <v>1</v>
      </c>
    </row>
    <row r="9" spans="1:20">
      <c r="A9" s="2" t="s">
        <v>61</v>
      </c>
      <c r="B9" s="2">
        <v>1</v>
      </c>
      <c r="F9">
        <v>1</v>
      </c>
      <c r="L9">
        <v>1</v>
      </c>
    </row>
    <row r="10" spans="1:20">
      <c r="A10" s="2" t="s">
        <v>130</v>
      </c>
      <c r="B10" s="2">
        <v>1</v>
      </c>
      <c r="F10">
        <v>1</v>
      </c>
      <c r="R10">
        <v>1</v>
      </c>
    </row>
    <row r="11" spans="1:20">
      <c r="A11" s="2" t="s">
        <v>131</v>
      </c>
      <c r="B11" s="2">
        <v>1</v>
      </c>
      <c r="F11">
        <v>1</v>
      </c>
      <c r="R11">
        <v>1</v>
      </c>
    </row>
    <row r="12" spans="1:20">
      <c r="A12" s="2" t="s">
        <v>181</v>
      </c>
      <c r="B12" s="2">
        <v>1</v>
      </c>
      <c r="F12">
        <v>1</v>
      </c>
      <c r="L12">
        <v>1</v>
      </c>
    </row>
    <row r="13" spans="1:20">
      <c r="A13" s="2" t="s">
        <v>60</v>
      </c>
      <c r="B13" s="2">
        <v>1</v>
      </c>
      <c r="H13">
        <v>1</v>
      </c>
      <c r="N13">
        <v>1</v>
      </c>
    </row>
    <row r="14" spans="1:20">
      <c r="A14" s="2" t="s">
        <v>59</v>
      </c>
      <c r="B14" s="2">
        <v>1</v>
      </c>
      <c r="H14">
        <v>1</v>
      </c>
      <c r="T14">
        <v>1</v>
      </c>
    </row>
    <row r="15" spans="1:20">
      <c r="A15" s="2" t="s">
        <v>137</v>
      </c>
      <c r="B15" s="2">
        <v>1</v>
      </c>
      <c r="E15">
        <v>1</v>
      </c>
      <c r="K15">
        <v>1</v>
      </c>
    </row>
    <row r="16" spans="1:20">
      <c r="A16" s="2" t="s">
        <v>62</v>
      </c>
      <c r="B16" s="2">
        <v>1</v>
      </c>
      <c r="E16">
        <v>1</v>
      </c>
      <c r="P16" s="3">
        <v>0</v>
      </c>
      <c r="Q16">
        <v>1</v>
      </c>
    </row>
    <row r="17" spans="1:20">
      <c r="A17" s="2" t="s">
        <v>138</v>
      </c>
      <c r="B17" s="2">
        <v>1</v>
      </c>
      <c r="E17">
        <v>1</v>
      </c>
      <c r="J17" s="3"/>
      <c r="K17">
        <v>1</v>
      </c>
    </row>
    <row r="18" spans="1:20">
      <c r="A18" s="2" t="s">
        <v>132</v>
      </c>
      <c r="B18" s="2">
        <v>1</v>
      </c>
      <c r="D18">
        <v>1</v>
      </c>
      <c r="P18">
        <v>1</v>
      </c>
    </row>
    <row r="19" spans="1:20">
      <c r="A19" s="2" t="s">
        <v>133</v>
      </c>
      <c r="B19" s="2">
        <v>1</v>
      </c>
      <c r="D19">
        <v>1</v>
      </c>
      <c r="J19">
        <v>1</v>
      </c>
    </row>
    <row r="20" spans="1:20">
      <c r="A20" s="2" t="s">
        <v>64</v>
      </c>
      <c r="B20" s="2">
        <v>1</v>
      </c>
      <c r="C20">
        <v>1</v>
      </c>
      <c r="I20">
        <v>1</v>
      </c>
    </row>
    <row r="21" spans="1:20">
      <c r="A21" s="2" t="s">
        <v>127</v>
      </c>
      <c r="B21" s="2">
        <v>1</v>
      </c>
      <c r="C21">
        <v>1</v>
      </c>
      <c r="I21">
        <v>1</v>
      </c>
    </row>
    <row r="22" spans="1:20">
      <c r="A22" s="2" t="s">
        <v>63</v>
      </c>
      <c r="B22" s="2">
        <v>1</v>
      </c>
      <c r="C22">
        <v>1</v>
      </c>
      <c r="O22">
        <v>1</v>
      </c>
    </row>
    <row r="23" spans="1:20">
      <c r="A23" s="2" t="s">
        <v>128</v>
      </c>
      <c r="B23" s="2">
        <v>1</v>
      </c>
      <c r="C23">
        <v>1</v>
      </c>
      <c r="O23">
        <v>1</v>
      </c>
    </row>
    <row r="24" spans="1:20">
      <c r="A24" t="s">
        <v>183</v>
      </c>
      <c r="B24" s="2">
        <v>1</v>
      </c>
      <c r="C24">
        <v>1</v>
      </c>
      <c r="D24">
        <v>1</v>
      </c>
      <c r="E24">
        <v>1</v>
      </c>
      <c r="I24">
        <v>1</v>
      </c>
      <c r="J24">
        <v>1</v>
      </c>
      <c r="K24">
        <v>1</v>
      </c>
      <c r="O24">
        <v>1</v>
      </c>
      <c r="P24">
        <v>1</v>
      </c>
      <c r="Q24">
        <v>1</v>
      </c>
    </row>
    <row r="25" spans="1:20">
      <c r="A25" t="s">
        <v>184</v>
      </c>
      <c r="B25" s="2">
        <v>1</v>
      </c>
      <c r="F25">
        <v>1</v>
      </c>
      <c r="G25">
        <v>1</v>
      </c>
      <c r="H25">
        <v>1</v>
      </c>
      <c r="L25">
        <v>1</v>
      </c>
      <c r="M25">
        <v>1</v>
      </c>
      <c r="N25">
        <v>1</v>
      </c>
      <c r="R25">
        <v>1</v>
      </c>
      <c r="S25">
        <v>1</v>
      </c>
      <c r="T25">
        <v>1</v>
      </c>
    </row>
    <row r="26" spans="1:20">
      <c r="A26" s="2" t="s">
        <v>130</v>
      </c>
      <c r="B26" s="2">
        <v>2</v>
      </c>
      <c r="F26">
        <v>1</v>
      </c>
      <c r="L26">
        <v>1</v>
      </c>
    </row>
    <row r="27" spans="1:20">
      <c r="A27" s="2" t="s">
        <v>131</v>
      </c>
      <c r="B27" s="2">
        <v>2</v>
      </c>
      <c r="F27">
        <v>1</v>
      </c>
      <c r="L27">
        <v>1</v>
      </c>
    </row>
    <row r="28" spans="1:20">
      <c r="A28" s="2" t="s">
        <v>63</v>
      </c>
      <c r="B28" s="2">
        <v>2</v>
      </c>
      <c r="C28">
        <v>1</v>
      </c>
      <c r="I28">
        <v>1</v>
      </c>
    </row>
    <row r="29" spans="1:20">
      <c r="A29" s="2" t="s">
        <v>128</v>
      </c>
      <c r="B29" s="2">
        <v>2</v>
      </c>
      <c r="C29">
        <v>1</v>
      </c>
      <c r="I29">
        <v>1</v>
      </c>
    </row>
    <row r="30" spans="1:20">
      <c r="A30" s="2" t="s">
        <v>63</v>
      </c>
      <c r="B30" s="2">
        <v>3</v>
      </c>
      <c r="C30">
        <v>1</v>
      </c>
      <c r="I30">
        <v>1</v>
      </c>
    </row>
    <row r="31" spans="1:20">
      <c r="A31" s="2" t="s">
        <v>128</v>
      </c>
      <c r="B31" s="2">
        <v>3</v>
      </c>
      <c r="C31">
        <v>1</v>
      </c>
      <c r="I31">
        <v>1</v>
      </c>
    </row>
    <row r="32" spans="1:20">
      <c r="A32" s="2" t="s">
        <v>132</v>
      </c>
      <c r="B32" s="2">
        <v>2</v>
      </c>
      <c r="D32">
        <v>1</v>
      </c>
      <c r="J32">
        <v>1</v>
      </c>
    </row>
    <row r="33" spans="1:20">
      <c r="A33" s="2" t="s">
        <v>132</v>
      </c>
      <c r="B33" s="2">
        <v>3</v>
      </c>
      <c r="D33">
        <v>1</v>
      </c>
      <c r="J33">
        <v>1</v>
      </c>
    </row>
    <row r="34" spans="1:20">
      <c r="A34" s="2" t="s">
        <v>62</v>
      </c>
      <c r="B34" s="2">
        <v>2</v>
      </c>
      <c r="E34">
        <v>1</v>
      </c>
      <c r="P34" s="3">
        <v>0</v>
      </c>
      <c r="Q34">
        <v>1</v>
      </c>
    </row>
    <row r="35" spans="1:20">
      <c r="A35" s="2" t="s">
        <v>134</v>
      </c>
      <c r="B35" s="2">
        <v>2</v>
      </c>
      <c r="G35">
        <v>1</v>
      </c>
      <c r="M35">
        <v>1</v>
      </c>
    </row>
    <row r="36" spans="1:20">
      <c r="A36" s="2" t="s">
        <v>134</v>
      </c>
      <c r="B36" s="2">
        <v>3</v>
      </c>
      <c r="G36">
        <v>1</v>
      </c>
      <c r="M36">
        <v>1</v>
      </c>
    </row>
    <row r="37" spans="1:20">
      <c r="A37" s="2" t="s">
        <v>130</v>
      </c>
      <c r="B37" s="2">
        <v>3</v>
      </c>
      <c r="F37">
        <v>1</v>
      </c>
      <c r="L37">
        <v>1</v>
      </c>
    </row>
    <row r="38" spans="1:20">
      <c r="A38" s="2" t="s">
        <v>131</v>
      </c>
      <c r="B38" s="2">
        <v>3</v>
      </c>
      <c r="F38">
        <v>1</v>
      </c>
      <c r="L38">
        <v>1</v>
      </c>
    </row>
    <row r="39" spans="1:20">
      <c r="A39" s="2" t="s">
        <v>59</v>
      </c>
      <c r="B39" s="2">
        <v>2</v>
      </c>
      <c r="H39">
        <v>1</v>
      </c>
      <c r="N39">
        <v>1</v>
      </c>
    </row>
    <row r="40" spans="1:20">
      <c r="A40" s="2" t="s">
        <v>344</v>
      </c>
      <c r="B40" s="2">
        <v>1</v>
      </c>
      <c r="F40">
        <v>1</v>
      </c>
      <c r="L40">
        <v>1</v>
      </c>
      <c r="R40">
        <v>1</v>
      </c>
    </row>
    <row r="41" spans="1:20">
      <c r="A41" s="2" t="s">
        <v>345</v>
      </c>
      <c r="B41" s="2">
        <v>1</v>
      </c>
      <c r="H41">
        <v>1</v>
      </c>
      <c r="N41">
        <v>1</v>
      </c>
      <c r="T41">
        <v>1</v>
      </c>
    </row>
    <row r="42" spans="1:20">
      <c r="A42" s="2" t="s">
        <v>346</v>
      </c>
      <c r="B42" s="2">
        <v>1</v>
      </c>
      <c r="C42">
        <v>1</v>
      </c>
      <c r="I42">
        <v>1</v>
      </c>
      <c r="O42">
        <v>1</v>
      </c>
    </row>
  </sheetData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41"/>
  <sheetViews>
    <sheetView topLeftCell="A4" zoomScale="85" zoomScaleNormal="85" workbookViewId="0">
      <selection activeCell="B28" sqref="B28"/>
    </sheetView>
  </sheetViews>
  <sheetFormatPr defaultColWidth="11.42578125" defaultRowHeight="15"/>
  <sheetData>
    <row r="1" spans="1:9">
      <c r="A1" s="17" t="s">
        <v>444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378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408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  <row r="6" spans="1:9">
      <c r="A6" t="s">
        <v>277</v>
      </c>
      <c r="B6">
        <v>0</v>
      </c>
    </row>
    <row r="7" spans="1:9">
      <c r="A7" t="s">
        <v>278</v>
      </c>
      <c r="B7">
        <v>0</v>
      </c>
    </row>
    <row r="8" spans="1:9">
      <c r="A8" t="s">
        <v>279</v>
      </c>
      <c r="B8">
        <v>0</v>
      </c>
    </row>
    <row r="9" spans="1:9">
      <c r="A9" t="s">
        <v>280</v>
      </c>
      <c r="B9">
        <v>0</v>
      </c>
    </row>
    <row r="10" spans="1:9">
      <c r="A10" t="s">
        <v>281</v>
      </c>
      <c r="B10">
        <v>0</v>
      </c>
    </row>
    <row r="11" spans="1:9">
      <c r="A11" t="s">
        <v>282</v>
      </c>
      <c r="B11">
        <v>0</v>
      </c>
    </row>
    <row r="12" spans="1:9">
      <c r="A12" t="s">
        <v>283</v>
      </c>
      <c r="B12">
        <v>0</v>
      </c>
    </row>
    <row r="13" spans="1:9">
      <c r="A13" t="s">
        <v>509</v>
      </c>
      <c r="B13">
        <v>1200</v>
      </c>
    </row>
    <row r="14" spans="1:9">
      <c r="A14" t="s">
        <v>284</v>
      </c>
      <c r="B14">
        <v>2500</v>
      </c>
    </row>
    <row r="15" spans="1:9">
      <c r="A15" t="s">
        <v>285</v>
      </c>
      <c r="B15">
        <v>3500</v>
      </c>
    </row>
    <row r="16" spans="1:9">
      <c r="A16" t="s">
        <v>286</v>
      </c>
      <c r="B16">
        <v>0</v>
      </c>
    </row>
    <row r="17" spans="1:2">
      <c r="A17" t="s">
        <v>287</v>
      </c>
      <c r="B17">
        <v>0</v>
      </c>
    </row>
    <row r="18" spans="1:2">
      <c r="A18" t="s">
        <v>288</v>
      </c>
      <c r="B18">
        <v>0</v>
      </c>
    </row>
    <row r="19" spans="1:2">
      <c r="A19" t="s">
        <v>289</v>
      </c>
      <c r="B19">
        <v>0</v>
      </c>
    </row>
    <row r="20" spans="1:2">
      <c r="A20" t="s">
        <v>290</v>
      </c>
      <c r="B20">
        <v>0</v>
      </c>
    </row>
    <row r="21" spans="1:2">
      <c r="A21" t="s">
        <v>291</v>
      </c>
      <c r="B21">
        <v>1300</v>
      </c>
    </row>
    <row r="22" spans="1:2">
      <c r="A22" t="s">
        <v>292</v>
      </c>
      <c r="B22">
        <v>0</v>
      </c>
    </row>
    <row r="23" spans="1:2">
      <c r="A23" t="s">
        <v>293</v>
      </c>
      <c r="B23">
        <v>0</v>
      </c>
    </row>
    <row r="24" spans="1:2">
      <c r="A24" t="s">
        <v>294</v>
      </c>
      <c r="B24">
        <v>0</v>
      </c>
    </row>
    <row r="25" spans="1:2">
      <c r="A25" t="s">
        <v>295</v>
      </c>
      <c r="B25">
        <v>0</v>
      </c>
    </row>
    <row r="26" spans="1:2">
      <c r="A26" t="s">
        <v>296</v>
      </c>
      <c r="B26">
        <v>500</v>
      </c>
    </row>
    <row r="27" spans="1:2">
      <c r="A27" t="s">
        <v>297</v>
      </c>
      <c r="B27">
        <v>56800</v>
      </c>
    </row>
    <row r="28" spans="1:2">
      <c r="A28" t="s">
        <v>298</v>
      </c>
      <c r="B28">
        <v>3500</v>
      </c>
    </row>
    <row r="29" spans="1:2">
      <c r="A29" t="s">
        <v>299</v>
      </c>
      <c r="B29">
        <v>0</v>
      </c>
    </row>
    <row r="30" spans="1:2">
      <c r="A30" t="s">
        <v>300</v>
      </c>
      <c r="B30">
        <v>0</v>
      </c>
    </row>
    <row r="31" spans="1:2">
      <c r="A31" t="s">
        <v>301</v>
      </c>
      <c r="B31">
        <v>0</v>
      </c>
    </row>
    <row r="32" spans="1:2">
      <c r="A32" t="s">
        <v>302</v>
      </c>
      <c r="B32">
        <v>0</v>
      </c>
    </row>
    <row r="33" spans="1:2">
      <c r="A33" t="s">
        <v>303</v>
      </c>
      <c r="B33">
        <v>0</v>
      </c>
    </row>
    <row r="34" spans="1:2">
      <c r="A34" t="s">
        <v>304</v>
      </c>
      <c r="B34">
        <v>0</v>
      </c>
    </row>
    <row r="35" spans="1:2">
      <c r="A35" t="s">
        <v>305</v>
      </c>
      <c r="B35">
        <v>0</v>
      </c>
    </row>
    <row r="36" spans="1:2">
      <c r="A36" t="s">
        <v>306</v>
      </c>
      <c r="B36">
        <v>22000</v>
      </c>
    </row>
    <row r="37" spans="1:2">
      <c r="A37" t="s">
        <v>307</v>
      </c>
      <c r="B37">
        <v>0</v>
      </c>
    </row>
    <row r="38" spans="1:2">
      <c r="A38" t="s">
        <v>308</v>
      </c>
      <c r="B38">
        <v>1300</v>
      </c>
    </row>
    <row r="39" spans="1:2">
      <c r="A39" t="s">
        <v>309</v>
      </c>
      <c r="B39">
        <v>0</v>
      </c>
    </row>
    <row r="40" spans="1:2">
      <c r="A40" t="s">
        <v>310</v>
      </c>
      <c r="B40">
        <v>0</v>
      </c>
    </row>
    <row r="41" spans="1:2">
      <c r="A41" t="s">
        <v>311</v>
      </c>
      <c r="B41">
        <v>0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2578125" defaultRowHeight="15"/>
  <cols>
    <col min="1" max="1" width="24.140625" customWidth="1"/>
    <col min="2" max="2" width="24" customWidth="1"/>
    <col min="3" max="3" width="23.42578125" bestFit="1" customWidth="1"/>
    <col min="10" max="10" width="11.85546875" bestFit="1" customWidth="1"/>
  </cols>
  <sheetData>
    <row r="1" spans="1:13">
      <c r="A1" t="s">
        <v>445</v>
      </c>
    </row>
    <row r="2" spans="1:13">
      <c r="A2" t="s">
        <v>379</v>
      </c>
    </row>
    <row r="3" spans="1:13">
      <c r="A3" t="s">
        <v>420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302</v>
      </c>
      <c r="B953" t="s">
        <v>479</v>
      </c>
      <c r="C953" t="s">
        <v>24</v>
      </c>
      <c r="D953">
        <v>0.1</v>
      </c>
    </row>
    <row r="954" spans="1:4">
      <c r="A954" t="s">
        <v>298</v>
      </c>
      <c r="B954" t="s">
        <v>479</v>
      </c>
      <c r="C954" t="s">
        <v>24</v>
      </c>
      <c r="D954">
        <v>18.420000000000002</v>
      </c>
    </row>
    <row r="955" spans="1:4">
      <c r="A955" t="s">
        <v>298</v>
      </c>
      <c r="B955" t="s">
        <v>481</v>
      </c>
      <c r="C955" t="s">
        <v>24</v>
      </c>
      <c r="D955">
        <v>2.96</v>
      </c>
    </row>
    <row r="956" spans="1:4">
      <c r="A956" t="s">
        <v>281</v>
      </c>
      <c r="B956" t="s">
        <v>479</v>
      </c>
      <c r="C956" t="s">
        <v>24</v>
      </c>
      <c r="D956">
        <v>2.1920000000000002</v>
      </c>
    </row>
    <row r="963" spans="9:11">
      <c r="I963" s="40" t="s">
        <v>281</v>
      </c>
      <c r="J963" t="s">
        <v>479</v>
      </c>
      <c r="K963">
        <v>0.10199999999999999</v>
      </c>
    </row>
    <row r="964" spans="9:11">
      <c r="I964" s="40" t="s">
        <v>309</v>
      </c>
      <c r="J964" t="s">
        <v>479</v>
      </c>
      <c r="K964">
        <v>1.024</v>
      </c>
    </row>
    <row r="965" spans="9:11">
      <c r="I965" s="41" t="s">
        <v>298</v>
      </c>
      <c r="J965" t="s">
        <v>479</v>
      </c>
      <c r="K965">
        <v>0.74129999999999996</v>
      </c>
    </row>
    <row r="966" spans="9:11">
      <c r="I966" s="40" t="s">
        <v>302</v>
      </c>
      <c r="J966" t="s">
        <v>479</v>
      </c>
      <c r="K966">
        <v>1.488</v>
      </c>
    </row>
    <row r="967" spans="9:11">
      <c r="I967" s="42" t="s">
        <v>354</v>
      </c>
      <c r="J967" t="s">
        <v>479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2578125" defaultRowHeight="15"/>
  <cols>
    <col min="1" max="1" width="20.85546875" style="17" customWidth="1"/>
    <col min="2" max="2" width="23.42578125" bestFit="1" customWidth="1"/>
  </cols>
  <sheetData>
    <row r="1" spans="1:10">
      <c r="A1" s="17" t="s">
        <v>446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380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420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U495"/>
  <sheetViews>
    <sheetView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G33" sqref="G33"/>
    </sheetView>
  </sheetViews>
  <sheetFormatPr defaultColWidth="9.140625" defaultRowHeight="15"/>
  <cols>
    <col min="1" max="1" width="12" customWidth="1"/>
    <col min="2" max="2" width="18.42578125" bestFit="1" customWidth="1"/>
    <col min="3" max="3" width="12" customWidth="1"/>
    <col min="4" max="8" width="15.42578125" customWidth="1"/>
    <col min="9" max="9" width="12.85546875" bestFit="1" customWidth="1"/>
    <col min="10" max="10" width="19" bestFit="1" customWidth="1"/>
    <col min="11" max="11" width="17.5703125" bestFit="1" customWidth="1"/>
    <col min="12" max="12" width="16.85546875" bestFit="1" customWidth="1"/>
    <col min="13" max="13" width="17.42578125" bestFit="1" customWidth="1"/>
    <col min="14" max="14" width="15.85546875" bestFit="1" customWidth="1"/>
    <col min="15" max="15" width="16.140625" bestFit="1" customWidth="1"/>
    <col min="16" max="16" width="22.42578125" bestFit="1" customWidth="1"/>
    <col min="17" max="17" width="20.85546875" bestFit="1" customWidth="1"/>
    <col min="18" max="18" width="20" bestFit="1" customWidth="1"/>
    <col min="19" max="19" width="20.42578125" bestFit="1" customWidth="1"/>
    <col min="20" max="20" width="19.140625" bestFit="1" customWidth="1"/>
    <col min="21" max="21" width="19.42578125" bestFit="1" customWidth="1"/>
  </cols>
  <sheetData>
    <row r="1" spans="1:21">
      <c r="A1" t="s">
        <v>447</v>
      </c>
    </row>
    <row r="2" spans="1:21">
      <c r="A2" t="s">
        <v>381</v>
      </c>
    </row>
    <row r="3" spans="1:21">
      <c r="A3" s="15" t="s">
        <v>413</v>
      </c>
      <c r="B3" s="3"/>
      <c r="C3" s="3"/>
      <c r="D3" s="3"/>
      <c r="E3" s="3"/>
      <c r="F3" s="3"/>
      <c r="G3" s="3"/>
      <c r="H3" s="3"/>
      <c r="I3" s="3"/>
    </row>
    <row r="4" spans="1:21">
      <c r="A4" s="2"/>
      <c r="B4" s="2"/>
      <c r="C4" s="2"/>
      <c r="D4" s="2"/>
      <c r="E4" s="2"/>
      <c r="F4" s="2"/>
      <c r="G4" s="2"/>
      <c r="H4" s="2"/>
      <c r="I4" s="2"/>
    </row>
    <row r="5" spans="1:21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t="s">
        <v>40</v>
      </c>
      <c r="H5" t="s">
        <v>41</v>
      </c>
      <c r="I5" t="s">
        <v>42</v>
      </c>
      <c r="J5" t="s">
        <v>43</v>
      </c>
      <c r="K5" t="s">
        <v>44</v>
      </c>
      <c r="L5" t="s">
        <v>45</v>
      </c>
      <c r="M5" t="s">
        <v>46</v>
      </c>
      <c r="N5" t="s">
        <v>47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53</v>
      </c>
      <c r="U5" t="s">
        <v>54</v>
      </c>
    </row>
    <row r="6" spans="1:21">
      <c r="A6" t="s">
        <v>278</v>
      </c>
      <c r="B6" t="s">
        <v>150</v>
      </c>
      <c r="C6">
        <v>2018</v>
      </c>
      <c r="D6">
        <v>0</v>
      </c>
      <c r="E6">
        <v>0</v>
      </c>
      <c r="F6">
        <v>0</v>
      </c>
      <c r="G6">
        <v>0.66</v>
      </c>
      <c r="H6" s="50">
        <v>0</v>
      </c>
      <c r="I6">
        <v>0.02</v>
      </c>
      <c r="J6">
        <v>0</v>
      </c>
      <c r="K6">
        <v>0</v>
      </c>
      <c r="L6">
        <v>0</v>
      </c>
      <c r="M6">
        <v>0</v>
      </c>
      <c r="N6" s="50">
        <v>0</v>
      </c>
      <c r="O6">
        <v>0</v>
      </c>
      <c r="P6">
        <v>0</v>
      </c>
      <c r="Q6">
        <v>0</v>
      </c>
      <c r="R6">
        <v>0</v>
      </c>
      <c r="S6">
        <v>0.64</v>
      </c>
      <c r="T6">
        <v>0.09</v>
      </c>
      <c r="U6">
        <v>0.02</v>
      </c>
    </row>
    <row r="7" spans="1:21">
      <c r="A7" t="s">
        <v>278</v>
      </c>
      <c r="B7" t="s">
        <v>150</v>
      </c>
      <c r="C7">
        <v>2020</v>
      </c>
      <c r="D7">
        <v>0</v>
      </c>
      <c r="E7">
        <v>0</v>
      </c>
      <c r="F7">
        <v>0</v>
      </c>
      <c r="G7">
        <v>0.65</v>
      </c>
      <c r="H7" s="50">
        <v>0</v>
      </c>
      <c r="I7">
        <v>0.02</v>
      </c>
      <c r="J7">
        <v>0</v>
      </c>
      <c r="K7">
        <v>0</v>
      </c>
      <c r="L7">
        <v>0</v>
      </c>
      <c r="M7">
        <v>0</v>
      </c>
      <c r="N7" s="50">
        <v>0</v>
      </c>
      <c r="O7">
        <v>0</v>
      </c>
      <c r="P7">
        <v>0</v>
      </c>
      <c r="Q7">
        <v>0</v>
      </c>
      <c r="R7">
        <v>0</v>
      </c>
      <c r="S7">
        <v>0.61</v>
      </c>
      <c r="T7">
        <v>7.0000000000000007E-2</v>
      </c>
      <c r="U7">
        <v>0.02</v>
      </c>
    </row>
    <row r="8" spans="1:21">
      <c r="A8" t="s">
        <v>278</v>
      </c>
      <c r="B8" t="s">
        <v>150</v>
      </c>
      <c r="C8">
        <v>2025</v>
      </c>
      <c r="D8">
        <v>0</v>
      </c>
      <c r="E8">
        <v>0</v>
      </c>
      <c r="F8">
        <v>0</v>
      </c>
      <c r="G8">
        <v>0.64</v>
      </c>
      <c r="H8" s="50">
        <v>0</v>
      </c>
      <c r="I8">
        <v>0.02</v>
      </c>
      <c r="J8">
        <v>0</v>
      </c>
      <c r="K8">
        <v>0</v>
      </c>
      <c r="L8">
        <v>0</v>
      </c>
      <c r="M8">
        <v>0</v>
      </c>
      <c r="N8" s="50">
        <v>0</v>
      </c>
      <c r="O8">
        <v>0</v>
      </c>
      <c r="P8">
        <v>0</v>
      </c>
      <c r="Q8">
        <v>0</v>
      </c>
      <c r="R8">
        <v>0</v>
      </c>
      <c r="S8">
        <v>0.48</v>
      </c>
      <c r="T8">
        <v>0</v>
      </c>
      <c r="U8">
        <v>0.01</v>
      </c>
    </row>
    <row r="9" spans="1:21">
      <c r="A9" t="s">
        <v>278</v>
      </c>
      <c r="B9" t="s">
        <v>150</v>
      </c>
      <c r="C9">
        <v>2030</v>
      </c>
      <c r="D9">
        <v>0</v>
      </c>
      <c r="E9">
        <v>0</v>
      </c>
      <c r="F9">
        <v>0</v>
      </c>
      <c r="G9">
        <v>0.61</v>
      </c>
      <c r="H9" s="50">
        <v>0</v>
      </c>
      <c r="I9">
        <v>0.01</v>
      </c>
      <c r="J9">
        <v>0</v>
      </c>
      <c r="K9">
        <v>0</v>
      </c>
      <c r="L9">
        <v>0</v>
      </c>
      <c r="M9">
        <v>0</v>
      </c>
      <c r="N9" s="50">
        <v>0</v>
      </c>
      <c r="O9">
        <v>0</v>
      </c>
      <c r="P9">
        <v>0</v>
      </c>
      <c r="Q9">
        <v>0</v>
      </c>
      <c r="R9">
        <v>0</v>
      </c>
      <c r="S9">
        <v>0.3</v>
      </c>
      <c r="T9">
        <v>0</v>
      </c>
      <c r="U9">
        <v>0</v>
      </c>
    </row>
    <row r="10" spans="1:21">
      <c r="A10" t="s">
        <v>278</v>
      </c>
      <c r="B10" t="s">
        <v>150</v>
      </c>
      <c r="C10">
        <v>2035</v>
      </c>
      <c r="D10">
        <v>0</v>
      </c>
      <c r="E10">
        <v>0</v>
      </c>
      <c r="F10">
        <v>0</v>
      </c>
      <c r="G10">
        <v>0.6</v>
      </c>
      <c r="H10" s="50">
        <v>0</v>
      </c>
      <c r="I10">
        <v>0.01</v>
      </c>
      <c r="J10">
        <v>0</v>
      </c>
      <c r="K10">
        <v>0</v>
      </c>
      <c r="L10">
        <v>0</v>
      </c>
      <c r="M10">
        <v>0</v>
      </c>
      <c r="N10" s="50">
        <v>0</v>
      </c>
      <c r="O10">
        <v>0</v>
      </c>
      <c r="P10">
        <v>0</v>
      </c>
      <c r="Q10">
        <v>0</v>
      </c>
      <c r="R10">
        <v>0</v>
      </c>
      <c r="S10">
        <v>0.03</v>
      </c>
      <c r="T10">
        <v>0</v>
      </c>
      <c r="U10">
        <v>0</v>
      </c>
    </row>
    <row r="11" spans="1:21">
      <c r="A11" t="s">
        <v>278</v>
      </c>
      <c r="B11" t="s">
        <v>150</v>
      </c>
      <c r="C11">
        <v>2040</v>
      </c>
      <c r="D11">
        <v>0</v>
      </c>
      <c r="E11">
        <v>0</v>
      </c>
      <c r="F11">
        <v>0</v>
      </c>
      <c r="G11">
        <v>0.56999999999999995</v>
      </c>
      <c r="H11" s="50">
        <v>0</v>
      </c>
      <c r="I11">
        <v>0.01</v>
      </c>
      <c r="J11">
        <v>0</v>
      </c>
      <c r="K11">
        <v>0</v>
      </c>
      <c r="L11">
        <v>0</v>
      </c>
      <c r="M11">
        <v>0</v>
      </c>
      <c r="N11" s="50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 t="s">
        <v>278</v>
      </c>
      <c r="B12" t="s">
        <v>150</v>
      </c>
      <c r="C12">
        <v>2045</v>
      </c>
      <c r="D12">
        <v>0</v>
      </c>
      <c r="E12">
        <v>0</v>
      </c>
      <c r="F12">
        <v>0</v>
      </c>
      <c r="G12">
        <v>0.55000000000000004</v>
      </c>
      <c r="H12" s="50">
        <v>0</v>
      </c>
      <c r="I12">
        <v>0.01</v>
      </c>
      <c r="J12">
        <v>0</v>
      </c>
      <c r="K12">
        <v>0</v>
      </c>
      <c r="L12">
        <v>0</v>
      </c>
      <c r="M12">
        <v>0</v>
      </c>
      <c r="N12" s="50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>
      <c r="A13" t="s">
        <v>278</v>
      </c>
      <c r="B13" t="s">
        <v>150</v>
      </c>
      <c r="C13">
        <v>2050</v>
      </c>
      <c r="D13">
        <v>0</v>
      </c>
      <c r="E13">
        <v>0</v>
      </c>
      <c r="F13">
        <v>0</v>
      </c>
      <c r="G13">
        <v>0.53</v>
      </c>
      <c r="H13" s="50">
        <v>0</v>
      </c>
      <c r="I13">
        <v>0.01</v>
      </c>
      <c r="J13">
        <v>0</v>
      </c>
      <c r="K13">
        <v>0</v>
      </c>
      <c r="L13">
        <v>0</v>
      </c>
      <c r="M13">
        <v>0</v>
      </c>
      <c r="N13" s="50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27" spans="11:11">
      <c r="K27">
        <f ca="1">K27</f>
        <v>0</v>
      </c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13" spans="1:1">
      <c r="A413" s="37"/>
    </row>
    <row r="414" spans="1:1">
      <c r="A414" s="37"/>
    </row>
    <row r="415" spans="1:1">
      <c r="A415" s="37"/>
    </row>
    <row r="416" spans="1:1">
      <c r="A416" s="37"/>
    </row>
    <row r="417" spans="1:1">
      <c r="A417" s="37"/>
    </row>
    <row r="418" spans="1:1">
      <c r="A418" s="37"/>
    </row>
    <row r="419" spans="1:1">
      <c r="A419" s="37"/>
    </row>
    <row r="420" spans="1:1">
      <c r="A420" s="37"/>
    </row>
    <row r="421" spans="1:1">
      <c r="A421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61" spans="1:1">
      <c r="A461" s="37"/>
    </row>
    <row r="462" spans="1:1">
      <c r="A462" s="37"/>
    </row>
    <row r="463" spans="1:1">
      <c r="A463" s="37"/>
    </row>
    <row r="464" spans="1:1">
      <c r="A464" s="37"/>
    </row>
    <row r="465" spans="1:1">
      <c r="A465" s="37"/>
    </row>
    <row r="466" spans="1:1">
      <c r="A466" s="37"/>
    </row>
    <row r="467" spans="1:1">
      <c r="A467" s="37"/>
    </row>
    <row r="468" spans="1:1">
      <c r="A468" s="37"/>
    </row>
    <row r="469" spans="1:1">
      <c r="A469" s="37"/>
    </row>
    <row r="486" spans="1:1">
      <c r="A486" s="37"/>
    </row>
    <row r="487" spans="1:1">
      <c r="A487" s="37"/>
    </row>
    <row r="488" spans="1:1">
      <c r="A488" s="37"/>
    </row>
    <row r="489" spans="1:1">
      <c r="A489" s="37"/>
    </row>
    <row r="490" spans="1:1">
      <c r="A490" s="37"/>
    </row>
    <row r="491" spans="1:1">
      <c r="A491" s="37"/>
    </row>
    <row r="492" spans="1:1">
      <c r="A492" s="37"/>
    </row>
    <row r="493" spans="1:1">
      <c r="A493" s="37"/>
    </row>
    <row r="494" spans="1:1">
      <c r="A494" s="37"/>
    </row>
    <row r="495" spans="1:1">
      <c r="A495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topLeftCell="A31" zoomScaleNormal="100" workbookViewId="0">
      <selection activeCell="R50" sqref="A1:XFD1048576"/>
    </sheetView>
  </sheetViews>
  <sheetFormatPr defaultColWidth="9.140625" defaultRowHeight="15"/>
  <cols>
    <col min="1" max="1" width="9.140625" style="4"/>
    <col min="2" max="2" width="15.42578125" style="4" bestFit="1" customWidth="1"/>
    <col min="3" max="3" width="13.42578125" style="4" bestFit="1" customWidth="1"/>
    <col min="4" max="5" width="9.140625" style="4"/>
    <col min="6" max="7" width="13.42578125" style="4" bestFit="1" customWidth="1"/>
    <col min="8" max="8" width="14.140625" style="4" bestFit="1" customWidth="1"/>
    <col min="9" max="16384" width="9.140625" style="4"/>
  </cols>
  <sheetData>
    <row r="1" spans="1:12">
      <c r="A1" s="4" t="s">
        <v>448</v>
      </c>
    </row>
    <row r="2" spans="1:12">
      <c r="A2" s="4" t="s">
        <v>383</v>
      </c>
    </row>
    <row r="3" spans="1:12">
      <c r="A3" s="4" t="s">
        <v>413</v>
      </c>
    </row>
    <row r="5" spans="1:12">
      <c r="A5" s="4" t="s">
        <v>27</v>
      </c>
      <c r="B5" s="4" t="s">
        <v>65</v>
      </c>
      <c r="C5" s="4" t="s">
        <v>26</v>
      </c>
      <c r="D5" t="s">
        <v>147</v>
      </c>
      <c r="E5" t="s">
        <v>154</v>
      </c>
      <c r="F5" t="s">
        <v>155</v>
      </c>
      <c r="G5" t="s">
        <v>148</v>
      </c>
      <c r="H5" t="s">
        <v>149</v>
      </c>
      <c r="I5" t="s">
        <v>251</v>
      </c>
      <c r="J5" t="s">
        <v>253</v>
      </c>
      <c r="K5" t="s">
        <v>197</v>
      </c>
      <c r="L5"/>
    </row>
    <row r="6" spans="1:12">
      <c r="A6">
        <v>2018</v>
      </c>
      <c r="B6">
        <v>1</v>
      </c>
      <c r="C6" t="s">
        <v>140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2020</v>
      </c>
      <c r="B7">
        <v>1</v>
      </c>
      <c r="C7" t="s">
        <v>140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140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140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140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140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140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140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141</v>
      </c>
      <c r="D14"/>
      <c r="E14"/>
      <c r="F14"/>
      <c r="G14"/>
      <c r="H14" s="4">
        <v>0.86599999999999999</v>
      </c>
      <c r="I14"/>
      <c r="J14"/>
    </row>
    <row r="15" spans="1:12">
      <c r="A15">
        <v>2020</v>
      </c>
      <c r="B15">
        <v>1</v>
      </c>
      <c r="C15" t="s">
        <v>141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141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141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141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141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141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141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152</v>
      </c>
      <c r="D22"/>
      <c r="E22" s="4">
        <v>0.99</v>
      </c>
      <c r="F22"/>
      <c r="G22"/>
      <c r="H22"/>
      <c r="I22"/>
      <c r="J22"/>
    </row>
    <row r="23" spans="1:10">
      <c r="A23">
        <v>2020</v>
      </c>
      <c r="B23">
        <v>1</v>
      </c>
      <c r="C23" t="s">
        <v>152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152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152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152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152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152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152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153</v>
      </c>
      <c r="D30"/>
      <c r="E30"/>
      <c r="F30" s="4">
        <v>0.99</v>
      </c>
      <c r="G30"/>
      <c r="H30"/>
      <c r="I30"/>
      <c r="J30"/>
    </row>
    <row r="31" spans="1:10">
      <c r="A31">
        <v>2020</v>
      </c>
      <c r="B31">
        <v>1</v>
      </c>
      <c r="C31" t="s">
        <v>153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153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153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153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153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153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153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250</v>
      </c>
      <c r="D38"/>
      <c r="E38"/>
      <c r="F38"/>
      <c r="G38"/>
      <c r="H38"/>
      <c r="I38">
        <v>1</v>
      </c>
      <c r="J38"/>
    </row>
    <row r="39" spans="1:10">
      <c r="A39">
        <v>2020</v>
      </c>
      <c r="B39">
        <v>1</v>
      </c>
      <c r="C39" t="s">
        <v>250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250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250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250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250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250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250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252</v>
      </c>
      <c r="D46"/>
      <c r="E46"/>
      <c r="F46"/>
      <c r="G46"/>
      <c r="H46"/>
      <c r="I46"/>
      <c r="J46">
        <v>1</v>
      </c>
    </row>
    <row r="47" spans="1:10">
      <c r="A47">
        <v>2020</v>
      </c>
      <c r="B47">
        <v>1</v>
      </c>
      <c r="C47" t="s">
        <v>252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252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252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252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252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252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252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139</v>
      </c>
      <c r="D54" s="4">
        <v>0.89</v>
      </c>
      <c r="E54"/>
      <c r="F54"/>
      <c r="G54"/>
      <c r="H54"/>
      <c r="I54"/>
      <c r="J54"/>
    </row>
    <row r="55" spans="1:10">
      <c r="A55">
        <v>2020</v>
      </c>
      <c r="B55">
        <v>1</v>
      </c>
      <c r="C55" t="s">
        <v>139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139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139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139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139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139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139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142</v>
      </c>
      <c r="D62" s="4">
        <v>0.89</v>
      </c>
    </row>
    <row r="63" spans="1:10">
      <c r="A63">
        <v>2020</v>
      </c>
      <c r="B63">
        <v>1</v>
      </c>
      <c r="C63" t="s">
        <v>142</v>
      </c>
      <c r="D63" s="4">
        <v>0.89</v>
      </c>
    </row>
    <row r="64" spans="1:10">
      <c r="A64">
        <v>2025</v>
      </c>
      <c r="B64">
        <v>1</v>
      </c>
      <c r="C64" t="s">
        <v>142</v>
      </c>
      <c r="D64" s="4">
        <v>0.89</v>
      </c>
    </row>
    <row r="65" spans="1:11">
      <c r="A65">
        <v>2030</v>
      </c>
      <c r="B65">
        <v>1</v>
      </c>
      <c r="C65" t="s">
        <v>142</v>
      </c>
      <c r="D65" s="4">
        <v>0.89</v>
      </c>
    </row>
    <row r="66" spans="1:11">
      <c r="A66">
        <v>2035</v>
      </c>
      <c r="B66">
        <v>1</v>
      </c>
      <c r="C66" t="s">
        <v>142</v>
      </c>
      <c r="D66" s="4">
        <v>0.89</v>
      </c>
    </row>
    <row r="67" spans="1:11">
      <c r="A67">
        <v>2040</v>
      </c>
      <c r="B67">
        <v>1</v>
      </c>
      <c r="C67" t="s">
        <v>142</v>
      </c>
      <c r="D67" s="4">
        <v>0.89</v>
      </c>
    </row>
    <row r="68" spans="1:11">
      <c r="A68">
        <v>2045</v>
      </c>
      <c r="B68">
        <v>1</v>
      </c>
      <c r="C68" t="s">
        <v>142</v>
      </c>
      <c r="D68" s="4">
        <v>0.89</v>
      </c>
    </row>
    <row r="69" spans="1:11">
      <c r="A69">
        <v>2050</v>
      </c>
      <c r="B69">
        <v>1</v>
      </c>
      <c r="C69" t="s">
        <v>142</v>
      </c>
      <c r="D69" s="4">
        <v>0.89</v>
      </c>
    </row>
    <row r="70" spans="1:11">
      <c r="A70">
        <v>2018</v>
      </c>
      <c r="B70">
        <v>1</v>
      </c>
      <c r="C70" t="s">
        <v>196</v>
      </c>
      <c r="K70" s="4">
        <v>0.73499999999999999</v>
      </c>
    </row>
    <row r="71" spans="1:11">
      <c r="A71">
        <v>2020</v>
      </c>
      <c r="B71">
        <v>1</v>
      </c>
      <c r="C71" t="s">
        <v>196</v>
      </c>
      <c r="K71" s="4">
        <v>0.73499999999999999</v>
      </c>
    </row>
    <row r="72" spans="1:11">
      <c r="A72">
        <v>2025</v>
      </c>
      <c r="B72">
        <v>1</v>
      </c>
      <c r="C72" t="s">
        <v>196</v>
      </c>
      <c r="K72" s="4">
        <v>0.83699999999999997</v>
      </c>
    </row>
    <row r="73" spans="1:11">
      <c r="A73">
        <v>2030</v>
      </c>
      <c r="B73">
        <v>1</v>
      </c>
      <c r="C73" t="s">
        <v>196</v>
      </c>
      <c r="K73" s="4">
        <v>0.83699999999999997</v>
      </c>
    </row>
    <row r="74" spans="1:11">
      <c r="A74">
        <v>2035</v>
      </c>
      <c r="B74">
        <v>1</v>
      </c>
      <c r="C74" t="s">
        <v>196</v>
      </c>
      <c r="K74" s="4">
        <v>0.83699999999999997</v>
      </c>
    </row>
    <row r="75" spans="1:11">
      <c r="A75">
        <v>2040</v>
      </c>
      <c r="B75">
        <v>1</v>
      </c>
      <c r="C75" t="s">
        <v>196</v>
      </c>
      <c r="K75" s="4">
        <v>0.83699999999999997</v>
      </c>
    </row>
    <row r="76" spans="1:11">
      <c r="A76">
        <v>2045</v>
      </c>
      <c r="B76">
        <v>1</v>
      </c>
      <c r="C76" t="s">
        <v>196</v>
      </c>
      <c r="K76" s="4">
        <v>0.83699999999999997</v>
      </c>
    </row>
    <row r="77" spans="1:11">
      <c r="A77">
        <v>2050</v>
      </c>
      <c r="B77">
        <v>1</v>
      </c>
      <c r="C77" t="s">
        <v>196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40625" defaultRowHeight="15"/>
  <cols>
    <col min="1" max="16384" width="9.140625" style="4"/>
  </cols>
  <sheetData>
    <row r="1" spans="1:11">
      <c r="A1" s="4" t="s">
        <v>449</v>
      </c>
    </row>
    <row r="2" spans="1:11">
      <c r="A2" s="4" t="s">
        <v>382</v>
      </c>
    </row>
    <row r="3" spans="1:11">
      <c r="A3" s="4" t="s">
        <v>413</v>
      </c>
    </row>
    <row r="5" spans="1:11">
      <c r="A5" s="4" t="s">
        <v>27</v>
      </c>
      <c r="B5" s="4" t="s">
        <v>65</v>
      </c>
      <c r="C5" s="4" t="s">
        <v>26</v>
      </c>
      <c r="D5" t="s">
        <v>147</v>
      </c>
      <c r="E5" t="s">
        <v>154</v>
      </c>
      <c r="F5" t="s">
        <v>155</v>
      </c>
      <c r="G5" t="s">
        <v>148</v>
      </c>
      <c r="H5" t="s">
        <v>149</v>
      </c>
      <c r="I5" t="s">
        <v>251</v>
      </c>
      <c r="J5" t="s">
        <v>253</v>
      </c>
      <c r="K5" s="4" t="s">
        <v>197</v>
      </c>
    </row>
    <row r="6" spans="1:11">
      <c r="A6">
        <v>2018</v>
      </c>
      <c r="B6">
        <v>2</v>
      </c>
      <c r="C6" t="s">
        <v>140</v>
      </c>
      <c r="D6"/>
      <c r="E6"/>
      <c r="F6"/>
      <c r="G6" s="4">
        <v>0.92500000000000004</v>
      </c>
      <c r="H6"/>
      <c r="I6"/>
      <c r="J6"/>
    </row>
    <row r="7" spans="1:11">
      <c r="A7">
        <v>2020</v>
      </c>
      <c r="B7">
        <v>2</v>
      </c>
      <c r="C7" t="s">
        <v>140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140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140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140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140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140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140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141</v>
      </c>
      <c r="D14"/>
      <c r="E14"/>
      <c r="F14"/>
      <c r="G14"/>
      <c r="H14" s="4">
        <v>0.86599999999999999</v>
      </c>
      <c r="I14"/>
      <c r="J14"/>
    </row>
    <row r="15" spans="1:11">
      <c r="A15">
        <v>2020</v>
      </c>
      <c r="B15">
        <v>2</v>
      </c>
      <c r="C15" t="s">
        <v>141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141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141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141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141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141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141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152</v>
      </c>
      <c r="D22"/>
      <c r="E22" s="4">
        <v>0.99</v>
      </c>
      <c r="F22"/>
      <c r="G22"/>
      <c r="H22"/>
      <c r="I22"/>
      <c r="J22"/>
    </row>
    <row r="23" spans="1:10">
      <c r="A23">
        <v>2020</v>
      </c>
      <c r="B23">
        <v>2</v>
      </c>
      <c r="C23" t="s">
        <v>152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152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152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152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152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152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152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153</v>
      </c>
      <c r="D30"/>
      <c r="E30"/>
      <c r="F30" s="4">
        <v>0.99</v>
      </c>
      <c r="G30"/>
      <c r="H30"/>
      <c r="I30"/>
      <c r="J30"/>
    </row>
    <row r="31" spans="1:10">
      <c r="A31">
        <v>2020</v>
      </c>
      <c r="B31">
        <v>2</v>
      </c>
      <c r="C31" t="s">
        <v>153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153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153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153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153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153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153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250</v>
      </c>
      <c r="D38"/>
      <c r="E38"/>
      <c r="F38"/>
      <c r="G38"/>
      <c r="H38"/>
      <c r="I38">
        <v>1</v>
      </c>
      <c r="J38"/>
    </row>
    <row r="39" spans="1:10">
      <c r="A39">
        <v>2020</v>
      </c>
      <c r="B39">
        <v>2</v>
      </c>
      <c r="C39" t="s">
        <v>250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250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250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250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250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250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250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252</v>
      </c>
      <c r="D46"/>
      <c r="E46"/>
      <c r="F46"/>
      <c r="G46"/>
      <c r="H46"/>
      <c r="I46"/>
      <c r="J46">
        <v>1</v>
      </c>
    </row>
    <row r="47" spans="1:10">
      <c r="A47">
        <v>2020</v>
      </c>
      <c r="B47">
        <v>2</v>
      </c>
      <c r="C47" t="s">
        <v>252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252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252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252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252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252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252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139</v>
      </c>
      <c r="D54" s="4">
        <v>0.89</v>
      </c>
      <c r="E54"/>
      <c r="F54"/>
      <c r="G54"/>
      <c r="H54"/>
      <c r="I54"/>
      <c r="J54"/>
    </row>
    <row r="55" spans="1:10">
      <c r="A55">
        <v>2020</v>
      </c>
      <c r="B55">
        <v>2</v>
      </c>
      <c r="C55" t="s">
        <v>139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139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139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139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139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139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139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142</v>
      </c>
      <c r="D62" s="4">
        <v>0.89</v>
      </c>
    </row>
    <row r="63" spans="1:10">
      <c r="A63">
        <v>2020</v>
      </c>
      <c r="B63">
        <v>2</v>
      </c>
      <c r="C63" t="s">
        <v>142</v>
      </c>
      <c r="D63" s="4">
        <v>0.89</v>
      </c>
    </row>
    <row r="64" spans="1:10">
      <c r="A64">
        <v>2025</v>
      </c>
      <c r="B64">
        <v>2</v>
      </c>
      <c r="C64" t="s">
        <v>142</v>
      </c>
      <c r="D64" s="4">
        <v>0.89</v>
      </c>
    </row>
    <row r="65" spans="1:11">
      <c r="A65">
        <v>2030</v>
      </c>
      <c r="B65">
        <v>2</v>
      </c>
      <c r="C65" t="s">
        <v>142</v>
      </c>
      <c r="D65" s="4">
        <v>0.89</v>
      </c>
    </row>
    <row r="66" spans="1:11">
      <c r="A66">
        <v>2035</v>
      </c>
      <c r="B66">
        <v>2</v>
      </c>
      <c r="C66" t="s">
        <v>142</v>
      </c>
      <c r="D66" s="4">
        <v>0.89</v>
      </c>
    </row>
    <row r="67" spans="1:11">
      <c r="A67">
        <v>2040</v>
      </c>
      <c r="B67">
        <v>2</v>
      </c>
      <c r="C67" t="s">
        <v>142</v>
      </c>
      <c r="D67" s="4">
        <v>0.89</v>
      </c>
    </row>
    <row r="68" spans="1:11">
      <c r="A68">
        <v>2045</v>
      </c>
      <c r="B68">
        <v>2</v>
      </c>
      <c r="C68" t="s">
        <v>142</v>
      </c>
      <c r="D68" s="4">
        <v>0.89</v>
      </c>
    </row>
    <row r="69" spans="1:11">
      <c r="A69">
        <v>2050</v>
      </c>
      <c r="B69">
        <v>2</v>
      </c>
      <c r="C69" t="s">
        <v>142</v>
      </c>
      <c r="D69" s="4">
        <v>0.89</v>
      </c>
    </row>
    <row r="70" spans="1:11">
      <c r="A70">
        <v>2018</v>
      </c>
      <c r="B70">
        <v>2</v>
      </c>
      <c r="C70" t="s">
        <v>196</v>
      </c>
      <c r="K70" s="4">
        <v>0.73499999999999999</v>
      </c>
    </row>
    <row r="71" spans="1:11">
      <c r="A71">
        <v>2020</v>
      </c>
      <c r="B71">
        <v>2</v>
      </c>
      <c r="C71" t="s">
        <v>196</v>
      </c>
      <c r="K71" s="4">
        <v>0.73499999999999999</v>
      </c>
    </row>
    <row r="72" spans="1:11">
      <c r="A72">
        <v>2025</v>
      </c>
      <c r="B72">
        <v>2</v>
      </c>
      <c r="C72" t="s">
        <v>196</v>
      </c>
      <c r="K72" s="4">
        <v>0.83699999999999997</v>
      </c>
    </row>
    <row r="73" spans="1:11">
      <c r="A73">
        <v>2030</v>
      </c>
      <c r="B73">
        <v>2</v>
      </c>
      <c r="C73" t="s">
        <v>196</v>
      </c>
      <c r="K73" s="4">
        <v>0.83699999999999997</v>
      </c>
    </row>
    <row r="74" spans="1:11">
      <c r="A74">
        <v>2035</v>
      </c>
      <c r="B74">
        <v>2</v>
      </c>
      <c r="C74" t="s">
        <v>196</v>
      </c>
      <c r="K74" s="4">
        <v>0.83699999999999997</v>
      </c>
    </row>
    <row r="75" spans="1:11">
      <c r="A75">
        <v>2040</v>
      </c>
      <c r="B75">
        <v>2</v>
      </c>
      <c r="C75" t="s">
        <v>196</v>
      </c>
      <c r="K75" s="4">
        <v>0.83699999999999997</v>
      </c>
    </row>
    <row r="76" spans="1:11">
      <c r="A76">
        <v>2045</v>
      </c>
      <c r="B76">
        <v>2</v>
      </c>
      <c r="C76" t="s">
        <v>196</v>
      </c>
      <c r="K76" s="4">
        <v>0.83699999999999997</v>
      </c>
    </row>
    <row r="77" spans="1:11">
      <c r="A77">
        <v>2050</v>
      </c>
      <c r="B77">
        <v>2</v>
      </c>
      <c r="C77" t="s">
        <v>196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">
      <c r="A1" s="4" t="s">
        <v>451</v>
      </c>
    </row>
    <row r="2" spans="1:1">
      <c r="A2" s="4" t="s">
        <v>450</v>
      </c>
    </row>
    <row r="3" spans="1:1">
      <c r="A3" s="4" t="s">
        <v>420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1">
      <c r="A1" s="4" t="s">
        <v>452</v>
      </c>
    </row>
    <row r="2" spans="1:11">
      <c r="A2" s="4" t="s">
        <v>384</v>
      </c>
    </row>
    <row r="3" spans="1:11">
      <c r="A3" s="4" t="s">
        <v>395</v>
      </c>
    </row>
    <row r="5" spans="1:11">
      <c r="A5" s="4" t="s">
        <v>20</v>
      </c>
      <c r="B5" t="s">
        <v>147</v>
      </c>
      <c r="C5" t="s">
        <v>154</v>
      </c>
      <c r="D5" t="s">
        <v>155</v>
      </c>
      <c r="E5" t="s">
        <v>148</v>
      </c>
      <c r="F5" t="s">
        <v>149</v>
      </c>
      <c r="G5" t="s">
        <v>251</v>
      </c>
      <c r="H5" t="s">
        <v>197</v>
      </c>
      <c r="I5" t="s">
        <v>253</v>
      </c>
    </row>
    <row r="6" spans="1:11">
      <c r="A6" s="22" t="s">
        <v>509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K12" sqref="K12"/>
    </sheetView>
  </sheetViews>
  <sheetFormatPr defaultColWidth="9.140625" defaultRowHeight="15"/>
  <cols>
    <col min="1" max="16384" width="9.140625" style="28"/>
  </cols>
  <sheetData>
    <row r="1" spans="1:9">
      <c r="A1" s="28" t="s">
        <v>453</v>
      </c>
    </row>
    <row r="2" spans="1:9">
      <c r="A2" s="28" t="s">
        <v>385</v>
      </c>
    </row>
    <row r="3" spans="1:9">
      <c r="A3" s="28" t="s">
        <v>395</v>
      </c>
    </row>
    <row r="5" spans="1:9">
      <c r="A5" s="28" t="s">
        <v>20</v>
      </c>
      <c r="B5" t="s">
        <v>147</v>
      </c>
      <c r="C5" t="s">
        <v>154</v>
      </c>
      <c r="D5" t="s">
        <v>155</v>
      </c>
      <c r="E5" t="s">
        <v>148</v>
      </c>
      <c r="F5" t="s">
        <v>149</v>
      </c>
      <c r="G5" t="s">
        <v>251</v>
      </c>
      <c r="H5" t="s">
        <v>197</v>
      </c>
      <c r="I5" t="s">
        <v>253</v>
      </c>
    </row>
    <row r="6" spans="1:9">
      <c r="A6" s="22" t="s">
        <v>509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455</v>
      </c>
    </row>
    <row r="2" spans="1:10">
      <c r="A2" s="4" t="s">
        <v>454</v>
      </c>
    </row>
    <row r="3" spans="1:10">
      <c r="A3" s="4" t="s">
        <v>413</v>
      </c>
    </row>
    <row r="5" spans="1:10">
      <c r="A5" s="4" t="s">
        <v>20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457</v>
      </c>
    </row>
    <row r="2" spans="1:10">
      <c r="A2" s="4" t="s">
        <v>456</v>
      </c>
    </row>
    <row r="3" spans="1:10">
      <c r="A3" s="4" t="s">
        <v>436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509</v>
      </c>
      <c r="B6" t="s">
        <v>147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509</v>
      </c>
      <c r="B7" t="s">
        <v>154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509</v>
      </c>
      <c r="B8" t="s">
        <v>155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509</v>
      </c>
      <c r="B9" t="s">
        <v>148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509</v>
      </c>
      <c r="B10" t="s">
        <v>149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509</v>
      </c>
      <c r="B11" t="s">
        <v>251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509</v>
      </c>
      <c r="B12" t="s">
        <v>197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509</v>
      </c>
      <c r="B13" t="s">
        <v>253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40625" defaultRowHeight="15"/>
  <cols>
    <col min="1" max="2" width="9.140625" style="4"/>
    <col min="3" max="10" width="16.85546875" style="4" customWidth="1"/>
    <col min="11" max="16384" width="9.140625" style="4"/>
  </cols>
  <sheetData>
    <row r="1" spans="1:10">
      <c r="A1" s="4" t="s">
        <v>459</v>
      </c>
    </row>
    <row r="2" spans="1:10">
      <c r="A2" s="4" t="s">
        <v>458</v>
      </c>
    </row>
    <row r="3" spans="1:10">
      <c r="A3" s="4" t="s">
        <v>393</v>
      </c>
    </row>
    <row r="5" spans="1:10">
      <c r="A5" s="4" t="s">
        <v>20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tabSelected="1" zoomScaleNormal="100" workbookViewId="0">
      <selection activeCell="A2" sqref="A2"/>
    </sheetView>
  </sheetViews>
  <sheetFormatPr defaultColWidth="9.140625" defaultRowHeight="15"/>
  <cols>
    <col min="1" max="16384" width="9.140625" style="4"/>
  </cols>
  <sheetData>
    <row r="1" spans="1:10">
      <c r="A1" s="4" t="s">
        <v>462</v>
      </c>
    </row>
    <row r="2" spans="1:10">
      <c r="A2" s="4" t="s">
        <v>461</v>
      </c>
    </row>
    <row r="3" spans="1:10">
      <c r="A3" s="4" t="s">
        <v>420</v>
      </c>
    </row>
    <row r="5" spans="1:10">
      <c r="A5" s="4" t="s">
        <v>460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Par_TagTechnologyToModalType</vt:lpstr>
      <vt:lpstr>Par_RegionalCCSLimit</vt:lpstr>
      <vt:lpstr>Par_RegionalBaseYearProduction</vt:lpstr>
      <vt:lpstr>Par_BaseYearProduction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2023-06-27T14:44:22Z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