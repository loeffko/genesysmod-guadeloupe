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0" documentId="13_ncr:1_{C4D04F8F-13B7-4C1C-9D3E-335F083472E6}" xr6:coauthVersionLast="47" xr6:coauthVersionMax="47" xr10:uidLastSave="{00000000-0000-0000-0000-000000000000}"/>
  <bookViews>
    <workbookView xWindow="-120" yWindow="-120" windowWidth="38640" windowHeight="21240" tabRatio="804" activeTab="10"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7" i="21" l="1"/>
  <c r="G8" i="21"/>
  <c r="G9" i="21"/>
  <c r="G10" i="21"/>
  <c r="G11" i="21"/>
  <c r="G12" i="21"/>
  <c r="G13" i="21"/>
  <c r="G14" i="21"/>
  <c r="G15" i="21"/>
  <c r="G16" i="21"/>
  <c r="G17" i="21"/>
  <c r="G18" i="21"/>
  <c r="G19" i="21"/>
  <c r="G20" i="21"/>
  <c r="G21" i="21"/>
  <c r="G22" i="21"/>
  <c r="G23" i="21"/>
  <c r="G24" i="21"/>
  <c r="G25" i="21"/>
  <c r="G26" i="21"/>
  <c r="G27" i="21"/>
  <c r="G28" i="21"/>
  <c r="G29" i="21"/>
  <c r="G30" i="21"/>
  <c r="G31" i="21"/>
  <c r="G32" i="21"/>
  <c r="G33" i="21"/>
  <c r="G6" i="21"/>
  <c r="F7" i="21"/>
  <c r="F8" i="21"/>
  <c r="F9" i="21"/>
  <c r="F10" i="21"/>
  <c r="F11" i="21"/>
  <c r="F12" i="21"/>
  <c r="F13" i="21"/>
  <c r="F14" i="21"/>
  <c r="F15" i="21"/>
  <c r="F16" i="21"/>
  <c r="F17" i="21"/>
  <c r="F18" i="21"/>
  <c r="F19" i="21"/>
  <c r="F20" i="21"/>
  <c r="F21" i="21"/>
  <c r="F22" i="21"/>
  <c r="F23" i="21"/>
  <c r="F24" i="21"/>
  <c r="F25" i="21"/>
  <c r="F26" i="21"/>
  <c r="F27" i="21"/>
  <c r="F28" i="21"/>
  <c r="F29" i="21"/>
  <c r="F30" i="21"/>
  <c r="F31" i="21"/>
  <c r="F32" i="21"/>
  <c r="F33" i="21"/>
  <c r="F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6" i="21"/>
  <c r="C24" i="47"/>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calcChain>
</file>

<file path=xl/sharedStrings.xml><?xml version="1.0" encoding="utf-8"?>
<sst xmlns="http://schemas.openxmlformats.org/spreadsheetml/2006/main" count="5681" uniqueCount="522">
  <si>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</si>
  <si>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</si>
  <si>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</si>
  <si>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</si>
  <si>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</si>
  <si>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</si>
  <si>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</si>
  <si>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</si>
  <si>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</si>
  <si>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</si>
  <si>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</si>
  <si>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</si>
  <si>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</si>
  <si>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</si>
  <si>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</si>
  <si>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</si>
  <si>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</si>
  <si>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</si>
  <si>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</si>
  <si>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</si>
  <si>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</si>
  <si>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</si>
  <si>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</si>
  <si>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</si>
  <si>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</si>
  <si>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</si>
  <si>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</si>
  <si>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</si>
  <si>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</si>
  <si>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</si>
  <si>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</si>
  <si>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</si>
  <si>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</si>
  <si>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</si>
  <si>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</si>
  <si>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</si>
  <si>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</si>
  <si>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</si>
  <si>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</si>
  <si>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</si>
  <si>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</si>
  <si>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</si>
  <si>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</si>
  <si>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</si>
  <si>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</si>
  <si>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</si>
  <si>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</si>
  <si>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</si>
  <si>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</si>
  <si>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</si>
  <si>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</si>
  <si>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</si>
  <si>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</si>
  <si>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</si>
  <si>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</si>
  <si>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</si>
  <si>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</si>
  <si>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</si>
  <si>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</si>
  <si>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</si>
  <si>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</si>
  <si>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</si>
  <si>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</si>
  <si>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</si>
  <si>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</si>
  <si>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</si>
  <si>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</si>
  <si>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</si>
  <si>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</si>
  <si>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</si>
  <si>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</si>
  <si>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</si>
  <si>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</si>
  <si>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</si>
  <si>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</si>
  <si>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</si>
  <si>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</si>
  <si>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</si>
  <si>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</si>
  <si>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</si>
  <si>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</si>
  <si>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</si>
  <si>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</si>
  <si>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</si>
  <si>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</si>
  <si>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</si>
  <si>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</si>
  <si>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</si>
  <si>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</si>
  <si>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</si>
  <si>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</si>
  <si>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</si>
  <si>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</si>
  <si>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</si>
  <si>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</si>
  <si>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</si>
  <si>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</si>
  <si>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</si>
  <si>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</si>
  <si>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</si>
  <si>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</si>
  <si>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</si>
  <si>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</si>
  <si>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</si>
  <si>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</si>
  <si>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</si>
  <si>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</si>
  <si>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</si>
  <si>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</si>
  <si>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</si>
  <si>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</si>
  <si>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</si>
  <si>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</si>
  <si>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</si>
  <si>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</si>
  <si>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</si>
  <si>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</si>
  <si>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</si>
  <si>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</si>
  <si>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</si>
  <si>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</si>
  <si>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</si>
  <si>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</si>
  <si>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</si>
  <si>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</si>
  <si>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</si>
  <si>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</si>
  <si>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</si>
  <si>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</si>
  <si>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</si>
  <si>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</si>
  <si>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</si>
  <si>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</si>
  <si>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</si>
  <si>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</si>
  <si>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</si>
  <si>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</si>
  <si>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</si>
  <si>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</si>
  <si>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</si>
  <si>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</si>
  <si>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</si>
  <si>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</si>
  <si>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</si>
  <si>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</si>
  <si>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</si>
  <si>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</si>
  <si>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</si>
  <si>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</si>
  <si>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</si>
  <si>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</si>
  <si>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</si>
  <si>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</si>
  <si>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</si>
  <si>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</si>
  <si>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</si>
  <si>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</si>
  <si>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</si>
  <si>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</si>
  <si>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</si>
  <si>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</si>
  <si>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</si>
  <si>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</si>
  <si>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</si>
  <si>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</si>
  <si>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</si>
  <si>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</si>
  <si>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</si>
  <si>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</si>
  <si>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</si>
  <si>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</si>
  <si>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</si>
  <si>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</si>
  <si>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</si>
  <si>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</si>
  <si>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</si>
  <si>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</si>
  <si>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</si>
  <si>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</si>
  <si>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</si>
  <si>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</si>
  <si>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</si>
  <si>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</si>
  <si>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</si>
  <si>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</si>
  <si>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</si>
  <si>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</si>
  <si>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</si>
  <si>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</si>
  <si>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</si>
  <si>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</si>
  <si>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</si>
  <si>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</si>
  <si>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</si>
  <si>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</si>
  <si>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</si>
  <si>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</si>
  <si>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</si>
  <si>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</si>
  <si>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</si>
  <si>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</si>
  <si>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</si>
  <si>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</si>
  <si>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</si>
  <si>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</si>
  <si>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</si>
  <si>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</si>
  <si>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</si>
  <si>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</si>
  <si>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</si>
  <si>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</si>
  <si>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</si>
  <si>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</si>
  <si>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</si>
  <si>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</si>
  <si>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</si>
  <si>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</si>
  <si>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</si>
  <si>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</si>
  <si>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</si>
  <si>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</si>
  <si>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</si>
  <si>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</si>
  <si>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</si>
  <si>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</si>
  <si>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</si>
  <si>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</si>
  <si>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</si>
  <si>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</si>
  <si>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</si>
  <si>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</si>
  <si>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</si>
  <si>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</si>
  <si>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</si>
  <si>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</si>
  <si>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</si>
  <si>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</si>
  <si>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</si>
  <si>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</si>
  <si>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</si>
  <si>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</si>
  <si>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</si>
  <si>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</si>
  <si>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</si>
  <si>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</si>
  <si>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</si>
  <si>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</si>
  <si>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</si>
  <si>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</si>
  <si>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</si>
  <si>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</si>
  <si>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</si>
  <si>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</si>
  <si>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</si>
  <si>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</si>
  <si>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</si>
  <si>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</si>
  <si>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</si>
  <si>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</si>
  <si>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</si>
  <si>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</si>
  <si>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</si>
  <si>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</si>
  <si>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</si>
  <si>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</si>
  <si>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</si>
  <si>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</si>
  <si>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</si>
  <si>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</si>
  <si>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</si>
  <si>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</si>
  <si>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</si>
  <si>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</si>
  <si>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</si>
  <si>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</si>
  <si>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</si>
  <si>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</si>
  <si>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</si>
  <si>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</si>
  <si>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</si>
  <si>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</si>
  <si>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</si>
  <si>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</si>
  <si>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</si>
  <si>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</si>
  <si>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</si>
  <si>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</si>
  <si>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</si>
  <si>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</si>
  <si>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</si>
  <si>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</si>
  <si>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</si>
  <si>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</si>
  <si>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</si>
  <si>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</si>
  <si>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</si>
  <si>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</si>
  <si>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</si>
  <si>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</si>
  <si>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</si>
  <si>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</si>
  <si>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</si>
  <si>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</si>
  <si>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</si>
  <si>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</si>
  <si>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</si>
  <si>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</si>
  <si>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</si>
  <si>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</si>
  <si>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</si>
  <si>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</si>
  <si>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</si>
  <si>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</si>
  <si>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</si>
  <si>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</si>
  <si>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</si>
  <si>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</si>
  <si>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</si>
  <si>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</si>
  <si>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</si>
  <si>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</si>
  <si>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</si>
  <si>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</si>
  <si>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</si>
  <si>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</si>
  <si>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</si>
  <si>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</si>
  <si>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</si>
  <si>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</si>
  <si>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</si>
  <si>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</si>
  <si>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</si>
  <si>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</si>
  <si>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</si>
  <si>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</si>
  <si>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</si>
  <si>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</si>
  <si>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</si>
  <si>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</si>
  <si>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</si>
  <si>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</si>
  <si>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</si>
  <si>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</si>
  <si>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</si>
  <si>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</si>
  <si>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</si>
  <si>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</si>
  <si>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</si>
  <si>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</si>
  <si>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</si>
  <si>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</si>
  <si>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</si>
  <si>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</si>
  <si>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</si>
  <si>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</si>
  <si>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</si>
  <si>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</si>
  <si>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</si>
  <si>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</si>
  <si>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</si>
  <si>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</si>
  <si>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</si>
  <si>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</si>
  <si>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</si>
  <si>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</si>
  <si>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</si>
  <si>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</si>
  <si>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</si>
  <si>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</si>
  <si>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</si>
  <si>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</si>
  <si>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</si>
  <si>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</si>
  <si>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</si>
  <si>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</si>
  <si>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</si>
  <si>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</si>
  <si>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</si>
  <si>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</si>
  <si>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</si>
  <si>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</si>
  <si>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</si>
  <si>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</si>
  <si>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</si>
  <si>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</si>
  <si>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</si>
  <si>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</si>
  <si>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</si>
  <si>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</si>
  <si>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</si>
  <si>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</si>
  <si>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</si>
  <si>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</si>
  <si>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</si>
  <si>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</si>
  <si>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</si>
  <si>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</si>
  <si>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</si>
  <si>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</si>
  <si>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</si>
  <si>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</si>
  <si>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</si>
  <si>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</si>
  <si>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</si>
  <si>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</si>
  <si>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</si>
  <si>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</si>
  <si>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</si>
  <si>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</si>
  <si>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</si>
  <si>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</si>
  <si>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</si>
  <si>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</si>
  <si>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</si>
  <si>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</si>
  <si>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</si>
  <si>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</si>
  <si>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</si>
  <si>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</si>
  <si>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</si>
  <si>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</si>
  <si>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</si>
  <si>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</si>
  <si>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</si>
  <si>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</si>
  <si>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</si>
  <si>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</si>
  <si>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</si>
  <si>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</si>
  <si>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</si>
  <si>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</si>
  <si>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</si>
  <si>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</si>
  <si>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</si>
  <si>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</si>
  <si>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</si>
  <si>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</si>
  <si>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</si>
  <si>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</si>
  <si>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</si>
  <si>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</si>
  <si>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</si>
  <si>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</si>
  <si>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</si>
  <si>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</si>
  <si>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</si>
  <si>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</si>
  <si>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</si>
  <si>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</si>
  <si>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</si>
  <si>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</si>
  <si>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</si>
  <si>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</si>
  <si>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</si>
  <si>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</si>
  <si>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</si>
  <si>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</si>
  <si>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</si>
  <si>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</si>
  <si>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</si>
  <si>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</si>
  <si>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</si>
  <si>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</si>
  <si>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</si>
  <si>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</si>
  <si>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</si>
  <si>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</si>
  <si>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</si>
  <si>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</si>
  <si>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</si>
  <si>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</si>
  <si>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</si>
  <si>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</si>
  <si>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</si>
  <si>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</si>
  <si>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</si>
  <si>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</si>
  <si>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</si>
  <si>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</si>
  <si>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</si>
  <si>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</si>
  <si>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</si>
  <si>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</si>
  <si>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</si>
  <si>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</si>
  <si>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</si>
  <si>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</si>
  <si>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</si>
  <si>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</si>
  <si>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</si>
  <si>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</si>
  <si>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</si>
  <si>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</si>
  <si>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</si>
  <si>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</si>
  <si>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</si>
  <si>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</si>
  <si>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</si>
  <si>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</si>
  <si>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</si>
  <si>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</si>
  <si>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</si>
  <si>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</si>
  <si>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</si>
  <si>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</si>
  <si>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</si>
  <si>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</si>
  <si>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</si>
  <si>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</si>
  <si>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</si>
  <si>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</si>
  <si>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</si>
  <si>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</si>
  <si>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</si>
  <si>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</si>
  <si>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</si>
  <si>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</si>
  <si>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</si>
  <si>
    <t>s</t>
  </si>
  <si>
    <t>RES_Wind_Onshore_avg</t>
  </si>
  <si>
    <t>RES_Wind_Onshore_inf</t>
  </si>
  <si>
    <t>RES_Wind_Onshore_opt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</si>
</sst>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topLeftCell="A85" workbookViewId="0">
      <selection activeCell="B117" sqref="B117"/>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2025</v>
      </c>
      <c r="E3" t="s">
        <v>71</v>
      </c>
      <c r="F3">
        <v>2</v>
      </c>
      <c r="G3" t="s">
        <v>509</v>
      </c>
      <c r="H3">
        <v>2</v>
      </c>
      <c r="J3">
        <v>2</v>
      </c>
      <c r="K3" t="s">
        <v>154</v>
      </c>
      <c r="L3" t="s">
        <v>38</v>
      </c>
      <c r="M3" t="s">
        <v>113</v>
      </c>
      <c r="N3" t="s">
        <v>312</v>
      </c>
    </row>
    <row r="4" spans="1:14">
      <c r="B4" t="s">
        <v>176</v>
      </c>
      <c r="C4" t="s">
        <v>146</v>
      </c>
      <c r="D4">
        <v>2030</v>
      </c>
      <c r="E4" t="s">
        <v>68</v>
      </c>
      <c r="F4">
        <v>3</v>
      </c>
      <c r="G4" t="s">
        <v>510</v>
      </c>
      <c r="H4">
        <v>3</v>
      </c>
      <c r="J4">
        <v>3</v>
      </c>
      <c r="K4" t="s">
        <v>148</v>
      </c>
      <c r="L4" t="s">
        <v>39</v>
      </c>
      <c r="M4" t="s">
        <v>114</v>
      </c>
      <c r="N4" t="s">
        <v>347</v>
      </c>
    </row>
    <row r="5" spans="1:14">
      <c r="B5" t="s">
        <v>465</v>
      </c>
      <c r="C5" t="s">
        <v>156</v>
      </c>
      <c r="D5">
        <v>2035</v>
      </c>
      <c r="E5" t="s">
        <v>69</v>
      </c>
      <c r="F5">
        <v>4</v>
      </c>
      <c r="G5" t="s">
        <v>517</v>
      </c>
      <c r="H5">
        <v>4</v>
      </c>
      <c r="J5">
        <v>4</v>
      </c>
      <c r="K5" t="s">
        <v>149</v>
      </c>
      <c r="L5" t="s">
        <v>43</v>
      </c>
      <c r="M5" t="s">
        <v>115</v>
      </c>
      <c r="N5" t="s">
        <v>348</v>
      </c>
    </row>
    <row r="6" spans="1:14">
      <c r="B6" t="s">
        <v>466</v>
      </c>
      <c r="C6" t="s">
        <v>145</v>
      </c>
      <c r="D6">
        <v>2040</v>
      </c>
      <c r="E6" t="s">
        <v>73</v>
      </c>
      <c r="G6" t="s">
        <v>516</v>
      </c>
      <c r="K6" t="s">
        <v>253</v>
      </c>
      <c r="L6" t="s">
        <v>44</v>
      </c>
      <c r="M6" t="s">
        <v>116</v>
      </c>
      <c r="N6" t="s">
        <v>349</v>
      </c>
    </row>
    <row r="7" spans="1:14">
      <c r="B7" t="s">
        <v>108</v>
      </c>
      <c r="C7" t="s">
        <v>202</v>
      </c>
      <c r="D7">
        <v>2045</v>
      </c>
      <c r="E7" t="s">
        <v>74</v>
      </c>
      <c r="G7" t="s">
        <v>513</v>
      </c>
      <c r="K7" t="s">
        <v>251</v>
      </c>
      <c r="L7" t="s">
        <v>45</v>
      </c>
      <c r="M7" t="s">
        <v>117</v>
      </c>
      <c r="N7" t="s">
        <v>350</v>
      </c>
    </row>
    <row r="8" spans="1:14">
      <c r="B8" t="s">
        <v>467</v>
      </c>
      <c r="C8" t="s">
        <v>144</v>
      </c>
      <c r="D8">
        <v>2050</v>
      </c>
      <c r="E8" t="s">
        <v>75</v>
      </c>
      <c r="G8" t="s">
        <v>514</v>
      </c>
      <c r="K8" t="s">
        <v>197</v>
      </c>
      <c r="L8" t="s">
        <v>49</v>
      </c>
      <c r="M8" t="s">
        <v>161</v>
      </c>
      <c r="N8" t="s">
        <v>351</v>
      </c>
    </row>
    <row r="9" spans="1:14">
      <c r="B9" t="s">
        <v>109</v>
      </c>
      <c r="C9" t="s">
        <v>143</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9"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12" activePane="bottomLeft" state="frozen"/>
      <selection pane="bottomLeft" activeCell="C25" sqref="C25"/>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ROUND((EXP(7.032824+1*0.622482)*((C8/1.852)^ 0.40303))/(1.15*0.0059)/1000000,3)</f>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tabSelected="1" workbookViewId="0">
      <selection activeCell="H29" sqref="H29"/>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I26" sqref="I26"/>
    </sheetView>
  </sheetViews>
  <sheetFormatPr defaultColWidth="11.42578125" defaultRowHeight="15"/>
  <cols>
    <col min="1" max="1" width="7.85546875"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D6" sqref="D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C13" sqref="C13:D13"/>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topLeftCell="A7" zoomScale="90" zoomScaleNormal="90" zoomScalePageLayoutView="90" workbookViewId="0">
      <selection activeCell="D9" sqref="D9"/>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508</v>
      </c>
      <c r="B6" s="49" t="s">
        <v>214</v>
      </c>
      <c r="C6" s="52">
        <v>0</v>
      </c>
      <c r="D6" s="52">
        <v>0</v>
      </c>
      <c r="E6" s="16"/>
      <c r="F6" s="16"/>
      <c r="G6" s="16"/>
      <c r="H6" s="16"/>
      <c r="I6" s="16"/>
      <c r="J6" s="16"/>
    </row>
    <row r="7" spans="1:10">
      <c r="A7" s="49" t="s">
        <v>508</v>
      </c>
      <c r="B7" s="49" t="s">
        <v>212</v>
      </c>
      <c r="C7" s="52">
        <v>0</v>
      </c>
      <c r="D7" s="52">
        <v>0</v>
      </c>
      <c r="E7" s="16"/>
      <c r="F7" s="16"/>
      <c r="G7" s="16"/>
      <c r="H7" s="16"/>
      <c r="I7" s="16"/>
      <c r="J7" s="16"/>
    </row>
    <row r="8" spans="1:10">
      <c r="A8" s="49" t="s">
        <v>508</v>
      </c>
      <c r="B8" s="49" t="s">
        <v>276</v>
      </c>
      <c r="C8" s="52">
        <v>8.114346449827026E-3</v>
      </c>
      <c r="D8" s="52">
        <v>1.256734145278088E-2</v>
      </c>
      <c r="E8" s="16"/>
      <c r="F8" s="16"/>
      <c r="G8" s="16"/>
      <c r="H8" s="16"/>
      <c r="I8" s="16"/>
      <c r="J8" s="16"/>
    </row>
    <row r="9" spans="1:10">
      <c r="A9" s="49" t="s">
        <v>508</v>
      </c>
      <c r="B9" s="49" t="s">
        <v>213</v>
      </c>
      <c r="C9" s="52">
        <v>0</v>
      </c>
      <c r="D9" s="52">
        <v>0</v>
      </c>
      <c r="E9" s="16"/>
      <c r="F9" s="16"/>
      <c r="G9" s="16"/>
      <c r="H9" s="16"/>
      <c r="I9" s="16"/>
      <c r="J9" s="16"/>
    </row>
    <row r="10" spans="1:10">
      <c r="A10" s="49" t="s">
        <v>508</v>
      </c>
      <c r="B10" s="49" t="s">
        <v>150</v>
      </c>
      <c r="C10" s="52"/>
      <c r="D10" s="52"/>
      <c r="E10" s="16"/>
      <c r="F10" s="16"/>
      <c r="G10" s="16"/>
      <c r="H10" s="16"/>
      <c r="I10" s="16"/>
      <c r="J10" s="16"/>
    </row>
    <row r="11" spans="1:10">
      <c r="A11" s="49" t="s">
        <v>508</v>
      </c>
      <c r="B11" s="49" t="s">
        <v>151</v>
      </c>
      <c r="C11" s="52"/>
      <c r="D11" s="52"/>
      <c r="E11" s="16"/>
      <c r="F11" s="16"/>
      <c r="G11" s="16"/>
      <c r="H11" s="16"/>
      <c r="I11" s="16"/>
      <c r="J11" s="16"/>
    </row>
    <row r="12" spans="1:10">
      <c r="A12" s="49" t="s">
        <v>508</v>
      </c>
      <c r="B12" s="49" t="s">
        <v>24</v>
      </c>
      <c r="C12" s="52">
        <v>0.1165766738660907</v>
      </c>
      <c r="D12" s="52">
        <v>8.2259794816414683E-2</v>
      </c>
      <c r="E12" s="16"/>
      <c r="F12" s="16"/>
      <c r="G12" s="16"/>
      <c r="H12" s="16"/>
      <c r="I12" s="16"/>
      <c r="J12" s="16"/>
    </row>
    <row r="13" spans="1:10">
      <c r="A13" s="49" t="s">
        <v>509</v>
      </c>
      <c r="B13" s="49" t="s">
        <v>214</v>
      </c>
      <c r="C13" s="52">
        <v>0</v>
      </c>
      <c r="D13" s="52">
        <v>0</v>
      </c>
    </row>
    <row r="14" spans="1:10">
      <c r="A14" s="49" t="s">
        <v>509</v>
      </c>
      <c r="B14" s="49" t="s">
        <v>212</v>
      </c>
      <c r="C14" s="52">
        <v>0</v>
      </c>
      <c r="D14" s="52">
        <v>0</v>
      </c>
    </row>
    <row r="15" spans="1:10">
      <c r="A15" s="49" t="s">
        <v>509</v>
      </c>
      <c r="B15" s="49" t="s">
        <v>276</v>
      </c>
      <c r="C15" s="52">
        <v>1.0905437931630502E-3</v>
      </c>
      <c r="D15" s="52">
        <v>1.6890129479476511E-3</v>
      </c>
    </row>
    <row r="16" spans="1:10">
      <c r="A16" s="49" t="s">
        <v>509</v>
      </c>
      <c r="B16" s="49" t="s">
        <v>213</v>
      </c>
      <c r="C16" s="52">
        <v>0</v>
      </c>
      <c r="D16" s="52">
        <v>0</v>
      </c>
    </row>
    <row r="17" spans="1:4">
      <c r="A17" s="49" t="s">
        <v>509</v>
      </c>
      <c r="B17" s="49" t="s">
        <v>150</v>
      </c>
      <c r="C17" s="52"/>
      <c r="D17" s="52"/>
    </row>
    <row r="18" spans="1:4">
      <c r="A18" s="49" t="s">
        <v>509</v>
      </c>
      <c r="B18" s="49" t="s">
        <v>151</v>
      </c>
      <c r="C18" s="52"/>
      <c r="D18" s="52"/>
    </row>
    <row r="19" spans="1:4">
      <c r="A19" s="49" t="s">
        <v>509</v>
      </c>
      <c r="B19" s="49" t="s">
        <v>24</v>
      </c>
      <c r="C19" s="52">
        <v>1.5561555075593952E-2</v>
      </c>
      <c r="D19" s="52">
        <v>8.9760007199424039E-3</v>
      </c>
    </row>
    <row r="20" spans="1:4">
      <c r="A20" s="49" t="s">
        <v>510</v>
      </c>
      <c r="B20" s="49" t="s">
        <v>214</v>
      </c>
      <c r="C20" s="52">
        <v>0</v>
      </c>
      <c r="D20" s="52">
        <v>0</v>
      </c>
    </row>
    <row r="21" spans="1:4">
      <c r="A21" s="49" t="s">
        <v>510</v>
      </c>
      <c r="B21" s="49" t="s">
        <v>212</v>
      </c>
      <c r="C21" s="52">
        <v>0</v>
      </c>
      <c r="D21" s="52">
        <v>0</v>
      </c>
    </row>
    <row r="22" spans="1:4">
      <c r="A22" s="49" t="s">
        <v>510</v>
      </c>
      <c r="B22" s="49" t="s">
        <v>276</v>
      </c>
      <c r="C22" s="52">
        <v>1.9320597788091191E-3</v>
      </c>
      <c r="D22" s="52">
        <v>2.9923364866921722E-3</v>
      </c>
    </row>
    <row r="23" spans="1:4">
      <c r="A23" s="49" t="s">
        <v>510</v>
      </c>
      <c r="B23" s="49" t="s">
        <v>213</v>
      </c>
      <c r="C23" s="52">
        <v>0</v>
      </c>
      <c r="D23" s="52">
        <v>0</v>
      </c>
    </row>
    <row r="24" spans="1:4">
      <c r="A24" s="49" t="s">
        <v>510</v>
      </c>
      <c r="B24" s="49" t="s">
        <v>150</v>
      </c>
      <c r="C24" s="52"/>
      <c r="D24" s="52"/>
    </row>
    <row r="25" spans="1:4">
      <c r="A25" s="49" t="s">
        <v>510</v>
      </c>
      <c r="B25" s="49" t="s">
        <v>151</v>
      </c>
      <c r="C25" s="52"/>
      <c r="D25" s="52"/>
    </row>
    <row r="26" spans="1:4">
      <c r="A26" s="49" t="s">
        <v>510</v>
      </c>
      <c r="B26" s="49" t="s">
        <v>24</v>
      </c>
      <c r="C26" s="52">
        <v>3.1504679625629951E-2</v>
      </c>
      <c r="D26" s="52">
        <v>2.1856259899208062E-2</v>
      </c>
    </row>
    <row r="27" spans="1:4">
      <c r="A27" s="49" t="s">
        <v>517</v>
      </c>
      <c r="B27" s="49" t="s">
        <v>214</v>
      </c>
      <c r="C27" s="52">
        <v>0</v>
      </c>
      <c r="D27" s="52">
        <v>0</v>
      </c>
    </row>
    <row r="28" spans="1:4">
      <c r="A28" s="49" t="s">
        <v>517</v>
      </c>
      <c r="B28" s="49" t="s">
        <v>212</v>
      </c>
      <c r="C28" s="52">
        <v>0</v>
      </c>
      <c r="D28" s="52">
        <v>0</v>
      </c>
    </row>
    <row r="29" spans="1:4">
      <c r="A29" s="49" t="s">
        <v>517</v>
      </c>
      <c r="B29" s="49" t="s">
        <v>276</v>
      </c>
      <c r="C29" s="52">
        <v>5.894267353577777E-2</v>
      </c>
      <c r="D29" s="52">
        <v>9.1289262671265595E-2</v>
      </c>
    </row>
    <row r="30" spans="1:4">
      <c r="A30" s="49" t="s">
        <v>517</v>
      </c>
      <c r="B30" s="49" t="s">
        <v>213</v>
      </c>
      <c r="C30" s="52">
        <v>0</v>
      </c>
      <c r="D30" s="52">
        <v>0</v>
      </c>
    </row>
    <row r="31" spans="1:4">
      <c r="A31" s="49" t="s">
        <v>517</v>
      </c>
      <c r="B31" s="49" t="s">
        <v>150</v>
      </c>
      <c r="C31" s="52"/>
      <c r="D31" s="52"/>
    </row>
    <row r="32" spans="1:4">
      <c r="A32" s="49" t="s">
        <v>517</v>
      </c>
      <c r="B32" s="49" t="s">
        <v>151</v>
      </c>
      <c r="C32" s="52"/>
      <c r="D32" s="52"/>
    </row>
    <row r="33" spans="1:4">
      <c r="A33" s="49" t="s">
        <v>517</v>
      </c>
      <c r="B33" s="49" t="s">
        <v>24</v>
      </c>
      <c r="C33" s="52">
        <v>0.78448164146868249</v>
      </c>
      <c r="D33" s="52">
        <v>0.95993115190784695</v>
      </c>
    </row>
    <row r="34" spans="1:4">
      <c r="A34" s="49" t="s">
        <v>516</v>
      </c>
      <c r="B34" s="49" t="s">
        <v>214</v>
      </c>
      <c r="C34" s="52">
        <v>0</v>
      </c>
      <c r="D34" s="52">
        <v>0</v>
      </c>
    </row>
    <row r="35" spans="1:4">
      <c r="A35" s="49" t="s">
        <v>516</v>
      </c>
      <c r="B35" s="49" t="s">
        <v>212</v>
      </c>
      <c r="C35" s="52">
        <v>0</v>
      </c>
      <c r="D35" s="52">
        <v>0</v>
      </c>
    </row>
    <row r="36" spans="1:4">
      <c r="A36" s="49" t="s">
        <v>516</v>
      </c>
      <c r="B36" s="49" t="s">
        <v>276</v>
      </c>
      <c r="C36" s="52">
        <v>5.783385247233825E-2</v>
      </c>
      <c r="D36" s="52">
        <v>8.9571942243743374E-2</v>
      </c>
    </row>
    <row r="37" spans="1:4">
      <c r="A37" s="49" t="s">
        <v>516</v>
      </c>
      <c r="B37" s="49" t="s">
        <v>213</v>
      </c>
      <c r="C37" s="52">
        <v>0</v>
      </c>
      <c r="D37" s="52">
        <v>0</v>
      </c>
    </row>
    <row r="38" spans="1:4">
      <c r="A38" s="49" t="s">
        <v>516</v>
      </c>
      <c r="B38" s="49" t="s">
        <v>150</v>
      </c>
      <c r="C38" s="52"/>
      <c r="D38" s="52"/>
    </row>
    <row r="39" spans="1:4">
      <c r="A39" s="49" t="s">
        <v>516</v>
      </c>
      <c r="B39" s="49" t="s">
        <v>151</v>
      </c>
      <c r="C39" s="52"/>
      <c r="D39" s="52"/>
    </row>
    <row r="40" spans="1:4">
      <c r="A40" s="49" t="s">
        <v>516</v>
      </c>
      <c r="B40" s="49" t="s">
        <v>24</v>
      </c>
      <c r="C40" s="52">
        <v>0.77597192224622025</v>
      </c>
      <c r="D40" s="52">
        <v>1.115291576673866</v>
      </c>
    </row>
    <row r="41" spans="1:4">
      <c r="A41" s="49" t="s">
        <v>513</v>
      </c>
      <c r="B41" s="49" t="s">
        <v>214</v>
      </c>
      <c r="C41" s="52">
        <v>0</v>
      </c>
      <c r="D41" s="52">
        <v>0</v>
      </c>
    </row>
    <row r="42" spans="1:4">
      <c r="A42" s="49" t="s">
        <v>513</v>
      </c>
      <c r="B42" s="49" t="s">
        <v>212</v>
      </c>
      <c r="C42" s="54">
        <v>0.43559999999999999</v>
      </c>
      <c r="D42" s="54">
        <v>0.43559999999999999</v>
      </c>
    </row>
    <row r="43" spans="1:4">
      <c r="A43" s="49" t="s">
        <v>513</v>
      </c>
      <c r="B43" s="49" t="s">
        <v>276</v>
      </c>
      <c r="C43" s="52">
        <v>7.5915403646270016E-2</v>
      </c>
      <c r="D43" s="52">
        <v>0.11757629589117428</v>
      </c>
    </row>
    <row r="44" spans="1:4">
      <c r="A44" s="49" t="s">
        <v>513</v>
      </c>
      <c r="B44" s="49" t="s">
        <v>213</v>
      </c>
      <c r="C44" s="52">
        <v>0</v>
      </c>
      <c r="D44" s="52">
        <v>0</v>
      </c>
    </row>
    <row r="45" spans="1:4">
      <c r="A45" s="49" t="s">
        <v>513</v>
      </c>
      <c r="B45" s="49" t="s">
        <v>150</v>
      </c>
      <c r="C45" s="52"/>
      <c r="D45" s="52"/>
    </row>
    <row r="46" spans="1:4">
      <c r="A46" s="49" t="s">
        <v>513</v>
      </c>
      <c r="B46" s="49" t="s">
        <v>151</v>
      </c>
      <c r="C46" s="52"/>
      <c r="D46" s="52"/>
    </row>
    <row r="47" spans="1:4">
      <c r="A47" s="49" t="s">
        <v>513</v>
      </c>
      <c r="B47" s="49" t="s">
        <v>24</v>
      </c>
      <c r="C47" s="52">
        <v>2.0844240460763137</v>
      </c>
      <c r="D47" s="52">
        <v>3.4944207919366446</v>
      </c>
    </row>
    <row r="48" spans="1:4">
      <c r="A48" s="49" t="s">
        <v>514</v>
      </c>
      <c r="B48" s="49" t="s">
        <v>214</v>
      </c>
      <c r="C48" s="52">
        <v>0</v>
      </c>
      <c r="D48" s="52">
        <v>0</v>
      </c>
    </row>
    <row r="49" spans="1:4">
      <c r="A49" s="49" t="s">
        <v>514</v>
      </c>
      <c r="B49" s="49" t="s">
        <v>212</v>
      </c>
      <c r="C49" s="52">
        <v>0</v>
      </c>
      <c r="D49" s="52">
        <v>0</v>
      </c>
    </row>
    <row r="50" spans="1:4">
      <c r="A50" s="49" t="s">
        <v>514</v>
      </c>
      <c r="B50" s="49" t="s">
        <v>276</v>
      </c>
      <c r="C50" s="52">
        <v>4.354026556320606E-2</v>
      </c>
      <c r="D50" s="52">
        <v>6.7434313738136201E-2</v>
      </c>
    </row>
    <row r="51" spans="1:4">
      <c r="A51" s="49" t="s">
        <v>514</v>
      </c>
      <c r="B51" s="49" t="s">
        <v>213</v>
      </c>
      <c r="C51" s="52">
        <v>0</v>
      </c>
      <c r="D51" s="52">
        <v>0</v>
      </c>
    </row>
    <row r="52" spans="1:4">
      <c r="A52" s="49" t="s">
        <v>514</v>
      </c>
      <c r="B52" s="49" t="s">
        <v>150</v>
      </c>
      <c r="C52" s="52"/>
      <c r="D52" s="52"/>
    </row>
    <row r="53" spans="1:4">
      <c r="A53" s="49" t="s">
        <v>514</v>
      </c>
      <c r="B53" s="49" t="s">
        <v>151</v>
      </c>
      <c r="C53" s="52"/>
      <c r="D53" s="52"/>
    </row>
    <row r="54" spans="1:4">
      <c r="A54" s="49" t="s">
        <v>514</v>
      </c>
      <c r="B54" s="49" t="s">
        <v>24</v>
      </c>
      <c r="C54" s="52">
        <v>0.5955903527717783</v>
      </c>
      <c r="D54" s="52">
        <v>0.79911242260619142</v>
      </c>
    </row>
    <row r="55" spans="1:4">
      <c r="A55" s="49" t="s">
        <v>515</v>
      </c>
      <c r="B55" s="49" t="s">
        <v>214</v>
      </c>
      <c r="C55" s="52">
        <v>0</v>
      </c>
      <c r="D55" s="52">
        <v>0</v>
      </c>
    </row>
    <row r="56" spans="1:4">
      <c r="A56" s="49" t="s">
        <v>515</v>
      </c>
      <c r="B56" s="49" t="s">
        <v>212</v>
      </c>
      <c r="C56" s="52">
        <v>0</v>
      </c>
      <c r="D56" s="52">
        <v>0</v>
      </c>
    </row>
    <row r="57" spans="1:4">
      <c r="A57" s="49" t="s">
        <v>515</v>
      </c>
      <c r="B57" s="49" t="s">
        <v>276</v>
      </c>
      <c r="C57" s="52">
        <v>4.7830854760608728E-2</v>
      </c>
      <c r="D57" s="52">
        <v>7.4079494568259852E-2</v>
      </c>
    </row>
    <row r="58" spans="1:4">
      <c r="A58" s="49" t="s">
        <v>515</v>
      </c>
      <c r="B58" s="49" t="s">
        <v>213</v>
      </c>
      <c r="C58" s="52">
        <v>0</v>
      </c>
      <c r="D58" s="52">
        <v>0</v>
      </c>
    </row>
    <row r="59" spans="1:4">
      <c r="A59" s="49" t="s">
        <v>515</v>
      </c>
      <c r="B59" s="49" t="s">
        <v>150</v>
      </c>
      <c r="C59" s="49"/>
      <c r="D59" s="52"/>
    </row>
    <row r="60" spans="1:4">
      <c r="A60" s="49" t="s">
        <v>515</v>
      </c>
      <c r="B60" s="49" t="s">
        <v>151</v>
      </c>
      <c r="C60" s="49"/>
      <c r="D60" s="52"/>
    </row>
    <row r="61" spans="1:4">
      <c r="A61" s="49" t="s">
        <v>515</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5" sqref="A15"/>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workbookViewId="0">
      <selection activeCell="E144" sqref="E144"/>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zoomScaleNormal="100" zoomScalePageLayoutView="90" workbookViewId="0">
      <selection activeCell="B6" sqref="B6"/>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D26" activeCellId="3" sqref="D22 D17 D31 D26"/>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c r="E6">
        <f>D6*0.8</f>
        <v>3.1199999999999999E-3</v>
      </c>
      <c r="F6">
        <f>D6*0.5</f>
        <v>1.9499999999999999E-3</v>
      </c>
      <c r="G6">
        <f>D6*0.1</f>
        <v>3.8999999999999999E-4</v>
      </c>
    </row>
    <row r="7" spans="1:10" ht="14.45" customHeight="1">
      <c r="A7" s="49" t="s">
        <v>508</v>
      </c>
      <c r="B7" s="49" t="s">
        <v>94</v>
      </c>
      <c r="C7" s="49">
        <f>0.00222</f>
        <v>2.2200000000000002E-3</v>
      </c>
      <c r="D7" s="49">
        <v>2.1299999999999999E-3</v>
      </c>
      <c r="E7">
        <f t="shared" ref="E7:E33" si="0">D7*0.8</f>
        <v>1.704E-3</v>
      </c>
      <c r="F7">
        <f t="shared" ref="F7:F33" si="1">D7*0.5</f>
        <v>1.065E-3</v>
      </c>
      <c r="G7">
        <f t="shared" ref="G7:G33" si="2">D7*0.1</f>
        <v>2.13E-4</v>
      </c>
    </row>
    <row r="8" spans="1:10" ht="14.45" customHeight="1">
      <c r="A8" s="49" t="s">
        <v>508</v>
      </c>
      <c r="B8" s="49" t="s">
        <v>58</v>
      </c>
      <c r="C8" s="49">
        <v>7.1000000000000004E-3</v>
      </c>
      <c r="D8" s="49">
        <v>0</v>
      </c>
      <c r="E8">
        <f t="shared" si="0"/>
        <v>0</v>
      </c>
      <c r="F8">
        <f t="shared" si="1"/>
        <v>0</v>
      </c>
      <c r="G8">
        <f t="shared" si="2"/>
        <v>0</v>
      </c>
    </row>
    <row r="9" spans="1:10" ht="14.45" customHeight="1">
      <c r="A9" s="49" t="s">
        <v>509</v>
      </c>
      <c r="B9" s="49" t="s">
        <v>512</v>
      </c>
      <c r="C9" s="49">
        <v>3.5999999999999999E-3</v>
      </c>
      <c r="D9" s="49">
        <v>8.8999999999999999E-3</v>
      </c>
      <c r="E9">
        <f t="shared" si="0"/>
        <v>7.1200000000000005E-3</v>
      </c>
      <c r="F9">
        <f t="shared" si="1"/>
        <v>4.45E-3</v>
      </c>
      <c r="G9">
        <f t="shared" si="2"/>
        <v>8.9000000000000006E-4</v>
      </c>
    </row>
    <row r="10" spans="1:10" ht="14.45" customHeight="1">
      <c r="A10" s="49" t="s">
        <v>509</v>
      </c>
      <c r="B10" s="49" t="s">
        <v>94</v>
      </c>
      <c r="C10" s="49">
        <v>0</v>
      </c>
      <c r="D10" s="49">
        <v>2.5699999999999998E-3</v>
      </c>
      <c r="E10">
        <f t="shared" si="0"/>
        <v>2.0560000000000001E-3</v>
      </c>
      <c r="F10">
        <f t="shared" si="1"/>
        <v>1.2849999999999999E-3</v>
      </c>
      <c r="G10">
        <f t="shared" si="2"/>
        <v>2.5700000000000001E-4</v>
      </c>
    </row>
    <row r="11" spans="1:10" ht="14.45" customHeight="1">
      <c r="A11" s="49" t="s">
        <v>510</v>
      </c>
      <c r="B11" s="49" t="s">
        <v>512</v>
      </c>
      <c r="C11" s="49">
        <v>1.9300000000000001E-3</v>
      </c>
      <c r="D11" s="49">
        <v>0</v>
      </c>
      <c r="E11">
        <f t="shared" si="0"/>
        <v>0</v>
      </c>
      <c r="F11">
        <f t="shared" si="1"/>
        <v>0</v>
      </c>
      <c r="G11">
        <f t="shared" si="2"/>
        <v>0</v>
      </c>
    </row>
    <row r="12" spans="1:10" ht="14.45" customHeight="1">
      <c r="A12" s="49" t="s">
        <v>510</v>
      </c>
      <c r="B12" s="49" t="s">
        <v>94</v>
      </c>
      <c r="C12" s="49">
        <v>0</v>
      </c>
      <c r="D12" s="49">
        <v>2.8600000000000001E-3</v>
      </c>
      <c r="E12">
        <f t="shared" si="0"/>
        <v>2.2880000000000001E-3</v>
      </c>
      <c r="F12">
        <f t="shared" si="1"/>
        <v>1.4300000000000001E-3</v>
      </c>
      <c r="G12">
        <f t="shared" si="2"/>
        <v>2.8600000000000001E-4</v>
      </c>
    </row>
    <row r="13" spans="1:10" ht="14.45" customHeight="1">
      <c r="A13" s="49" t="s">
        <v>510</v>
      </c>
      <c r="B13" s="49" t="s">
        <v>58</v>
      </c>
      <c r="C13" s="49">
        <v>1.5E-3</v>
      </c>
      <c r="D13" s="49">
        <v>0</v>
      </c>
      <c r="E13">
        <f t="shared" si="0"/>
        <v>0</v>
      </c>
      <c r="F13">
        <f t="shared" si="1"/>
        <v>0</v>
      </c>
      <c r="G13">
        <f t="shared" si="2"/>
        <v>0</v>
      </c>
    </row>
    <row r="14" spans="1:10" ht="14.45" customHeight="1">
      <c r="A14" s="49" t="s">
        <v>517</v>
      </c>
      <c r="B14" s="49" t="s">
        <v>512</v>
      </c>
      <c r="C14" s="49">
        <v>0</v>
      </c>
      <c r="D14" s="49">
        <v>1.6E-2</v>
      </c>
      <c r="E14">
        <f t="shared" si="0"/>
        <v>1.2800000000000001E-2</v>
      </c>
      <c r="F14">
        <f t="shared" si="1"/>
        <v>8.0000000000000002E-3</v>
      </c>
      <c r="G14">
        <f t="shared" si="2"/>
        <v>1.6000000000000001E-3</v>
      </c>
    </row>
    <row r="15" spans="1:10" ht="14.45" customHeight="1">
      <c r="A15" s="49" t="s">
        <v>517</v>
      </c>
      <c r="B15" s="49" t="s">
        <v>94</v>
      </c>
      <c r="C15" s="53">
        <v>6.0099999999999997E-3</v>
      </c>
      <c r="D15" s="49">
        <v>7.8399999999999997E-3</v>
      </c>
      <c r="E15">
        <f t="shared" si="0"/>
        <v>6.2719999999999998E-3</v>
      </c>
      <c r="F15">
        <f t="shared" si="1"/>
        <v>3.9199999999999999E-3</v>
      </c>
      <c r="G15">
        <f t="shared" si="2"/>
        <v>7.8399999999999997E-4</v>
      </c>
      <c r="H15" s="5"/>
      <c r="I15" s="5"/>
      <c r="J15" s="5"/>
    </row>
    <row r="16" spans="1:10" ht="14.45" customHeight="1">
      <c r="A16" s="49" t="s">
        <v>517</v>
      </c>
      <c r="B16" s="49" t="s">
        <v>103</v>
      </c>
      <c r="C16" s="49">
        <v>2.3999999999999998E-3</v>
      </c>
      <c r="D16" s="49">
        <v>2.3999999999999998E-3</v>
      </c>
      <c r="E16">
        <f t="shared" si="0"/>
        <v>1.9199999999999998E-3</v>
      </c>
      <c r="F16">
        <f t="shared" si="1"/>
        <v>1.1999999999999999E-3</v>
      </c>
      <c r="G16">
        <f t="shared" si="2"/>
        <v>2.3999999999999998E-4</v>
      </c>
      <c r="H16" s="5"/>
      <c r="I16" s="5"/>
      <c r="J16" s="5"/>
    </row>
    <row r="17" spans="1:10" ht="14.45" customHeight="1">
      <c r="A17" s="49" t="s">
        <v>517</v>
      </c>
      <c r="B17" s="49" t="s">
        <v>163</v>
      </c>
      <c r="C17" s="49">
        <v>2.1199999999999999E-3</v>
      </c>
      <c r="D17" s="49">
        <v>1.4E-3</v>
      </c>
      <c r="E17">
        <f t="shared" si="0"/>
        <v>1.1200000000000001E-3</v>
      </c>
      <c r="F17">
        <f t="shared" si="1"/>
        <v>6.9999999999999999E-4</v>
      </c>
      <c r="G17">
        <f t="shared" si="2"/>
        <v>1.4000000000000001E-4</v>
      </c>
      <c r="H17" s="5"/>
      <c r="I17" s="5"/>
    </row>
    <row r="18" spans="1:10" ht="14.45" customHeight="1">
      <c r="A18" s="49" t="s">
        <v>516</v>
      </c>
      <c r="B18" s="49" t="s">
        <v>512</v>
      </c>
      <c r="C18" s="49">
        <v>5.7800000000000004E-3</v>
      </c>
      <c r="D18" s="49">
        <v>0</v>
      </c>
      <c r="E18">
        <f t="shared" si="0"/>
        <v>0</v>
      </c>
      <c r="F18">
        <f t="shared" si="1"/>
        <v>0</v>
      </c>
      <c r="G18">
        <f t="shared" si="2"/>
        <v>0</v>
      </c>
      <c r="H18" s="5"/>
      <c r="I18" s="5"/>
      <c r="J18" s="5"/>
    </row>
    <row r="19" spans="1:10" ht="14.45" customHeight="1">
      <c r="A19" s="49" t="s">
        <v>516</v>
      </c>
      <c r="B19" s="49" t="s">
        <v>94</v>
      </c>
      <c r="C19" s="49">
        <v>6.4000000000000003E-3</v>
      </c>
      <c r="D19" s="49">
        <v>6.3699999999999998E-3</v>
      </c>
      <c r="E19">
        <f t="shared" si="0"/>
        <v>5.0959999999999998E-3</v>
      </c>
      <c r="F19">
        <f t="shared" si="1"/>
        <v>3.1849999999999999E-3</v>
      </c>
      <c r="G19">
        <f t="shared" si="2"/>
        <v>6.3699999999999998E-4</v>
      </c>
      <c r="H19" s="5"/>
      <c r="I19" s="5"/>
      <c r="J19" s="5"/>
    </row>
    <row r="20" spans="1:10" ht="14.45" customHeight="1">
      <c r="A20" s="49" t="s">
        <v>516</v>
      </c>
      <c r="B20" s="49" t="s">
        <v>103</v>
      </c>
      <c r="C20" s="49">
        <v>7.9699999999999997E-3</v>
      </c>
      <c r="D20" s="49">
        <v>7.9699999999999997E-3</v>
      </c>
      <c r="E20">
        <f t="shared" si="0"/>
        <v>6.3759999999999997E-3</v>
      </c>
      <c r="F20">
        <f t="shared" si="1"/>
        <v>3.9849999999999998E-3</v>
      </c>
      <c r="G20">
        <f t="shared" si="2"/>
        <v>7.9699999999999997E-4</v>
      </c>
    </row>
    <row r="21" spans="1:10" ht="14.45" customHeight="1">
      <c r="A21" s="49" t="s">
        <v>516</v>
      </c>
      <c r="B21" s="49" t="s">
        <v>105</v>
      </c>
      <c r="C21" s="49">
        <v>1.4500000000000001E-2</v>
      </c>
      <c r="D21" s="49">
        <v>1.4500000000000001E-2</v>
      </c>
      <c r="E21">
        <f t="shared" si="0"/>
        <v>1.1600000000000001E-2</v>
      </c>
      <c r="F21">
        <f t="shared" si="1"/>
        <v>7.2500000000000004E-3</v>
      </c>
      <c r="G21">
        <f t="shared" si="2"/>
        <v>1.4500000000000001E-3</v>
      </c>
    </row>
    <row r="22" spans="1:10" ht="14.45" customHeight="1">
      <c r="A22" s="49" t="s">
        <v>516</v>
      </c>
      <c r="B22" s="49" t="s">
        <v>163</v>
      </c>
      <c r="C22" s="49">
        <v>7.7999999999999999E-4</v>
      </c>
      <c r="D22" s="49">
        <v>7.7999999999999999E-4</v>
      </c>
      <c r="E22">
        <f t="shared" si="0"/>
        <v>6.2399999999999999E-4</v>
      </c>
      <c r="F22">
        <f t="shared" si="1"/>
        <v>3.8999999999999999E-4</v>
      </c>
      <c r="G22">
        <f t="shared" si="2"/>
        <v>7.7999999999999999E-5</v>
      </c>
    </row>
    <row r="23" spans="1:10" ht="14.45" customHeight="1">
      <c r="A23" s="49" t="s">
        <v>513</v>
      </c>
      <c r="B23" s="49" t="s">
        <v>512</v>
      </c>
      <c r="C23" s="49">
        <v>0</v>
      </c>
      <c r="D23" s="49">
        <v>0</v>
      </c>
      <c r="E23">
        <f t="shared" si="0"/>
        <v>0</v>
      </c>
      <c r="F23">
        <f t="shared" si="1"/>
        <v>0</v>
      </c>
      <c r="G23">
        <f t="shared" si="2"/>
        <v>0</v>
      </c>
    </row>
    <row r="24" spans="1:10" ht="14.45" customHeight="1">
      <c r="A24" s="49" t="s">
        <v>513</v>
      </c>
      <c r="B24" s="49" t="s">
        <v>94</v>
      </c>
      <c r="C24" s="49">
        <v>2.1940000000000001E-2</v>
      </c>
      <c r="D24" s="49">
        <v>2.5649999999999999E-2</v>
      </c>
      <c r="E24">
        <f t="shared" si="0"/>
        <v>2.052E-2</v>
      </c>
      <c r="F24">
        <f t="shared" si="1"/>
        <v>1.2825E-2</v>
      </c>
      <c r="G24">
        <f t="shared" si="2"/>
        <v>2.565E-3</v>
      </c>
    </row>
    <row r="25" spans="1:10" ht="14.45" customHeight="1">
      <c r="A25" s="49" t="s">
        <v>513</v>
      </c>
      <c r="B25" s="49" t="s">
        <v>58</v>
      </c>
      <c r="C25" s="49">
        <v>0.3276</v>
      </c>
      <c r="D25" s="49">
        <v>0.30120000000000002</v>
      </c>
      <c r="E25">
        <f t="shared" si="0"/>
        <v>0.24096000000000004</v>
      </c>
      <c r="F25">
        <f t="shared" si="1"/>
        <v>0.15060000000000001</v>
      </c>
      <c r="G25">
        <f t="shared" si="2"/>
        <v>3.0120000000000004E-2</v>
      </c>
    </row>
    <row r="26" spans="1:10" ht="14.45" customHeight="1">
      <c r="A26" s="49" t="s">
        <v>513</v>
      </c>
      <c r="B26" s="49" t="s">
        <v>163</v>
      </c>
      <c r="C26" s="49">
        <v>2.2599999999999999E-3</v>
      </c>
      <c r="D26" s="53">
        <v>2.3E-3</v>
      </c>
      <c r="E26">
        <f t="shared" si="0"/>
        <v>1.8400000000000001E-3</v>
      </c>
      <c r="F26">
        <f t="shared" si="1"/>
        <v>1.15E-3</v>
      </c>
      <c r="G26">
        <f t="shared" si="2"/>
        <v>2.3000000000000001E-4</v>
      </c>
      <c r="H26" s="5"/>
      <c r="I26" s="5"/>
      <c r="J26" s="5"/>
    </row>
    <row r="27" spans="1:10" ht="14.45" customHeight="1">
      <c r="A27" s="49" t="s">
        <v>514</v>
      </c>
      <c r="B27" s="49" t="s">
        <v>103</v>
      </c>
      <c r="C27" s="49">
        <v>2.0000000000000001E-4</v>
      </c>
      <c r="D27" s="49">
        <v>2.0000000000000001E-4</v>
      </c>
      <c r="E27">
        <f t="shared" si="0"/>
        <v>1.6000000000000001E-4</v>
      </c>
      <c r="F27">
        <f t="shared" si="1"/>
        <v>1E-4</v>
      </c>
      <c r="G27">
        <f t="shared" si="2"/>
        <v>2.0000000000000002E-5</v>
      </c>
    </row>
    <row r="28" spans="1:10" ht="14.45" customHeight="1">
      <c r="A28" s="49" t="s">
        <v>514</v>
      </c>
      <c r="B28" s="49" t="s">
        <v>512</v>
      </c>
      <c r="C28" s="49">
        <v>6.77E-3</v>
      </c>
      <c r="D28" s="49">
        <v>1.34E-2</v>
      </c>
      <c r="E28">
        <f t="shared" si="0"/>
        <v>1.072E-2</v>
      </c>
      <c r="F28">
        <f t="shared" si="1"/>
        <v>6.7000000000000002E-3</v>
      </c>
      <c r="G28">
        <f t="shared" si="2"/>
        <v>1.34E-3</v>
      </c>
    </row>
    <row r="29" spans="1:10" ht="14.45" customHeight="1">
      <c r="A29" s="49" t="s">
        <v>514</v>
      </c>
      <c r="B29" s="49" t="s">
        <v>94</v>
      </c>
      <c r="C29" s="49">
        <v>2.445E-2</v>
      </c>
      <c r="D29" s="49">
        <v>2.4639999999999999E-2</v>
      </c>
      <c r="E29">
        <f t="shared" si="0"/>
        <v>1.9712E-2</v>
      </c>
      <c r="F29">
        <f t="shared" si="1"/>
        <v>1.2319999999999999E-2</v>
      </c>
      <c r="G29">
        <f t="shared" si="2"/>
        <v>2.464E-3</v>
      </c>
    </row>
    <row r="30" spans="1:10" ht="14.45" customHeight="1">
      <c r="A30" s="49" t="s">
        <v>514</v>
      </c>
      <c r="B30" s="49" t="s">
        <v>107</v>
      </c>
      <c r="C30" s="49">
        <v>3.4000000000000002E-2</v>
      </c>
      <c r="D30" s="49">
        <v>3.4000000000000002E-2</v>
      </c>
      <c r="E30">
        <f t="shared" si="0"/>
        <v>2.7200000000000002E-2</v>
      </c>
      <c r="F30">
        <f t="shared" si="1"/>
        <v>1.7000000000000001E-2</v>
      </c>
      <c r="G30">
        <f t="shared" si="2"/>
        <v>3.4000000000000002E-3</v>
      </c>
    </row>
    <row r="31" spans="1:10" ht="14.45" customHeight="1">
      <c r="A31" s="49" t="s">
        <v>514</v>
      </c>
      <c r="B31" s="49" t="s">
        <v>163</v>
      </c>
      <c r="C31" s="49">
        <v>5.8999999999999997E-2</v>
      </c>
      <c r="D31" s="49">
        <v>5.8999999999999997E-2</v>
      </c>
      <c r="E31">
        <f t="shared" si="0"/>
        <v>4.7199999999999999E-2</v>
      </c>
      <c r="F31">
        <f t="shared" si="1"/>
        <v>2.9499999999999998E-2</v>
      </c>
      <c r="G31">
        <f t="shared" si="2"/>
        <v>5.8999999999999999E-3</v>
      </c>
    </row>
    <row r="32" spans="1:10" ht="14.45" customHeight="1">
      <c r="A32" s="49" t="s">
        <v>515</v>
      </c>
      <c r="B32" s="49" t="s">
        <v>512</v>
      </c>
      <c r="C32" s="49">
        <v>4.3400000000000001E-3</v>
      </c>
      <c r="D32" s="49">
        <v>9.9000000000000008E-3</v>
      </c>
      <c r="E32">
        <f t="shared" si="0"/>
        <v>7.9200000000000017E-3</v>
      </c>
      <c r="F32">
        <f t="shared" si="1"/>
        <v>4.9500000000000004E-3</v>
      </c>
      <c r="G32">
        <f t="shared" si="2"/>
        <v>9.9000000000000021E-4</v>
      </c>
    </row>
    <row r="33" spans="1:12" ht="14.45" customHeight="1">
      <c r="A33" s="49" t="s">
        <v>515</v>
      </c>
      <c r="B33" s="49" t="s">
        <v>94</v>
      </c>
      <c r="C33" s="49">
        <v>9.3900000000000008E-3</v>
      </c>
      <c r="D33" s="49">
        <v>1.511E-2</v>
      </c>
      <c r="E33">
        <f t="shared" si="0"/>
        <v>1.2088000000000002E-2</v>
      </c>
      <c r="F33">
        <f t="shared" si="1"/>
        <v>7.5550000000000001E-3</v>
      </c>
      <c r="G33">
        <f t="shared" si="2"/>
        <v>1.5110000000000002E-3</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topLeftCell="A151" zoomScale="90" zoomScaleNormal="90" zoomScalePageLayoutView="90" workbookViewId="0">
      <selection activeCell="A212" sqref="A212"/>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I25" sqref="I25"/>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17"/>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row r="17" spans="4:4">
      <c r="D17" s="4" t="s">
        <v>518</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C19" sqref="C19"/>
    </sheetView>
  </sheetViews>
  <sheetFormatPr defaultColWidth="11.42578125" defaultRowHeight="15"/>
  <cols>
    <col min="1" max="1" width="33.5703125" style="4" customWidth="1"/>
    <col min="2" max="2" width="26.1406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t="s">
        <v>517</v>
      </c>
      <c r="B6" s="4" t="s">
        <v>331</v>
      </c>
      <c r="C6" s="26">
        <v>2</v>
      </c>
      <c r="D6" s="26">
        <v>2</v>
      </c>
      <c r="E6" s="26">
        <v>2</v>
      </c>
      <c r="F6" s="26">
        <v>2</v>
      </c>
      <c r="G6" s="26">
        <v>2</v>
      </c>
      <c r="H6" s="26">
        <v>2</v>
      </c>
      <c r="I6" s="26">
        <v>2</v>
      </c>
      <c r="J6" s="26">
        <v>2</v>
      </c>
    </row>
    <row r="7" spans="1:10">
      <c r="A7" t="s">
        <v>513</v>
      </c>
      <c r="B7" s="4" t="s">
        <v>331</v>
      </c>
      <c r="C7" s="26">
        <v>2</v>
      </c>
      <c r="D7" s="26">
        <v>2</v>
      </c>
      <c r="E7" s="26">
        <v>2</v>
      </c>
      <c r="F7" s="26">
        <v>2</v>
      </c>
      <c r="G7" s="26">
        <v>2</v>
      </c>
      <c r="H7" s="26">
        <v>2</v>
      </c>
      <c r="I7" s="26">
        <v>2</v>
      </c>
      <c r="J7" s="26">
        <v>2</v>
      </c>
    </row>
    <row r="8" spans="1:10">
      <c r="A8" t="s">
        <v>516</v>
      </c>
      <c r="B8" s="4" t="s">
        <v>331</v>
      </c>
      <c r="C8" s="26">
        <v>2</v>
      </c>
      <c r="D8" s="26">
        <v>2</v>
      </c>
      <c r="E8" s="26">
        <v>2</v>
      </c>
      <c r="F8" s="26">
        <v>2</v>
      </c>
      <c r="G8" s="26">
        <v>2</v>
      </c>
      <c r="H8" s="26">
        <v>2</v>
      </c>
      <c r="I8" s="26">
        <v>2</v>
      </c>
      <c r="J8" s="26">
        <v>2</v>
      </c>
    </row>
    <row r="9" spans="1:10">
      <c r="A9" t="s">
        <v>514</v>
      </c>
      <c r="B9" s="4" t="s">
        <v>331</v>
      </c>
      <c r="C9" s="26">
        <v>2</v>
      </c>
      <c r="D9" s="26">
        <v>2</v>
      </c>
      <c r="E9" s="26">
        <v>2</v>
      </c>
      <c r="F9" s="26">
        <v>2</v>
      </c>
      <c r="G9" s="26">
        <v>2</v>
      </c>
      <c r="H9" s="26">
        <v>2</v>
      </c>
      <c r="I9" s="26">
        <v>2</v>
      </c>
      <c r="J9" s="26">
        <v>2</v>
      </c>
    </row>
    <row r="10" spans="1:10">
      <c r="A10" t="s">
        <v>509</v>
      </c>
      <c r="B10" s="4" t="s">
        <v>331</v>
      </c>
      <c r="C10" s="26">
        <v>0.5</v>
      </c>
      <c r="D10" s="26">
        <v>0.5</v>
      </c>
      <c r="E10" s="26">
        <v>0.5</v>
      </c>
      <c r="F10" s="26">
        <v>0.5</v>
      </c>
      <c r="G10" s="26">
        <v>0.5</v>
      </c>
      <c r="H10" s="26">
        <v>0.5</v>
      </c>
      <c r="I10" s="26">
        <v>0.5</v>
      </c>
      <c r="J10" s="26">
        <v>0.5</v>
      </c>
    </row>
    <row r="11" spans="1:10">
      <c r="A11" t="s">
        <v>508</v>
      </c>
      <c r="B11" s="4" t="s">
        <v>331</v>
      </c>
      <c r="C11" s="26">
        <v>0.5</v>
      </c>
      <c r="D11" s="26">
        <v>0.5</v>
      </c>
      <c r="E11" s="26">
        <v>0.5</v>
      </c>
      <c r="F11" s="26">
        <v>0.5</v>
      </c>
      <c r="G11" s="26">
        <v>0.5</v>
      </c>
      <c r="H11" s="26">
        <v>0.5</v>
      </c>
      <c r="I11" s="26">
        <v>0.5</v>
      </c>
      <c r="J11" s="26">
        <v>0.5</v>
      </c>
    </row>
    <row r="12" spans="1:10">
      <c r="A12" t="s">
        <v>510</v>
      </c>
      <c r="B12" s="4" t="s">
        <v>331</v>
      </c>
      <c r="C12" s="26">
        <v>0.5</v>
      </c>
      <c r="D12" s="26">
        <v>0.5</v>
      </c>
      <c r="E12" s="26">
        <v>0.5</v>
      </c>
      <c r="F12" s="26">
        <v>0.5</v>
      </c>
      <c r="G12" s="26">
        <v>0.5</v>
      </c>
      <c r="H12" s="26">
        <v>0.5</v>
      </c>
      <c r="I12" s="26">
        <v>0.5</v>
      </c>
      <c r="J12" s="26">
        <v>0.5</v>
      </c>
    </row>
    <row r="13" spans="1:10">
      <c r="A13" t="s">
        <v>515</v>
      </c>
      <c r="B13" s="4" t="s">
        <v>331</v>
      </c>
      <c r="C13" s="26">
        <v>2</v>
      </c>
      <c r="D13" s="26">
        <v>2</v>
      </c>
      <c r="E13" s="26">
        <v>2</v>
      </c>
      <c r="F13" s="26">
        <v>2</v>
      </c>
      <c r="G13" s="26">
        <v>2</v>
      </c>
      <c r="H13" s="26">
        <v>2</v>
      </c>
      <c r="I13" s="26">
        <v>2</v>
      </c>
      <c r="J13" s="26">
        <v>2</v>
      </c>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topLeftCell="A49" workbookViewId="0">
      <selection activeCell="A88" sqref="A88"/>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t="s">
        <v>517</v>
      </c>
      <c r="B6" t="s">
        <v>519</v>
      </c>
      <c r="C6" s="16">
        <v>0.92009812877442665</v>
      </c>
      <c r="D6" s="16">
        <v>0.92009812877442665</v>
      </c>
      <c r="E6" s="16">
        <v>0.92009812877442665</v>
      </c>
      <c r="F6" s="16">
        <v>0.92009812877442665</v>
      </c>
      <c r="G6" s="16">
        <v>0.92009812877442665</v>
      </c>
      <c r="H6" s="16">
        <v>0.92009812877442665</v>
      </c>
      <c r="I6" s="16">
        <v>0.92009812877442665</v>
      </c>
      <c r="J6" s="16">
        <v>0.92009812877442665</v>
      </c>
    </row>
    <row r="7" spans="1:12">
      <c r="A7" t="s">
        <v>513</v>
      </c>
      <c r="B7" t="s">
        <v>519</v>
      </c>
      <c r="C7" s="16">
        <v>0.16887687785347003</v>
      </c>
      <c r="D7" s="16">
        <v>0.16887687785347003</v>
      </c>
      <c r="E7" s="16">
        <v>0.16887687785347003</v>
      </c>
      <c r="F7" s="16">
        <v>0.16887687785347003</v>
      </c>
      <c r="G7" s="16">
        <v>0.16887687785347003</v>
      </c>
      <c r="H7" s="16">
        <v>0.16887687785347003</v>
      </c>
      <c r="I7" s="16">
        <v>0.16887687785347003</v>
      </c>
      <c r="J7" s="16">
        <v>0.16887687785347003</v>
      </c>
    </row>
    <row r="8" spans="1:12">
      <c r="A8" t="s">
        <v>516</v>
      </c>
      <c r="B8" t="s">
        <v>519</v>
      </c>
      <c r="C8" s="16">
        <v>0.50423704154684668</v>
      </c>
      <c r="D8" s="16">
        <v>0.50423704154684668</v>
      </c>
      <c r="E8" s="16">
        <v>0.50423704154684668</v>
      </c>
      <c r="F8" s="16">
        <v>0.50423704154684668</v>
      </c>
      <c r="G8" s="16">
        <v>0.50423704154684668</v>
      </c>
      <c r="H8" s="16">
        <v>0.50423704154684668</v>
      </c>
      <c r="I8" s="16">
        <v>0.50423704154684668</v>
      </c>
      <c r="J8" s="16">
        <v>0.50423704154684668</v>
      </c>
    </row>
    <row r="9" spans="1:12">
      <c r="A9" t="s">
        <v>514</v>
      </c>
      <c r="B9" t="s">
        <v>519</v>
      </c>
      <c r="C9" s="16">
        <v>0.50669245342161007</v>
      </c>
      <c r="D9" s="16">
        <v>0.50669245342161007</v>
      </c>
      <c r="E9" s="16">
        <v>0.50669245342161007</v>
      </c>
      <c r="F9" s="16">
        <v>0.50669245342161007</v>
      </c>
      <c r="G9" s="16">
        <v>0.50669245342161007</v>
      </c>
      <c r="H9" s="16">
        <v>0.50669245342161007</v>
      </c>
      <c r="I9" s="16">
        <v>0.50669245342161007</v>
      </c>
      <c r="J9" s="16">
        <v>0.50669245342161007</v>
      </c>
    </row>
    <row r="10" spans="1:12">
      <c r="A10" t="s">
        <v>509</v>
      </c>
      <c r="B10" t="s">
        <v>519</v>
      </c>
      <c r="C10" s="16">
        <v>2.6457591623739233E-2</v>
      </c>
      <c r="D10" s="16">
        <v>2.6457591623739233E-2</v>
      </c>
      <c r="E10" s="16">
        <v>2.6457591623739233E-2</v>
      </c>
      <c r="F10" s="16">
        <v>2.6457591623739233E-2</v>
      </c>
      <c r="G10" s="16">
        <v>2.6457591623739233E-2</v>
      </c>
      <c r="H10" s="16">
        <v>2.6457591623739233E-2</v>
      </c>
      <c r="I10" s="16">
        <v>2.6457591623739233E-2</v>
      </c>
      <c r="J10" s="16">
        <v>2.6457591623739233E-2</v>
      </c>
    </row>
    <row r="11" spans="1:12">
      <c r="A11" t="s">
        <v>508</v>
      </c>
      <c r="B11" t="s">
        <v>519</v>
      </c>
      <c r="C11" s="16">
        <v>0.35425048839695333</v>
      </c>
      <c r="D11" s="16">
        <v>0.35425048839695333</v>
      </c>
      <c r="E11" s="16">
        <v>0.35425048839695333</v>
      </c>
      <c r="F11" s="16">
        <v>0.35425048839695333</v>
      </c>
      <c r="G11" s="16">
        <v>0.35425048839695333</v>
      </c>
      <c r="H11" s="16">
        <v>0.35425048839695333</v>
      </c>
      <c r="I11" s="16">
        <v>0.35425048839695333</v>
      </c>
      <c r="J11" s="16">
        <v>0.35425048839695333</v>
      </c>
    </row>
    <row r="12" spans="1:12">
      <c r="A12" t="s">
        <v>510</v>
      </c>
      <c r="B12" t="s">
        <v>519</v>
      </c>
      <c r="C12" s="16">
        <v>1.4564160888894432E-2</v>
      </c>
      <c r="D12" s="16">
        <v>1.4564160888894432E-2</v>
      </c>
      <c r="E12" s="16">
        <v>1.4564160888894432E-2</v>
      </c>
      <c r="F12" s="16">
        <v>1.4564160888894432E-2</v>
      </c>
      <c r="G12" s="16">
        <v>1.4564160888894432E-2</v>
      </c>
      <c r="H12" s="16">
        <v>1.4564160888894432E-2</v>
      </c>
      <c r="I12" s="16">
        <v>1.4564160888894432E-2</v>
      </c>
      <c r="J12" s="16">
        <v>1.4564160888894432E-2</v>
      </c>
    </row>
    <row r="13" spans="1:12">
      <c r="A13" t="s">
        <v>515</v>
      </c>
      <c r="B13" t="s">
        <v>519</v>
      </c>
      <c r="C13" s="16">
        <v>0.35552170288292001</v>
      </c>
      <c r="D13" s="16">
        <v>0.35552170288292001</v>
      </c>
      <c r="E13" s="16">
        <v>0.35552170288292001</v>
      </c>
      <c r="F13" s="16">
        <v>0.35552170288292001</v>
      </c>
      <c r="G13" s="16">
        <v>0.35552170288292001</v>
      </c>
      <c r="H13" s="16">
        <v>0.35552170288292001</v>
      </c>
      <c r="I13" s="16">
        <v>0.35552170288292001</v>
      </c>
      <c r="J13" s="16">
        <v>0.35552170288292001</v>
      </c>
    </row>
    <row r="14" spans="1:12">
      <c r="A14" t="s">
        <v>517</v>
      </c>
      <c r="B14" t="s">
        <v>520</v>
      </c>
      <c r="C14" s="16">
        <v>0.92009812877442665</v>
      </c>
      <c r="D14" s="16">
        <v>0.92009812877442665</v>
      </c>
      <c r="E14" s="16">
        <v>0.92009812877442665</v>
      </c>
      <c r="F14" s="16">
        <v>0.92009812877442665</v>
      </c>
      <c r="G14" s="16">
        <v>0.92009812877442665</v>
      </c>
      <c r="H14" s="16">
        <v>0.92009812877442665</v>
      </c>
      <c r="I14" s="16">
        <v>0.92009812877442665</v>
      </c>
      <c r="J14" s="16">
        <v>0.92009812877442665</v>
      </c>
    </row>
    <row r="15" spans="1:12">
      <c r="A15" t="s">
        <v>513</v>
      </c>
      <c r="B15" t="s">
        <v>520</v>
      </c>
      <c r="C15" s="16">
        <v>0.16887687785347003</v>
      </c>
      <c r="D15" s="16">
        <v>0.16887687785347003</v>
      </c>
      <c r="E15" s="16">
        <v>0.16887687785347003</v>
      </c>
      <c r="F15" s="16">
        <v>0.16887687785347003</v>
      </c>
      <c r="G15" s="16">
        <v>0.16887687785347003</v>
      </c>
      <c r="H15" s="16">
        <v>0.16887687785347003</v>
      </c>
      <c r="I15" s="16">
        <v>0.16887687785347003</v>
      </c>
      <c r="J15" s="16">
        <v>0.16887687785347003</v>
      </c>
    </row>
    <row r="16" spans="1:12">
      <c r="A16" t="s">
        <v>516</v>
      </c>
      <c r="B16" t="s">
        <v>520</v>
      </c>
      <c r="C16" s="16">
        <v>0.50423704154684668</v>
      </c>
      <c r="D16" s="16">
        <v>0.50423704154684668</v>
      </c>
      <c r="E16" s="16">
        <v>0.50423704154684668</v>
      </c>
      <c r="F16" s="16">
        <v>0.50423704154684668</v>
      </c>
      <c r="G16" s="16">
        <v>0.50423704154684668</v>
      </c>
      <c r="H16" s="16">
        <v>0.50423704154684668</v>
      </c>
      <c r="I16" s="16">
        <v>0.50423704154684668</v>
      </c>
      <c r="J16" s="16">
        <v>0.50423704154684668</v>
      </c>
    </row>
    <row r="17" spans="1:10">
      <c r="A17" t="s">
        <v>514</v>
      </c>
      <c r="B17" t="s">
        <v>520</v>
      </c>
      <c r="C17" s="16">
        <v>0.50669245342161007</v>
      </c>
      <c r="D17" s="16">
        <v>0.50669245342161007</v>
      </c>
      <c r="E17" s="16">
        <v>0.50669245342161007</v>
      </c>
      <c r="F17" s="16">
        <v>0.50669245342161007</v>
      </c>
      <c r="G17" s="16">
        <v>0.50669245342161007</v>
      </c>
      <c r="H17" s="16">
        <v>0.50669245342161007</v>
      </c>
      <c r="I17" s="16">
        <v>0.50669245342161007</v>
      </c>
      <c r="J17" s="16">
        <v>0.50669245342161007</v>
      </c>
    </row>
    <row r="18" spans="1:10">
      <c r="A18" t="s">
        <v>509</v>
      </c>
      <c r="B18" t="s">
        <v>520</v>
      </c>
      <c r="C18" s="16">
        <v>2.6457591623739233E-2</v>
      </c>
      <c r="D18" s="16">
        <v>2.6457591623739233E-2</v>
      </c>
      <c r="E18" s="16">
        <v>2.6457591623739233E-2</v>
      </c>
      <c r="F18" s="16">
        <v>2.6457591623739233E-2</v>
      </c>
      <c r="G18" s="16">
        <v>2.6457591623739233E-2</v>
      </c>
      <c r="H18" s="16">
        <v>2.6457591623739233E-2</v>
      </c>
      <c r="I18" s="16">
        <v>2.6457591623739233E-2</v>
      </c>
      <c r="J18" s="16">
        <v>2.6457591623739233E-2</v>
      </c>
    </row>
    <row r="19" spans="1:10">
      <c r="A19" t="s">
        <v>508</v>
      </c>
      <c r="B19" t="s">
        <v>520</v>
      </c>
      <c r="C19" s="16">
        <v>0.35425048839695333</v>
      </c>
      <c r="D19" s="16">
        <v>0.35425048839695333</v>
      </c>
      <c r="E19" s="16">
        <v>0.35425048839695333</v>
      </c>
      <c r="F19" s="16">
        <v>0.35425048839695333</v>
      </c>
      <c r="G19" s="16">
        <v>0.35425048839695333</v>
      </c>
      <c r="H19" s="16">
        <v>0.35425048839695333</v>
      </c>
      <c r="I19" s="16">
        <v>0.35425048839695333</v>
      </c>
      <c r="J19" s="16">
        <v>0.35425048839695333</v>
      </c>
    </row>
    <row r="20" spans="1:10">
      <c r="A20" t="s">
        <v>510</v>
      </c>
      <c r="B20" t="s">
        <v>520</v>
      </c>
      <c r="C20" s="16">
        <v>1.4564160888894432E-2</v>
      </c>
      <c r="D20" s="16">
        <v>1.4564160888894432E-2</v>
      </c>
      <c r="E20" s="16">
        <v>1.4564160888894432E-2</v>
      </c>
      <c r="F20" s="16">
        <v>1.4564160888894432E-2</v>
      </c>
      <c r="G20" s="16">
        <v>1.4564160888894432E-2</v>
      </c>
      <c r="H20" s="16">
        <v>1.4564160888894432E-2</v>
      </c>
      <c r="I20" s="16">
        <v>1.4564160888894432E-2</v>
      </c>
      <c r="J20" s="16">
        <v>1.4564160888894432E-2</v>
      </c>
    </row>
    <row r="21" spans="1:10">
      <c r="A21" t="s">
        <v>515</v>
      </c>
      <c r="B21" t="s">
        <v>520</v>
      </c>
      <c r="C21" s="16">
        <v>0.35552170288292001</v>
      </c>
      <c r="D21" s="16">
        <v>0.35552170288292001</v>
      </c>
      <c r="E21" s="16">
        <v>0.35552170288292001</v>
      </c>
      <c r="F21" s="16">
        <v>0.35552170288292001</v>
      </c>
      <c r="G21" s="16">
        <v>0.35552170288292001</v>
      </c>
      <c r="H21" s="16">
        <v>0.35552170288292001</v>
      </c>
      <c r="I21" s="16">
        <v>0.35552170288292001</v>
      </c>
      <c r="J21" s="16">
        <v>0.35552170288292001</v>
      </c>
    </row>
    <row r="22" spans="1:10">
      <c r="A22" t="s">
        <v>517</v>
      </c>
      <c r="B22" t="s">
        <v>521</v>
      </c>
      <c r="C22" s="16">
        <v>0.92009812877442665</v>
      </c>
      <c r="D22" s="16">
        <v>0.92009812877442665</v>
      </c>
      <c r="E22" s="16">
        <v>0.92009812877442665</v>
      </c>
      <c r="F22" s="16">
        <v>0.92009812877442665</v>
      </c>
      <c r="G22" s="16">
        <v>0.92009812877442665</v>
      </c>
      <c r="H22" s="16">
        <v>0.92009812877442665</v>
      </c>
      <c r="I22" s="16">
        <v>0.92009812877442665</v>
      </c>
      <c r="J22" s="16">
        <v>0.92009812877442665</v>
      </c>
    </row>
    <row r="23" spans="1:10">
      <c r="A23" t="s">
        <v>513</v>
      </c>
      <c r="B23" t="s">
        <v>521</v>
      </c>
      <c r="C23" s="16">
        <v>0.16887687785347003</v>
      </c>
      <c r="D23" s="16">
        <v>0.16887687785347003</v>
      </c>
      <c r="E23" s="16">
        <v>0.16887687785347003</v>
      </c>
      <c r="F23" s="16">
        <v>0.16887687785347003</v>
      </c>
      <c r="G23" s="16">
        <v>0.16887687785347003</v>
      </c>
      <c r="H23" s="16">
        <v>0.16887687785347003</v>
      </c>
      <c r="I23" s="16">
        <v>0.16887687785347003</v>
      </c>
      <c r="J23" s="16">
        <v>0.16887687785347003</v>
      </c>
    </row>
    <row r="24" spans="1:10">
      <c r="A24" t="s">
        <v>516</v>
      </c>
      <c r="B24" t="s">
        <v>521</v>
      </c>
      <c r="C24" s="16">
        <v>0.50423704154684668</v>
      </c>
      <c r="D24" s="16">
        <v>0.50423704154684668</v>
      </c>
      <c r="E24" s="16">
        <v>0.50423704154684668</v>
      </c>
      <c r="F24" s="16">
        <v>0.50423704154684668</v>
      </c>
      <c r="G24" s="16">
        <v>0.50423704154684668</v>
      </c>
      <c r="H24" s="16">
        <v>0.50423704154684668</v>
      </c>
      <c r="I24" s="16">
        <v>0.50423704154684668</v>
      </c>
      <c r="J24" s="16">
        <v>0.50423704154684668</v>
      </c>
    </row>
    <row r="25" spans="1:10">
      <c r="A25" t="s">
        <v>514</v>
      </c>
      <c r="B25" t="s">
        <v>521</v>
      </c>
      <c r="C25" s="16">
        <v>0.50669245342161007</v>
      </c>
      <c r="D25" s="16">
        <v>0.50669245342161007</v>
      </c>
      <c r="E25" s="16">
        <v>0.50669245342161007</v>
      </c>
      <c r="F25" s="16">
        <v>0.50669245342161007</v>
      </c>
      <c r="G25" s="16">
        <v>0.50669245342161007</v>
      </c>
      <c r="H25" s="16">
        <v>0.50669245342161007</v>
      </c>
      <c r="I25" s="16">
        <v>0.50669245342161007</v>
      </c>
      <c r="J25" s="16">
        <v>0.50669245342161007</v>
      </c>
    </row>
    <row r="26" spans="1:10">
      <c r="A26" t="s">
        <v>509</v>
      </c>
      <c r="B26" t="s">
        <v>521</v>
      </c>
      <c r="C26" s="16">
        <v>2.6457591623739233E-2</v>
      </c>
      <c r="D26" s="16">
        <v>2.6457591623739233E-2</v>
      </c>
      <c r="E26" s="16">
        <v>2.6457591623739233E-2</v>
      </c>
      <c r="F26" s="16">
        <v>2.6457591623739233E-2</v>
      </c>
      <c r="G26" s="16">
        <v>2.6457591623739233E-2</v>
      </c>
      <c r="H26" s="16">
        <v>2.6457591623739233E-2</v>
      </c>
      <c r="I26" s="16">
        <v>2.6457591623739233E-2</v>
      </c>
      <c r="J26" s="16">
        <v>2.6457591623739233E-2</v>
      </c>
    </row>
    <row r="27" spans="1:10">
      <c r="A27" t="s">
        <v>508</v>
      </c>
      <c r="B27" t="s">
        <v>521</v>
      </c>
      <c r="C27" s="16">
        <v>0.35425048839695333</v>
      </c>
      <c r="D27" s="16">
        <v>0.35425048839695333</v>
      </c>
      <c r="E27" s="16">
        <v>0.35425048839695333</v>
      </c>
      <c r="F27" s="16">
        <v>0.35425048839695333</v>
      </c>
      <c r="G27" s="16">
        <v>0.35425048839695333</v>
      </c>
      <c r="H27" s="16">
        <v>0.35425048839695333</v>
      </c>
      <c r="I27" s="16">
        <v>0.35425048839695333</v>
      </c>
      <c r="J27" s="16">
        <v>0.35425048839695333</v>
      </c>
    </row>
    <row r="28" spans="1:10">
      <c r="A28" t="s">
        <v>510</v>
      </c>
      <c r="B28" t="s">
        <v>521</v>
      </c>
      <c r="C28" s="16">
        <v>1.4564160888894432E-2</v>
      </c>
      <c r="D28" s="16">
        <v>1.4564160888894432E-2</v>
      </c>
      <c r="E28" s="16">
        <v>1.4564160888894432E-2</v>
      </c>
      <c r="F28" s="16">
        <v>1.4564160888894432E-2</v>
      </c>
      <c r="G28" s="16">
        <v>1.4564160888894432E-2</v>
      </c>
      <c r="H28" s="16">
        <v>1.4564160888894432E-2</v>
      </c>
      <c r="I28" s="16">
        <v>1.4564160888894432E-2</v>
      </c>
      <c r="J28" s="16">
        <v>1.4564160888894432E-2</v>
      </c>
    </row>
    <row r="29" spans="1:10">
      <c r="A29" t="s">
        <v>515</v>
      </c>
      <c r="B29" t="s">
        <v>521</v>
      </c>
      <c r="C29" s="16">
        <v>0.35552170288292001</v>
      </c>
      <c r="D29" s="16">
        <v>0.35552170288292001</v>
      </c>
      <c r="E29" s="16">
        <v>0.35552170288292001</v>
      </c>
      <c r="F29" s="16">
        <v>0.35552170288292001</v>
      </c>
      <c r="G29" s="16">
        <v>0.35552170288292001</v>
      </c>
      <c r="H29" s="16">
        <v>0.35552170288292001</v>
      </c>
      <c r="I29" s="16">
        <v>0.35552170288292001</v>
      </c>
      <c r="J29" s="16">
        <v>0.35552170288292001</v>
      </c>
    </row>
    <row r="30" spans="1:10">
      <c r="A30" t="s">
        <v>517</v>
      </c>
      <c r="B30" t="s">
        <v>95</v>
      </c>
      <c r="C30" s="16">
        <v>4.3814196608306002</v>
      </c>
      <c r="D30" s="16">
        <v>4.3814196608306002</v>
      </c>
      <c r="E30" s="16">
        <v>4.3814196608306002</v>
      </c>
      <c r="F30" s="16">
        <v>4.3814196608306002</v>
      </c>
      <c r="G30" s="16">
        <v>4.3814196608306002</v>
      </c>
      <c r="H30" s="16">
        <v>4.3814196608306002</v>
      </c>
      <c r="I30" s="16">
        <v>4.3814196608306002</v>
      </c>
      <c r="J30" s="16">
        <v>4.3814196608306002</v>
      </c>
    </row>
    <row r="31" spans="1:10">
      <c r="A31" t="s">
        <v>513</v>
      </c>
      <c r="B31" t="s">
        <v>95</v>
      </c>
      <c r="C31" s="16">
        <v>0.80417560882604666</v>
      </c>
      <c r="D31" s="16">
        <v>0.80417560882604666</v>
      </c>
      <c r="E31" s="16">
        <v>0.80417560882604699</v>
      </c>
      <c r="F31" s="16">
        <v>0.80417560882604699</v>
      </c>
      <c r="G31" s="16">
        <v>0.80417560882604699</v>
      </c>
      <c r="H31" s="16">
        <v>0.80417560882604699</v>
      </c>
      <c r="I31" s="16">
        <v>0.80417560882604699</v>
      </c>
      <c r="J31" s="16">
        <v>0.80417560882604699</v>
      </c>
    </row>
    <row r="32" spans="1:10">
      <c r="A32" t="s">
        <v>516</v>
      </c>
      <c r="B32" t="s">
        <v>95</v>
      </c>
      <c r="C32" s="16">
        <v>2.4011287692707097</v>
      </c>
      <c r="D32" s="16">
        <v>2.4011287692707097</v>
      </c>
      <c r="E32" s="16">
        <v>2.4011287692707102</v>
      </c>
      <c r="F32" s="16">
        <v>2.4011287692707102</v>
      </c>
      <c r="G32" s="16">
        <v>2.4011287692707102</v>
      </c>
      <c r="H32" s="16">
        <v>2.4011287692707102</v>
      </c>
      <c r="I32" s="16">
        <v>2.4011287692707102</v>
      </c>
      <c r="J32" s="16">
        <v>2.4011287692707102</v>
      </c>
    </row>
    <row r="33" spans="1:10">
      <c r="A33" t="s">
        <v>514</v>
      </c>
      <c r="B33" t="s">
        <v>95</v>
      </c>
      <c r="C33" s="16">
        <v>2.4128212067695767</v>
      </c>
      <c r="D33" s="16">
        <v>2.4128212067695767</v>
      </c>
      <c r="E33" s="16">
        <v>2.4128212067695798</v>
      </c>
      <c r="F33" s="16">
        <v>2.4128212067695798</v>
      </c>
      <c r="G33" s="16">
        <v>2.4128212067695798</v>
      </c>
      <c r="H33" s="16">
        <v>2.4128212067695798</v>
      </c>
      <c r="I33" s="16">
        <v>2.4128212067695798</v>
      </c>
      <c r="J33" s="16">
        <v>2.4128212067695798</v>
      </c>
    </row>
    <row r="34" spans="1:10">
      <c r="A34" t="s">
        <v>509</v>
      </c>
      <c r="B34" t="s">
        <v>95</v>
      </c>
      <c r="C34" s="16">
        <v>0.12598853154161535</v>
      </c>
      <c r="D34" s="16">
        <v>0.12598853154161535</v>
      </c>
      <c r="E34" s="16">
        <v>0.12598853154161499</v>
      </c>
      <c r="F34" s="16">
        <v>0.12598853154161499</v>
      </c>
      <c r="G34" s="16">
        <v>0.12598853154161499</v>
      </c>
      <c r="H34" s="16">
        <v>0.12598853154161499</v>
      </c>
      <c r="I34" s="16">
        <v>0.12598853154161499</v>
      </c>
      <c r="J34" s="16">
        <v>0.12598853154161499</v>
      </c>
    </row>
    <row r="35" spans="1:10">
      <c r="A35" t="s">
        <v>508</v>
      </c>
      <c r="B35" t="s">
        <v>95</v>
      </c>
      <c r="C35" s="16">
        <v>1.6869070876045533</v>
      </c>
      <c r="D35" s="16">
        <v>1.6869070876045533</v>
      </c>
      <c r="E35" s="16">
        <v>1.68690708760455</v>
      </c>
      <c r="F35" s="16">
        <v>1.68690708760455</v>
      </c>
      <c r="G35" s="16">
        <v>1.68690708760455</v>
      </c>
      <c r="H35" s="16">
        <v>1.68690708760455</v>
      </c>
      <c r="I35" s="16">
        <v>1.68690708760455</v>
      </c>
      <c r="J35" s="16">
        <v>1.68690708760455</v>
      </c>
    </row>
    <row r="36" spans="1:10">
      <c r="A36" t="s">
        <v>510</v>
      </c>
      <c r="B36" t="s">
        <v>95</v>
      </c>
      <c r="C36" s="16">
        <v>6.9353147089973324E-2</v>
      </c>
      <c r="D36" s="16">
        <v>6.9353147089973324E-2</v>
      </c>
      <c r="E36" s="16">
        <v>6.9353147089973297E-2</v>
      </c>
      <c r="F36" s="16">
        <v>6.9353147089973297E-2</v>
      </c>
      <c r="G36" s="16">
        <v>6.9353147089973297E-2</v>
      </c>
      <c r="H36" s="16">
        <v>6.9353147089973297E-2</v>
      </c>
      <c r="I36" s="16">
        <v>6.9353147089973297E-2</v>
      </c>
      <c r="J36" s="16">
        <v>6.9353147089973297E-2</v>
      </c>
    </row>
    <row r="37" spans="1:10">
      <c r="A37" t="s">
        <v>515</v>
      </c>
      <c r="B37" t="s">
        <v>95</v>
      </c>
      <c r="C37" s="16">
        <v>1.6929604899186765</v>
      </c>
      <c r="D37" s="16">
        <v>1.6929604899186765</v>
      </c>
      <c r="E37" s="16">
        <v>1.6929604899186801</v>
      </c>
      <c r="F37" s="16">
        <v>1.6929604899186801</v>
      </c>
      <c r="G37" s="16">
        <v>1.6929604899186801</v>
      </c>
      <c r="H37" s="16">
        <v>1.6929604899186801</v>
      </c>
      <c r="I37" s="16">
        <v>1.6929604899186801</v>
      </c>
      <c r="J37" s="16">
        <v>1.6929604899186801</v>
      </c>
    </row>
    <row r="38" spans="1:10">
      <c r="A38" t="s">
        <v>517</v>
      </c>
      <c r="B38" t="s">
        <v>94</v>
      </c>
      <c r="C38" s="16">
        <v>4.3814196608306002</v>
      </c>
      <c r="D38" s="16">
        <v>4.3814196608306002</v>
      </c>
      <c r="E38" s="16">
        <v>4.3814196608306002</v>
      </c>
      <c r="F38" s="16">
        <v>4.3814196608306002</v>
      </c>
      <c r="G38" s="16">
        <v>4.3814196608306002</v>
      </c>
      <c r="H38" s="16">
        <v>4.3814196608306002</v>
      </c>
      <c r="I38" s="16">
        <v>4.3814196608306002</v>
      </c>
      <c r="J38" s="16">
        <v>4.3814196608306002</v>
      </c>
    </row>
    <row r="39" spans="1:10">
      <c r="A39" t="s">
        <v>513</v>
      </c>
      <c r="B39" t="s">
        <v>94</v>
      </c>
      <c r="C39" s="16">
        <v>0.80417560882604666</v>
      </c>
      <c r="D39" s="16">
        <v>0.80417560882604666</v>
      </c>
      <c r="E39" s="16">
        <v>0.80417560882604699</v>
      </c>
      <c r="F39" s="16">
        <v>0.80417560882604699</v>
      </c>
      <c r="G39" s="16">
        <v>0.80417560882604699</v>
      </c>
      <c r="H39" s="16">
        <v>0.80417560882604699</v>
      </c>
      <c r="I39" s="16">
        <v>0.80417560882604699</v>
      </c>
      <c r="J39" s="16">
        <v>0.80417560882604699</v>
      </c>
    </row>
    <row r="40" spans="1:10">
      <c r="A40" t="s">
        <v>516</v>
      </c>
      <c r="B40" t="s">
        <v>94</v>
      </c>
      <c r="C40" s="16">
        <v>2.4011287692707097</v>
      </c>
      <c r="D40" s="16">
        <v>2.4011287692707097</v>
      </c>
      <c r="E40" s="16">
        <v>2.4011287692707102</v>
      </c>
      <c r="F40" s="16">
        <v>2.4011287692707102</v>
      </c>
      <c r="G40" s="16">
        <v>2.4011287692707102</v>
      </c>
      <c r="H40" s="16">
        <v>2.4011287692707102</v>
      </c>
      <c r="I40" s="16">
        <v>2.4011287692707102</v>
      </c>
      <c r="J40" s="16">
        <v>2.4011287692707102</v>
      </c>
    </row>
    <row r="41" spans="1:10">
      <c r="A41" t="s">
        <v>514</v>
      </c>
      <c r="B41" t="s">
        <v>94</v>
      </c>
      <c r="C41" s="16">
        <v>2.4128212067695767</v>
      </c>
      <c r="D41" s="16">
        <v>2.4128212067695767</v>
      </c>
      <c r="E41" s="16">
        <v>2.4128212067695798</v>
      </c>
      <c r="F41" s="16">
        <v>2.4128212067695798</v>
      </c>
      <c r="G41" s="16">
        <v>2.4128212067695798</v>
      </c>
      <c r="H41" s="16">
        <v>2.4128212067695798</v>
      </c>
      <c r="I41" s="16">
        <v>2.4128212067695798</v>
      </c>
      <c r="J41" s="16">
        <v>2.4128212067695798</v>
      </c>
    </row>
    <row r="42" spans="1:10">
      <c r="A42" t="s">
        <v>509</v>
      </c>
      <c r="B42" t="s">
        <v>94</v>
      </c>
      <c r="C42" s="16">
        <v>0.12598853154161535</v>
      </c>
      <c r="D42" s="16">
        <v>0.12598853154161535</v>
      </c>
      <c r="E42" s="16">
        <v>0.12598853154161499</v>
      </c>
      <c r="F42" s="16">
        <v>0.12598853154161499</v>
      </c>
      <c r="G42" s="16">
        <v>0.12598853154161499</v>
      </c>
      <c r="H42" s="16">
        <v>0.12598853154161499</v>
      </c>
      <c r="I42" s="16">
        <v>0.12598853154161499</v>
      </c>
      <c r="J42" s="16">
        <v>0.12598853154161499</v>
      </c>
    </row>
    <row r="43" spans="1:10">
      <c r="A43" t="s">
        <v>508</v>
      </c>
      <c r="B43" t="s">
        <v>94</v>
      </c>
      <c r="C43" s="16">
        <v>1.6869070876045533</v>
      </c>
      <c r="D43" s="16">
        <v>1.6869070876045533</v>
      </c>
      <c r="E43" s="16">
        <v>1.68690708760455</v>
      </c>
      <c r="F43" s="16">
        <v>1.68690708760455</v>
      </c>
      <c r="G43" s="16">
        <v>1.68690708760455</v>
      </c>
      <c r="H43" s="16">
        <v>1.68690708760455</v>
      </c>
      <c r="I43" s="16">
        <v>1.68690708760455</v>
      </c>
      <c r="J43" s="16">
        <v>1.68690708760455</v>
      </c>
    </row>
    <row r="44" spans="1:10">
      <c r="A44" t="s">
        <v>510</v>
      </c>
      <c r="B44" t="s">
        <v>94</v>
      </c>
      <c r="C44" s="16">
        <v>6.9353147089973324E-2</v>
      </c>
      <c r="D44" s="16">
        <v>6.9353147089973324E-2</v>
      </c>
      <c r="E44" s="16">
        <v>6.9353147089973297E-2</v>
      </c>
      <c r="F44" s="16">
        <v>6.9353147089973297E-2</v>
      </c>
      <c r="G44" s="16">
        <v>6.9353147089973297E-2</v>
      </c>
      <c r="H44" s="16">
        <v>6.9353147089973297E-2</v>
      </c>
      <c r="I44" s="16">
        <v>6.9353147089973297E-2</v>
      </c>
      <c r="J44" s="16">
        <v>6.9353147089973297E-2</v>
      </c>
    </row>
    <row r="45" spans="1:10">
      <c r="A45" t="s">
        <v>515</v>
      </c>
      <c r="B45" t="s">
        <v>94</v>
      </c>
      <c r="C45" s="16">
        <v>1.6929604899186765</v>
      </c>
      <c r="D45" s="16">
        <v>1.6929604899186765</v>
      </c>
      <c r="E45" s="16">
        <v>1.6929604899186801</v>
      </c>
      <c r="F45" s="16">
        <v>1.6929604899186801</v>
      </c>
      <c r="G45" s="16">
        <v>1.6929604899186801</v>
      </c>
      <c r="H45" s="16">
        <v>1.6929604899186801</v>
      </c>
      <c r="I45" s="16">
        <v>1.6929604899186801</v>
      </c>
      <c r="J45" s="16">
        <v>1.6929604899186801</v>
      </c>
    </row>
    <row r="46" spans="1:10">
      <c r="A46" t="s">
        <v>513</v>
      </c>
      <c r="B46" t="s">
        <v>93</v>
      </c>
      <c r="C46" s="16">
        <v>0.80417560882604666</v>
      </c>
      <c r="D46" s="16">
        <v>0.80417560882604666</v>
      </c>
      <c r="E46" s="16">
        <v>0.80417560882604699</v>
      </c>
      <c r="F46" s="16">
        <v>0.80417560882604699</v>
      </c>
      <c r="G46" s="16">
        <v>0.80417560882604699</v>
      </c>
      <c r="H46" s="16">
        <v>0.80417560882604699</v>
      </c>
      <c r="I46" s="16">
        <v>0.80417560882604699</v>
      </c>
      <c r="J46" s="16">
        <v>0.80417560882604699</v>
      </c>
    </row>
    <row r="47" spans="1:10">
      <c r="A47" t="s">
        <v>516</v>
      </c>
      <c r="B47" t="s">
        <v>93</v>
      </c>
      <c r="C47" s="16">
        <v>2.4011287692707097</v>
      </c>
      <c r="D47" s="16">
        <v>2.4011287692707097</v>
      </c>
      <c r="E47" s="16">
        <v>2.4011287692707102</v>
      </c>
      <c r="F47" s="16">
        <v>2.4011287692707102</v>
      </c>
      <c r="G47" s="16">
        <v>2.4011287692707102</v>
      </c>
      <c r="H47" s="16">
        <v>2.4011287692707102</v>
      </c>
      <c r="I47" s="16">
        <v>2.4011287692707102</v>
      </c>
      <c r="J47" s="16">
        <v>2.4011287692707102</v>
      </c>
    </row>
    <row r="48" spans="1:10">
      <c r="A48" t="s">
        <v>514</v>
      </c>
      <c r="B48" t="s">
        <v>93</v>
      </c>
      <c r="C48" s="16">
        <v>2.4128212067695767</v>
      </c>
      <c r="D48" s="16">
        <v>2.4128212067695767</v>
      </c>
      <c r="E48" s="16">
        <v>2.4128212067695798</v>
      </c>
      <c r="F48" s="16">
        <v>2.4128212067695798</v>
      </c>
      <c r="G48" s="16">
        <v>2.4128212067695798</v>
      </c>
      <c r="H48" s="16">
        <v>2.4128212067695798</v>
      </c>
      <c r="I48" s="16">
        <v>2.4128212067695798</v>
      </c>
      <c r="J48" s="16">
        <v>2.4128212067695798</v>
      </c>
    </row>
    <row r="49" spans="1:10">
      <c r="A49" t="s">
        <v>509</v>
      </c>
      <c r="B49" t="s">
        <v>93</v>
      </c>
      <c r="C49" s="16">
        <v>0.12598853154161535</v>
      </c>
      <c r="D49" s="16">
        <v>0.12598853154161535</v>
      </c>
      <c r="E49" s="16">
        <v>0.12598853154161499</v>
      </c>
      <c r="F49" s="16">
        <v>0.12598853154161499</v>
      </c>
      <c r="G49" s="16">
        <v>0.12598853154161499</v>
      </c>
      <c r="H49" s="16">
        <v>0.12598853154161499</v>
      </c>
      <c r="I49" s="16">
        <v>0.12598853154161499</v>
      </c>
      <c r="J49" s="16">
        <v>0.12598853154161499</v>
      </c>
    </row>
    <row r="50" spans="1:10">
      <c r="A50" t="s">
        <v>508</v>
      </c>
      <c r="B50" t="s">
        <v>93</v>
      </c>
      <c r="C50" s="16">
        <v>1.6869070876045533</v>
      </c>
      <c r="D50" s="16">
        <v>1.6869070876045533</v>
      </c>
      <c r="E50" s="16">
        <v>1.68690708760455</v>
      </c>
      <c r="F50" s="16">
        <v>1.68690708760455</v>
      </c>
      <c r="G50" s="16">
        <v>1.68690708760455</v>
      </c>
      <c r="H50" s="16">
        <v>1.68690708760455</v>
      </c>
      <c r="I50" s="16">
        <v>1.68690708760455</v>
      </c>
      <c r="J50" s="16">
        <v>1.68690708760455</v>
      </c>
    </row>
    <row r="51" spans="1:10">
      <c r="A51" t="s">
        <v>510</v>
      </c>
      <c r="B51" t="s">
        <v>93</v>
      </c>
      <c r="C51" s="16">
        <v>6.9353147089973324E-2</v>
      </c>
      <c r="D51" s="16">
        <v>6.9353147089973324E-2</v>
      </c>
      <c r="E51" s="16">
        <v>6.9353147089973297E-2</v>
      </c>
      <c r="F51" s="16">
        <v>6.9353147089973297E-2</v>
      </c>
      <c r="G51" s="16">
        <v>6.9353147089973297E-2</v>
      </c>
      <c r="H51" s="16">
        <v>6.9353147089973297E-2</v>
      </c>
      <c r="I51" s="16">
        <v>6.9353147089973297E-2</v>
      </c>
      <c r="J51" s="16">
        <v>6.9353147089973297E-2</v>
      </c>
    </row>
    <row r="52" spans="1:10">
      <c r="A52" t="s">
        <v>515</v>
      </c>
      <c r="B52" t="s">
        <v>93</v>
      </c>
      <c r="C52" s="16">
        <v>1.6929604899186765</v>
      </c>
      <c r="D52" s="16">
        <v>1.6929604899186765</v>
      </c>
      <c r="E52" s="16">
        <v>1.6929604899186801</v>
      </c>
      <c r="F52" s="16">
        <v>1.6929604899186801</v>
      </c>
      <c r="G52" s="16">
        <v>1.6929604899186801</v>
      </c>
      <c r="H52" s="16">
        <v>1.6929604899186801</v>
      </c>
      <c r="I52" s="16">
        <v>1.6929604899186801</v>
      </c>
      <c r="J52" s="16">
        <v>1.6929604899186801</v>
      </c>
    </row>
    <row r="53" spans="1:10">
      <c r="A53" t="s">
        <v>517</v>
      </c>
      <c r="B53" t="s">
        <v>178</v>
      </c>
      <c r="C53" s="16">
        <v>99</v>
      </c>
      <c r="D53" s="16">
        <v>99</v>
      </c>
      <c r="E53" s="16">
        <v>99</v>
      </c>
      <c r="F53" s="16">
        <v>99</v>
      </c>
      <c r="G53" s="16">
        <v>99</v>
      </c>
      <c r="H53" s="16">
        <v>99</v>
      </c>
      <c r="I53" s="16">
        <v>99</v>
      </c>
      <c r="J53" s="16">
        <v>99</v>
      </c>
    </row>
    <row r="54" spans="1:10">
      <c r="A54" t="s">
        <v>513</v>
      </c>
      <c r="B54" t="s">
        <v>178</v>
      </c>
      <c r="C54" s="16">
        <v>99</v>
      </c>
      <c r="D54" s="16">
        <v>99</v>
      </c>
      <c r="E54" s="16">
        <v>99</v>
      </c>
      <c r="F54" s="16">
        <v>99</v>
      </c>
      <c r="G54" s="16">
        <v>99</v>
      </c>
      <c r="H54" s="16">
        <v>99</v>
      </c>
      <c r="I54" s="16">
        <v>99</v>
      </c>
      <c r="J54" s="16">
        <v>99</v>
      </c>
    </row>
    <row r="55" spans="1:10">
      <c r="A55" t="s">
        <v>516</v>
      </c>
      <c r="B55" t="s">
        <v>178</v>
      </c>
      <c r="C55" s="16">
        <v>99</v>
      </c>
      <c r="D55" s="16">
        <v>99</v>
      </c>
      <c r="E55" s="16">
        <v>99</v>
      </c>
      <c r="F55" s="16">
        <v>99</v>
      </c>
      <c r="G55" s="16">
        <v>99</v>
      </c>
      <c r="H55" s="16">
        <v>99</v>
      </c>
      <c r="I55" s="16">
        <v>99</v>
      </c>
      <c r="J55" s="16">
        <v>99</v>
      </c>
    </row>
    <row r="56" spans="1:10">
      <c r="A56" t="s">
        <v>514</v>
      </c>
      <c r="B56" t="s">
        <v>178</v>
      </c>
      <c r="C56" s="16">
        <v>99</v>
      </c>
      <c r="D56" s="16">
        <v>99</v>
      </c>
      <c r="E56" s="16">
        <v>99</v>
      </c>
      <c r="F56" s="16">
        <v>99</v>
      </c>
      <c r="G56" s="16">
        <v>99</v>
      </c>
      <c r="H56" s="16">
        <v>99</v>
      </c>
      <c r="I56" s="16">
        <v>99</v>
      </c>
      <c r="J56" s="16">
        <v>99</v>
      </c>
    </row>
    <row r="57" spans="1:10">
      <c r="A57" t="s">
        <v>509</v>
      </c>
      <c r="B57" t="s">
        <v>178</v>
      </c>
      <c r="C57" s="16">
        <v>99</v>
      </c>
      <c r="D57" s="16">
        <v>99</v>
      </c>
      <c r="E57" s="16">
        <v>99</v>
      </c>
      <c r="F57" s="16">
        <v>99</v>
      </c>
      <c r="G57" s="16">
        <v>99</v>
      </c>
      <c r="H57" s="16">
        <v>99</v>
      </c>
      <c r="I57" s="16">
        <v>99</v>
      </c>
      <c r="J57" s="16">
        <v>99</v>
      </c>
    </row>
    <row r="58" spans="1:10">
      <c r="A58" t="s">
        <v>508</v>
      </c>
      <c r="B58" t="s">
        <v>178</v>
      </c>
      <c r="C58" s="16">
        <v>99</v>
      </c>
      <c r="D58" s="16">
        <v>99</v>
      </c>
      <c r="E58" s="16">
        <v>99</v>
      </c>
      <c r="F58" s="16">
        <v>99</v>
      </c>
      <c r="G58" s="16">
        <v>99</v>
      </c>
      <c r="H58" s="16">
        <v>99</v>
      </c>
      <c r="I58" s="16">
        <v>99</v>
      </c>
      <c r="J58" s="16">
        <v>99</v>
      </c>
    </row>
    <row r="59" spans="1:10">
      <c r="A59" t="s">
        <v>510</v>
      </c>
      <c r="B59" t="s">
        <v>178</v>
      </c>
      <c r="C59" s="16">
        <v>99</v>
      </c>
      <c r="D59" s="16">
        <v>99</v>
      </c>
      <c r="E59" s="16">
        <v>99</v>
      </c>
      <c r="F59" s="16">
        <v>99</v>
      </c>
      <c r="G59" s="16">
        <v>99</v>
      </c>
      <c r="H59" s="16">
        <v>99</v>
      </c>
      <c r="I59" s="16">
        <v>99</v>
      </c>
      <c r="J59" s="16">
        <v>99</v>
      </c>
    </row>
    <row r="60" spans="1:10">
      <c r="A60" t="s">
        <v>515</v>
      </c>
      <c r="B60" t="s">
        <v>178</v>
      </c>
      <c r="C60" s="16">
        <v>99</v>
      </c>
      <c r="D60" s="16">
        <v>99</v>
      </c>
      <c r="E60" s="16">
        <v>99</v>
      </c>
      <c r="F60" s="16">
        <v>99</v>
      </c>
      <c r="G60" s="16">
        <v>99</v>
      </c>
      <c r="H60" s="16">
        <v>99</v>
      </c>
      <c r="I60" s="16">
        <v>99</v>
      </c>
      <c r="J60" s="16">
        <v>99</v>
      </c>
    </row>
    <row r="61" spans="1:10">
      <c r="A61" t="s">
        <v>517</v>
      </c>
      <c r="B61" t="s">
        <v>177</v>
      </c>
      <c r="C61" s="16">
        <v>99</v>
      </c>
      <c r="D61" s="16">
        <v>99</v>
      </c>
      <c r="E61" s="16">
        <v>99</v>
      </c>
      <c r="F61" s="16">
        <v>99</v>
      </c>
      <c r="G61" s="16">
        <v>99</v>
      </c>
      <c r="H61" s="16">
        <v>99</v>
      </c>
      <c r="I61" s="16">
        <v>99</v>
      </c>
      <c r="J61" s="16">
        <v>99</v>
      </c>
    </row>
    <row r="62" spans="1:10">
      <c r="A62" t="s">
        <v>513</v>
      </c>
      <c r="B62" t="s">
        <v>177</v>
      </c>
      <c r="C62" s="16">
        <v>99</v>
      </c>
      <c r="D62" s="16">
        <v>99</v>
      </c>
      <c r="E62" s="16">
        <v>99</v>
      </c>
      <c r="F62" s="16">
        <v>99</v>
      </c>
      <c r="G62" s="16">
        <v>99</v>
      </c>
      <c r="H62" s="16">
        <v>99</v>
      </c>
      <c r="I62" s="16">
        <v>99</v>
      </c>
      <c r="J62" s="16">
        <v>99</v>
      </c>
    </row>
    <row r="63" spans="1:10">
      <c r="A63" t="s">
        <v>516</v>
      </c>
      <c r="B63" t="s">
        <v>177</v>
      </c>
      <c r="C63" s="16">
        <v>99</v>
      </c>
      <c r="D63" s="16">
        <v>99</v>
      </c>
      <c r="E63" s="16">
        <v>99</v>
      </c>
      <c r="F63" s="16">
        <v>99</v>
      </c>
      <c r="G63" s="16">
        <v>99</v>
      </c>
      <c r="H63" s="16">
        <v>99</v>
      </c>
      <c r="I63" s="16">
        <v>99</v>
      </c>
      <c r="J63" s="16">
        <v>99</v>
      </c>
    </row>
    <row r="64" spans="1:10">
      <c r="A64" t="s">
        <v>514</v>
      </c>
      <c r="B64" t="s">
        <v>177</v>
      </c>
      <c r="C64" s="16">
        <v>99</v>
      </c>
      <c r="D64" s="16">
        <v>99</v>
      </c>
      <c r="E64" s="16">
        <v>99</v>
      </c>
      <c r="F64" s="16">
        <v>99</v>
      </c>
      <c r="G64" s="16">
        <v>99</v>
      </c>
      <c r="H64" s="16">
        <v>99</v>
      </c>
      <c r="I64" s="16">
        <v>99</v>
      </c>
      <c r="J64" s="16">
        <v>99</v>
      </c>
    </row>
    <row r="65" spans="1:10">
      <c r="A65" t="s">
        <v>509</v>
      </c>
      <c r="B65" t="s">
        <v>177</v>
      </c>
      <c r="C65" s="16">
        <v>99</v>
      </c>
      <c r="D65" s="16">
        <v>99</v>
      </c>
      <c r="E65" s="16">
        <v>99</v>
      </c>
      <c r="F65" s="16">
        <v>99</v>
      </c>
      <c r="G65" s="16">
        <v>99</v>
      </c>
      <c r="H65" s="16">
        <v>99</v>
      </c>
      <c r="I65" s="16">
        <v>99</v>
      </c>
      <c r="J65" s="16">
        <v>99</v>
      </c>
    </row>
    <row r="66" spans="1:10">
      <c r="A66" t="s">
        <v>508</v>
      </c>
      <c r="B66" t="s">
        <v>177</v>
      </c>
      <c r="C66" s="16">
        <v>99</v>
      </c>
      <c r="D66" s="16">
        <v>99</v>
      </c>
      <c r="E66" s="16">
        <v>99</v>
      </c>
      <c r="F66" s="16">
        <v>99</v>
      </c>
      <c r="G66" s="16">
        <v>99</v>
      </c>
      <c r="H66" s="16">
        <v>99</v>
      </c>
      <c r="I66" s="16">
        <v>99</v>
      </c>
      <c r="J66" s="16">
        <v>99</v>
      </c>
    </row>
    <row r="67" spans="1:10">
      <c r="A67" t="s">
        <v>510</v>
      </c>
      <c r="B67" t="s">
        <v>177</v>
      </c>
      <c r="C67" s="16">
        <v>99</v>
      </c>
      <c r="D67" s="16">
        <v>99</v>
      </c>
      <c r="E67" s="16">
        <v>99</v>
      </c>
      <c r="F67" s="16">
        <v>99</v>
      </c>
      <c r="G67" s="16">
        <v>99</v>
      </c>
      <c r="H67" s="16">
        <v>99</v>
      </c>
      <c r="I67" s="16">
        <v>99</v>
      </c>
      <c r="J67" s="16">
        <v>99</v>
      </c>
    </row>
    <row r="68" spans="1:10">
      <c r="A68" t="s">
        <v>515</v>
      </c>
      <c r="B68" t="s">
        <v>177</v>
      </c>
      <c r="C68" s="16">
        <v>99</v>
      </c>
      <c r="D68" s="16">
        <v>99</v>
      </c>
      <c r="E68" s="16">
        <v>99</v>
      </c>
      <c r="F68" s="16">
        <v>99</v>
      </c>
      <c r="G68" s="16">
        <v>99</v>
      </c>
      <c r="H68" s="16">
        <v>99</v>
      </c>
      <c r="I68" s="16">
        <v>99</v>
      </c>
      <c r="J68" s="16">
        <v>99</v>
      </c>
    </row>
    <row r="69" spans="1:10">
      <c r="A69" t="s">
        <v>517</v>
      </c>
      <c r="B69" t="s">
        <v>175</v>
      </c>
      <c r="C69" s="16">
        <v>22.389446903164298</v>
      </c>
      <c r="D69" s="16">
        <v>22.389446903164298</v>
      </c>
      <c r="E69" s="16">
        <v>22.389446903164298</v>
      </c>
      <c r="F69" s="16">
        <v>22.389446903164298</v>
      </c>
      <c r="G69" s="16">
        <v>22.389446903164298</v>
      </c>
      <c r="H69" s="16">
        <v>22.389446903164298</v>
      </c>
      <c r="I69" s="16">
        <v>22.389446903164298</v>
      </c>
      <c r="J69" s="16">
        <v>22.389446903164298</v>
      </c>
    </row>
    <row r="70" spans="1:10">
      <c r="A70" t="s">
        <v>513</v>
      </c>
      <c r="B70" t="s">
        <v>175</v>
      </c>
      <c r="C70" s="16">
        <v>21.854397582359152</v>
      </c>
      <c r="D70" s="16">
        <v>21.854397582359152</v>
      </c>
      <c r="E70" s="16">
        <v>21.854397582359152</v>
      </c>
      <c r="F70" s="16">
        <v>21.854397582359152</v>
      </c>
      <c r="G70" s="16">
        <v>21.854397582359152</v>
      </c>
      <c r="H70" s="16">
        <v>21.854397582359152</v>
      </c>
      <c r="I70" s="16">
        <v>21.854397582359152</v>
      </c>
      <c r="J70" s="16">
        <v>21.854397582359152</v>
      </c>
    </row>
    <row r="71" spans="1:10">
      <c r="A71" t="s">
        <v>516</v>
      </c>
      <c r="B71" t="s">
        <v>175</v>
      </c>
      <c r="C71" s="16">
        <v>18.833878065083098</v>
      </c>
      <c r="D71" s="16">
        <v>18.833878065083098</v>
      </c>
      <c r="E71" s="16">
        <v>18.833878065083098</v>
      </c>
      <c r="F71" s="16">
        <v>18.833878065083098</v>
      </c>
      <c r="G71" s="16">
        <v>18.833878065083098</v>
      </c>
      <c r="H71" s="16">
        <v>18.833878065083098</v>
      </c>
      <c r="I71" s="16">
        <v>18.833878065083098</v>
      </c>
      <c r="J71" s="16">
        <v>18.833878065083098</v>
      </c>
    </row>
    <row r="72" spans="1:10">
      <c r="A72" t="s">
        <v>514</v>
      </c>
      <c r="B72" t="s">
        <v>175</v>
      </c>
      <c r="C72" s="16">
        <v>20.563687329473151</v>
      </c>
      <c r="D72" s="16">
        <v>20.563687329473151</v>
      </c>
      <c r="E72" s="16">
        <v>20.563687329473151</v>
      </c>
      <c r="F72" s="16">
        <v>20.563687329473151</v>
      </c>
      <c r="G72" s="16">
        <v>20.563687329473151</v>
      </c>
      <c r="H72" s="16">
        <v>20.563687329473151</v>
      </c>
      <c r="I72" s="16">
        <v>20.563687329473151</v>
      </c>
      <c r="J72" s="16">
        <v>20.563687329473151</v>
      </c>
    </row>
    <row r="73" spans="1:10">
      <c r="A73" t="s">
        <v>509</v>
      </c>
      <c r="B73" t="s">
        <v>175</v>
      </c>
      <c r="C73" s="16">
        <v>0</v>
      </c>
      <c r="D73" s="16">
        <v>0</v>
      </c>
      <c r="E73" s="16">
        <v>0</v>
      </c>
      <c r="F73" s="16">
        <v>0</v>
      </c>
      <c r="G73" s="16">
        <v>0</v>
      </c>
      <c r="H73" s="16">
        <v>0</v>
      </c>
      <c r="I73" s="16">
        <v>0</v>
      </c>
      <c r="J73" s="16">
        <v>0</v>
      </c>
    </row>
    <row r="74" spans="1:10">
      <c r="A74" t="s">
        <v>508</v>
      </c>
      <c r="B74" t="s">
        <v>175</v>
      </c>
      <c r="C74" s="16">
        <v>3.5975820382213799</v>
      </c>
      <c r="D74" s="16">
        <v>3.5975820382213799</v>
      </c>
      <c r="E74" s="16">
        <v>3.5975820382213799</v>
      </c>
      <c r="F74" s="16">
        <v>3.5975820382213799</v>
      </c>
      <c r="G74" s="16">
        <v>3.5975820382213799</v>
      </c>
      <c r="H74" s="16">
        <v>3.5975820382213799</v>
      </c>
      <c r="I74" s="16">
        <v>3.5975820382213799</v>
      </c>
      <c r="J74" s="16">
        <v>3.5975820382213799</v>
      </c>
    </row>
    <row r="75" spans="1:10">
      <c r="A75" t="s">
        <v>510</v>
      </c>
      <c r="B75" t="s">
        <v>175</v>
      </c>
      <c r="C75" s="16">
        <v>0.2350942481676</v>
      </c>
      <c r="D75" s="16">
        <v>0.2350942481676</v>
      </c>
      <c r="E75" s="16">
        <v>0.2350942481676</v>
      </c>
      <c r="F75" s="16">
        <v>0.2350942481676</v>
      </c>
      <c r="G75" s="16">
        <v>0.2350942481676</v>
      </c>
      <c r="H75" s="16">
        <v>0.2350942481676</v>
      </c>
      <c r="I75" s="16">
        <v>0.2350942481676</v>
      </c>
      <c r="J75" s="16">
        <v>0.2350942481676</v>
      </c>
    </row>
    <row r="76" spans="1:10">
      <c r="A76" t="s">
        <v>515</v>
      </c>
      <c r="B76" t="s">
        <v>175</v>
      </c>
      <c r="C76" s="16">
        <v>15.6746808356363</v>
      </c>
      <c r="D76" s="16">
        <v>15.6746808356363</v>
      </c>
      <c r="E76" s="16">
        <v>15.6746808356363</v>
      </c>
      <c r="F76" s="16">
        <v>15.6746808356363</v>
      </c>
      <c r="G76" s="16">
        <v>15.6746808356363</v>
      </c>
      <c r="H76" s="16">
        <v>15.6746808356363</v>
      </c>
      <c r="I76" s="16">
        <v>15.6746808356363</v>
      </c>
      <c r="J76" s="16">
        <v>15.6746808356363</v>
      </c>
    </row>
    <row r="77" spans="1:10">
      <c r="A77" t="s">
        <v>517</v>
      </c>
      <c r="B77" t="s">
        <v>176</v>
      </c>
      <c r="C77" s="16">
        <v>22.389446903164298</v>
      </c>
      <c r="D77" s="16">
        <v>22.389446903164298</v>
      </c>
      <c r="E77" s="16">
        <v>22.389446903164298</v>
      </c>
      <c r="F77" s="16">
        <v>22.389446903164298</v>
      </c>
      <c r="G77" s="16">
        <v>22.389446903164298</v>
      </c>
      <c r="H77" s="16">
        <v>22.389446903164298</v>
      </c>
      <c r="I77" s="16">
        <v>22.389446903164298</v>
      </c>
      <c r="J77" s="16">
        <v>22.389446903164298</v>
      </c>
    </row>
    <row r="78" spans="1:10">
      <c r="A78" t="s">
        <v>513</v>
      </c>
      <c r="B78" t="s">
        <v>176</v>
      </c>
      <c r="C78" s="16">
        <v>21.854397582359152</v>
      </c>
      <c r="D78" s="16">
        <v>21.854397582359152</v>
      </c>
      <c r="E78" s="16">
        <v>21.854397582359152</v>
      </c>
      <c r="F78" s="16">
        <v>21.854397582359152</v>
      </c>
      <c r="G78" s="16">
        <v>21.854397582359152</v>
      </c>
      <c r="H78" s="16">
        <v>21.854397582359152</v>
      </c>
      <c r="I78" s="16">
        <v>21.854397582359152</v>
      </c>
      <c r="J78" s="16">
        <v>21.854397582359152</v>
      </c>
    </row>
    <row r="79" spans="1:10">
      <c r="A79" t="s">
        <v>516</v>
      </c>
      <c r="B79" t="s">
        <v>176</v>
      </c>
      <c r="C79" s="16">
        <v>18.833878065083098</v>
      </c>
      <c r="D79" s="16">
        <v>18.833878065083098</v>
      </c>
      <c r="E79" s="16">
        <v>18.833878065083098</v>
      </c>
      <c r="F79" s="16">
        <v>18.833878065083098</v>
      </c>
      <c r="G79" s="16">
        <v>18.833878065083098</v>
      </c>
      <c r="H79" s="16">
        <v>18.833878065083098</v>
      </c>
      <c r="I79" s="16">
        <v>18.833878065083098</v>
      </c>
      <c r="J79" s="16">
        <v>18.833878065083098</v>
      </c>
    </row>
    <row r="80" spans="1:10">
      <c r="A80" t="s">
        <v>514</v>
      </c>
      <c r="B80" t="s">
        <v>176</v>
      </c>
      <c r="C80" s="16">
        <v>20.563687329473151</v>
      </c>
      <c r="D80" s="16">
        <v>20.563687329473151</v>
      </c>
      <c r="E80" s="16">
        <v>20.563687329473151</v>
      </c>
      <c r="F80" s="16">
        <v>20.563687329473151</v>
      </c>
      <c r="G80" s="16">
        <v>20.563687329473151</v>
      </c>
      <c r="H80" s="16">
        <v>20.563687329473151</v>
      </c>
      <c r="I80" s="16">
        <v>20.563687329473151</v>
      </c>
      <c r="J80" s="16">
        <v>20.563687329473151</v>
      </c>
    </row>
    <row r="81" spans="1:10">
      <c r="A81" t="s">
        <v>509</v>
      </c>
      <c r="B81" t="s">
        <v>176</v>
      </c>
      <c r="C81" s="16">
        <v>0</v>
      </c>
      <c r="D81" s="16">
        <v>0</v>
      </c>
      <c r="E81" s="16">
        <v>0</v>
      </c>
      <c r="F81" s="16">
        <v>0</v>
      </c>
      <c r="G81" s="16">
        <v>0</v>
      </c>
      <c r="H81" s="16">
        <v>0</v>
      </c>
      <c r="I81" s="16">
        <v>0</v>
      </c>
      <c r="J81" s="16">
        <v>0</v>
      </c>
    </row>
    <row r="82" spans="1:10">
      <c r="A82" t="s">
        <v>508</v>
      </c>
      <c r="B82" t="s">
        <v>176</v>
      </c>
      <c r="C82" s="16">
        <v>3.5975820382213799</v>
      </c>
      <c r="D82" s="16">
        <v>3.5975820382213799</v>
      </c>
      <c r="E82" s="16">
        <v>3.5975820382213799</v>
      </c>
      <c r="F82" s="16">
        <v>3.5975820382213799</v>
      </c>
      <c r="G82" s="16">
        <v>3.5975820382213799</v>
      </c>
      <c r="H82" s="16">
        <v>3.5975820382213799</v>
      </c>
      <c r="I82" s="16">
        <v>3.5975820382213799</v>
      </c>
      <c r="J82" s="16">
        <v>3.5975820382213799</v>
      </c>
    </row>
    <row r="83" spans="1:10">
      <c r="A83" t="s">
        <v>510</v>
      </c>
      <c r="B83" t="s">
        <v>176</v>
      </c>
      <c r="C83" s="16">
        <v>0.2350942481676</v>
      </c>
      <c r="D83" s="16">
        <v>0.2350942481676</v>
      </c>
      <c r="E83" s="16">
        <v>0.2350942481676</v>
      </c>
      <c r="F83" s="16">
        <v>0.2350942481676</v>
      </c>
      <c r="G83" s="16">
        <v>0.2350942481676</v>
      </c>
      <c r="H83" s="16">
        <v>0.2350942481676</v>
      </c>
      <c r="I83" s="16">
        <v>0.2350942481676</v>
      </c>
      <c r="J83" s="16">
        <v>0.2350942481676</v>
      </c>
    </row>
    <row r="84" spans="1:10">
      <c r="A84" t="s">
        <v>515</v>
      </c>
      <c r="B84" t="s">
        <v>176</v>
      </c>
      <c r="C84" s="16">
        <v>15.6746808356363</v>
      </c>
      <c r="D84" s="16">
        <v>15.6746808356363</v>
      </c>
      <c r="E84" s="16">
        <v>15.6746808356363</v>
      </c>
      <c r="F84" s="16">
        <v>15.6746808356363</v>
      </c>
      <c r="G84" s="16">
        <v>15.6746808356363</v>
      </c>
      <c r="H84" s="16">
        <v>15.6746808356363</v>
      </c>
      <c r="I84" s="16">
        <v>15.6746808356363</v>
      </c>
      <c r="J84" s="16">
        <v>15.6746808356363</v>
      </c>
    </row>
    <row r="85" spans="1:10">
      <c r="A85" t="s">
        <v>517</v>
      </c>
      <c r="B85" t="s">
        <v>103</v>
      </c>
      <c r="C85" s="46">
        <v>2.3999999999999998E-3</v>
      </c>
      <c r="D85" s="46">
        <v>2.3999999999999998E-3</v>
      </c>
      <c r="E85" s="46">
        <v>2.3999999999999998E-3</v>
      </c>
      <c r="F85" s="46">
        <v>2.3999999999999998E-3</v>
      </c>
      <c r="G85" s="46">
        <v>2.3999999999999998E-3</v>
      </c>
      <c r="H85" s="46">
        <v>2.3999999999999998E-3</v>
      </c>
      <c r="I85" s="46">
        <v>2.3999999999999998E-3</v>
      </c>
      <c r="J85" s="46">
        <v>2.3999999999999998E-3</v>
      </c>
    </row>
    <row r="86" spans="1:10">
      <c r="A86" t="s">
        <v>516</v>
      </c>
      <c r="B86" t="s">
        <v>103</v>
      </c>
      <c r="C86" s="46">
        <v>7.9699999999999997E-3</v>
      </c>
      <c r="D86" s="46">
        <v>7.9699999999999997E-3</v>
      </c>
      <c r="E86" s="46">
        <v>7.9699999999999997E-3</v>
      </c>
      <c r="F86" s="46">
        <v>7.9699999999999997E-3</v>
      </c>
      <c r="G86" s="46">
        <v>7.9699999999999997E-3</v>
      </c>
      <c r="H86" s="46">
        <v>7.9699999999999997E-3</v>
      </c>
      <c r="I86" s="46">
        <v>7.9699999999999997E-3</v>
      </c>
      <c r="J86" s="46">
        <v>7.9699999999999997E-3</v>
      </c>
    </row>
    <row r="87" spans="1:10">
      <c r="A87" t="s">
        <v>514</v>
      </c>
      <c r="B87" t="s">
        <v>103</v>
      </c>
      <c r="C87" s="46">
        <v>2.0000000000000001E-4</v>
      </c>
      <c r="D87" s="46">
        <v>2.0000000000000001E-4</v>
      </c>
      <c r="E87" s="46">
        <v>2.0000000000000001E-4</v>
      </c>
      <c r="F87" s="46">
        <v>2.0000000000000001E-4</v>
      </c>
      <c r="G87" s="46">
        <v>2.0000000000000001E-4</v>
      </c>
      <c r="H87" s="46">
        <v>2.0000000000000001E-4</v>
      </c>
      <c r="I87" s="46">
        <v>2.0000000000000001E-4</v>
      </c>
      <c r="J87" s="46">
        <v>2.0000000000000001E-4</v>
      </c>
    </row>
    <row r="88" spans="1:10">
      <c r="C88" s="8"/>
      <c r="D88" s="8"/>
      <c r="E88" s="8"/>
      <c r="F88" s="8"/>
      <c r="G88" s="8"/>
      <c r="H88" s="8"/>
      <c r="I88" s="8"/>
      <c r="J88" s="8"/>
    </row>
    <row r="89" spans="1:10">
      <c r="C89" s="8"/>
      <c r="D89" s="8"/>
      <c r="E89" s="8"/>
      <c r="F89" s="8"/>
      <c r="G89" s="8"/>
      <c r="H89" s="8"/>
      <c r="I89" s="8"/>
      <c r="J89" s="8"/>
    </row>
    <row r="90" spans="1:10">
      <c r="C90" s="8"/>
      <c r="D90" s="8"/>
      <c r="E90" s="8"/>
      <c r="F90" s="8"/>
      <c r="G90" s="8"/>
      <c r="H90" s="8"/>
      <c r="I90" s="8"/>
      <c r="J90" s="8"/>
    </row>
    <row r="91" spans="1:10">
      <c r="C91" s="8"/>
      <c r="D91" s="8"/>
      <c r="E91" s="8"/>
      <c r="F91" s="8"/>
      <c r="G91" s="8"/>
      <c r="H91" s="8"/>
      <c r="I91" s="8"/>
      <c r="J91" s="8"/>
    </row>
    <row r="92" spans="1:10">
      <c r="C92" s="8"/>
      <c r="D92" s="8"/>
      <c r="E92" s="8"/>
      <c r="F92" s="8"/>
      <c r="G92" s="8"/>
      <c r="H92" s="8"/>
      <c r="I92" s="8"/>
      <c r="J92" s="8"/>
    </row>
    <row r="93" spans="1:10">
      <c r="C93" s="8"/>
      <c r="D93" s="8"/>
      <c r="E93" s="8"/>
      <c r="F93" s="8"/>
      <c r="G93" s="8"/>
      <c r="H93" s="8"/>
      <c r="I93" s="8"/>
      <c r="J93" s="8"/>
    </row>
    <row r="94" spans="1:10">
      <c r="C94" s="8"/>
      <c r="D94" s="8"/>
      <c r="E94" s="8"/>
      <c r="F94" s="8"/>
      <c r="G94" s="8"/>
      <c r="H94" s="8"/>
      <c r="I94" s="8"/>
      <c r="J94" s="8"/>
    </row>
    <row r="95" spans="1:10">
      <c r="C95" s="8"/>
      <c r="D95" s="8"/>
      <c r="E95" s="8"/>
      <c r="F95" s="8"/>
      <c r="G95" s="8"/>
      <c r="H95" s="8"/>
      <c r="I95" s="8"/>
      <c r="J95" s="8"/>
    </row>
    <row r="96" spans="1: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C6" activePane="bottomRight" state="frozen"/>
      <selection pane="topRight" activeCell="C1" sqref="C1"/>
      <selection pane="bottomLeft" activeCell="A6" sqref="A6"/>
      <selection pane="bottomRight" activeCell="C10" sqref="C10"/>
    </sheetView>
  </sheetViews>
  <sheetFormatPr defaultColWidth="9.140625" defaultRowHeight="15"/>
  <cols>
    <col min="1" max="1" width="25.28515625" customWidth="1"/>
    <col min="2" max="2" width="30.28515625" customWidth="1"/>
    <col min="3" max="4" width="25.28515625" customWidth="1"/>
    <col min="5"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2023-06-30T12:50:06Z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