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 codeName="DieseArbeitsmappe" autoCompressPictures="0"/>
  <xr:revisionPtr revIDLastSave="0" documentId="13_ncr:1_{AD0691FF-BF8E-444D-8005-45B35688A299}" xr6:coauthVersionLast="47" xr6:coauthVersionMax="47" xr10:uidLastSave="{00000000-0000-0000-0000-000000000000}"/>
  <bookViews>
    <workbookView xWindow="-103" yWindow="-103" windowWidth="22149" windowHeight="11949" tabRatio="804" firstSheet="34" activeTab="35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Par_ModalSplitByFuel!$A$5:$U$469</definedName>
    <definedName name="_xlnm._FilterDatabase" localSheetId="50" hidden="1">Par_OperationalLifeStorage!$A$5:$M$5</definedName>
    <definedName name="_xlnm._FilterDatabase" localSheetId="26" hidden="1">Par_OutputActivityRatio!$A$5:$S$288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Par_ResidualCapacity!$A$5:$J$1401</definedName>
    <definedName name="_xlnm._FilterDatabase" localSheetId="21" hidden="1">Par_SpecifiedAnnualDemand!$A$5:$J$61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" i="21" l="1"/>
  <c r="F49" i="21"/>
  <c r="E49" i="21"/>
  <c r="G48" i="21"/>
  <c r="F48" i="21"/>
  <c r="E48" i="21"/>
  <c r="G47" i="21"/>
  <c r="F47" i="21"/>
  <c r="E47" i="21"/>
  <c r="G46" i="21"/>
  <c r="F46" i="21"/>
  <c r="E46" i="21"/>
  <c r="G45" i="21"/>
  <c r="F45" i="21"/>
  <c r="E45" i="21"/>
  <c r="G44" i="21"/>
  <c r="F44" i="21"/>
  <c r="E44" i="21"/>
  <c r="G43" i="21"/>
  <c r="F43" i="21"/>
  <c r="E43" i="21"/>
  <c r="G42" i="21"/>
  <c r="F42" i="21"/>
  <c r="E42" i="21"/>
  <c r="F35" i="21"/>
  <c r="G36" i="21"/>
  <c r="G37" i="21"/>
  <c r="G40" i="21"/>
  <c r="G41" i="21"/>
  <c r="E34" i="21"/>
  <c r="G35" i="21"/>
  <c r="E41" i="21"/>
  <c r="E40" i="21"/>
  <c r="G39" i="21"/>
  <c r="F39" i="21"/>
  <c r="E39" i="21"/>
  <c r="E36" i="21"/>
  <c r="F36" i="21"/>
  <c r="E38" i="21"/>
  <c r="F38" i="21"/>
  <c r="G38" i="21"/>
  <c r="H33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F41" i="21" l="1"/>
  <c r="E37" i="21"/>
  <c r="F37" i="21"/>
  <c r="F40" i="21"/>
  <c r="E35" i="21"/>
  <c r="G34" i="21"/>
  <c r="F34" i="21"/>
  <c r="C7" i="2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sharedStrings.xml><?xml version="1.0" encoding="utf-8"?>
<sst xmlns="http://schemas.openxmlformats.org/spreadsheetml/2006/main" count="5658" uniqueCount="499">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</sst>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0" fillId="39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11" fillId="34" borderId="0" xfId="0" applyFont="1" applyFill="1"/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 filterMode="1"/>
  <dimension ref="A1:N145"/>
  <sheetViews>
    <sheetView workbookViewId="0">
      <selection activeCell="C153" sqref="C153"/>
    </sheetView>
  </sheetViews>
  <sheetFormatPr defaultColWidth="9.07421875" defaultRowHeight="14.6"/>
  <cols>
    <col min="1" max="1" width="18.53515625" customWidth="1"/>
    <col min="2" max="2" width="28.4609375" bestFit="1" customWidth="1"/>
    <col min="3" max="3" width="25.07421875" bestFit="1" customWidth="1"/>
    <col min="6" max="6" width="19.53515625" bestFit="1" customWidth="1"/>
    <col min="7" max="7" width="18.84375" bestFit="1" customWidth="1"/>
    <col min="10" max="10" width="15" customWidth="1"/>
    <col min="11" max="11" width="16.07421875" bestFit="1" customWidth="1"/>
    <col min="12" max="13" width="22.460937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 hidden="1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 hidden="1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 hidden="1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 hidden="1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 hidden="1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 hidden="1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 hidden="1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 hidden="1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 hidden="1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 hidden="1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 hidden="1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 hidden="1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 hidden="1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 hidden="1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 hidden="1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 hidden="1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 hidden="1">
      <c r="B18" t="s">
        <v>135</v>
      </c>
      <c r="C18" t="s">
        <v>208</v>
      </c>
      <c r="L18" t="s">
        <v>496</v>
      </c>
      <c r="M18" t="s">
        <v>174</v>
      </c>
    </row>
    <row r="19" spans="2:13" hidden="1">
      <c r="B19" t="s">
        <v>136</v>
      </c>
      <c r="C19" t="s">
        <v>209</v>
      </c>
      <c r="L19" t="s">
        <v>497</v>
      </c>
      <c r="M19" t="s">
        <v>175</v>
      </c>
    </row>
    <row r="20" spans="2:13" hidden="1">
      <c r="B20" t="s">
        <v>191</v>
      </c>
      <c r="C20" t="s">
        <v>270</v>
      </c>
      <c r="L20" t="s">
        <v>490</v>
      </c>
      <c r="M20" t="s">
        <v>107</v>
      </c>
    </row>
    <row r="21" spans="2:13" hidden="1">
      <c r="B21" t="s">
        <v>147</v>
      </c>
      <c r="C21" t="s">
        <v>299</v>
      </c>
      <c r="L21" t="s">
        <v>491</v>
      </c>
      <c r="M21" t="s">
        <v>154</v>
      </c>
    </row>
    <row r="22" spans="2:13" hidden="1">
      <c r="B22" t="s">
        <v>148</v>
      </c>
      <c r="C22" t="s">
        <v>312</v>
      </c>
      <c r="L22" t="s">
        <v>492</v>
      </c>
      <c r="M22" t="s">
        <v>104</v>
      </c>
    </row>
    <row r="23" spans="2:13" hidden="1">
      <c r="B23" t="s">
        <v>245</v>
      </c>
      <c r="C23" t="s">
        <v>313</v>
      </c>
      <c r="M23" t="s">
        <v>105</v>
      </c>
    </row>
    <row r="24" spans="2:13" hidden="1">
      <c r="B24" t="s">
        <v>247</v>
      </c>
      <c r="C24" t="s">
        <v>315</v>
      </c>
      <c r="M24" t="s">
        <v>106</v>
      </c>
    </row>
    <row r="25" spans="2:13" hidden="1">
      <c r="B25" t="s">
        <v>134</v>
      </c>
      <c r="C25" t="s">
        <v>314</v>
      </c>
    </row>
    <row r="26" spans="2:13" hidden="1">
      <c r="B26" t="s">
        <v>137</v>
      </c>
      <c r="C26" t="s">
        <v>266</v>
      </c>
    </row>
    <row r="27" spans="2:13" hidden="1">
      <c r="B27" s="2" t="s">
        <v>130</v>
      </c>
      <c r="C27" t="s">
        <v>299</v>
      </c>
    </row>
    <row r="28" spans="2:13" hidden="1">
      <c r="B28" s="2" t="s">
        <v>131</v>
      </c>
      <c r="C28" t="s">
        <v>328</v>
      </c>
    </row>
    <row r="29" spans="2:13" hidden="1">
      <c r="B29" s="2" t="s">
        <v>125</v>
      </c>
      <c r="C29" t="s">
        <v>334</v>
      </c>
    </row>
    <row r="30" spans="2:13" hidden="1">
      <c r="B30" s="2" t="s">
        <v>57</v>
      </c>
      <c r="C30" t="s">
        <v>335</v>
      </c>
    </row>
    <row r="31" spans="2:13" hidden="1">
      <c r="B31" s="2" t="s">
        <v>126</v>
      </c>
      <c r="C31" t="s">
        <v>434</v>
      </c>
    </row>
    <row r="32" spans="2:13" hidden="1">
      <c r="B32" s="2" t="s">
        <v>316</v>
      </c>
    </row>
    <row r="33" spans="2:2" hidden="1">
      <c r="B33" s="2" t="s">
        <v>176</v>
      </c>
    </row>
    <row r="34" spans="2:2" hidden="1">
      <c r="B34" s="2" t="s">
        <v>127</v>
      </c>
    </row>
    <row r="35" spans="2:2">
      <c r="B35" s="2" t="s">
        <v>493</v>
      </c>
    </row>
    <row r="36" spans="2:2">
      <c r="B36" s="2" t="s">
        <v>494</v>
      </c>
    </row>
    <row r="37" spans="2:2">
      <c r="B37" s="2" t="s">
        <v>495</v>
      </c>
    </row>
    <row r="38" spans="2:2" hidden="1">
      <c r="B38" t="s">
        <v>447</v>
      </c>
    </row>
    <row r="39" spans="2:2" hidden="1">
      <c r="B39" t="s">
        <v>448</v>
      </c>
    </row>
    <row r="40" spans="2:2" hidden="1">
      <c r="B40" t="s">
        <v>238</v>
      </c>
    </row>
    <row r="41" spans="2:2" hidden="1">
      <c r="B41" t="s">
        <v>249</v>
      </c>
    </row>
    <row r="42" spans="2:2" hidden="1">
      <c r="B42" t="s">
        <v>243</v>
      </c>
    </row>
    <row r="43" spans="2:2" hidden="1">
      <c r="B43" t="s">
        <v>239</v>
      </c>
    </row>
    <row r="44" spans="2:2" hidden="1">
      <c r="B44" t="s">
        <v>250</v>
      </c>
    </row>
    <row r="45" spans="2:2" hidden="1">
      <c r="B45" t="s">
        <v>241</v>
      </c>
    </row>
    <row r="46" spans="2:2" hidden="1">
      <c r="B46" t="s">
        <v>242</v>
      </c>
    </row>
    <row r="47" spans="2:2" hidden="1">
      <c r="B47" t="s">
        <v>240</v>
      </c>
    </row>
    <row r="48" spans="2:2" hidden="1">
      <c r="B48" t="s">
        <v>212</v>
      </c>
    </row>
    <row r="49" spans="2:2" hidden="1">
      <c r="B49" t="s">
        <v>232</v>
      </c>
    </row>
    <row r="50" spans="2:2" hidden="1">
      <c r="B50" t="s">
        <v>234</v>
      </c>
    </row>
    <row r="51" spans="2:2" hidden="1">
      <c r="B51" t="s">
        <v>221</v>
      </c>
    </row>
    <row r="52" spans="2:2" hidden="1">
      <c r="B52" t="s">
        <v>217</v>
      </c>
    </row>
    <row r="53" spans="2:2" hidden="1">
      <c r="B53" t="s">
        <v>268</v>
      </c>
    </row>
    <row r="54" spans="2:2" hidden="1">
      <c r="B54" t="s">
        <v>214</v>
      </c>
    </row>
    <row r="55" spans="2:2" hidden="1">
      <c r="B55" t="s">
        <v>215</v>
      </c>
    </row>
    <row r="56" spans="2:2" hidden="1">
      <c r="B56" t="s">
        <v>222</v>
      </c>
    </row>
    <row r="57" spans="2:2" hidden="1">
      <c r="B57" t="s">
        <v>233</v>
      </c>
    </row>
    <row r="58" spans="2:2" hidden="1">
      <c r="B58" t="s">
        <v>201</v>
      </c>
    </row>
    <row r="59" spans="2:2" hidden="1">
      <c r="B59" t="s">
        <v>228</v>
      </c>
    </row>
    <row r="60" spans="2:2" hidden="1">
      <c r="B60" t="s">
        <v>219</v>
      </c>
    </row>
    <row r="61" spans="2:2" hidden="1">
      <c r="B61" t="s">
        <v>210</v>
      </c>
    </row>
    <row r="62" spans="2:2" hidden="1">
      <c r="B62" t="s">
        <v>267</v>
      </c>
    </row>
    <row r="63" spans="2:2" hidden="1">
      <c r="B63" t="s">
        <v>202</v>
      </c>
    </row>
    <row r="64" spans="2:2" hidden="1">
      <c r="B64" t="s">
        <v>230</v>
      </c>
    </row>
    <row r="65" spans="2:2" hidden="1">
      <c r="B65" t="s">
        <v>231</v>
      </c>
    </row>
    <row r="66" spans="2:2" hidden="1">
      <c r="B66" t="s">
        <v>203</v>
      </c>
    </row>
    <row r="67" spans="2:2" hidden="1">
      <c r="B67" t="s">
        <v>220</v>
      </c>
    </row>
    <row r="68" spans="2:2" hidden="1">
      <c r="B68" t="s">
        <v>229</v>
      </c>
    </row>
    <row r="69" spans="2:2" hidden="1">
      <c r="B69" t="s">
        <v>223</v>
      </c>
    </row>
    <row r="70" spans="2:2" hidden="1">
      <c r="B70" t="s">
        <v>236</v>
      </c>
    </row>
    <row r="71" spans="2:2" hidden="1">
      <c r="B71" t="s">
        <v>225</v>
      </c>
    </row>
    <row r="72" spans="2:2" hidden="1">
      <c r="B72" t="s">
        <v>258</v>
      </c>
    </row>
    <row r="73" spans="2:2" hidden="1">
      <c r="B73" t="s">
        <v>224</v>
      </c>
    </row>
    <row r="74" spans="2:2" hidden="1">
      <c r="B74" t="s">
        <v>259</v>
      </c>
    </row>
    <row r="75" spans="2:2" hidden="1">
      <c r="B75" t="s">
        <v>226</v>
      </c>
    </row>
    <row r="76" spans="2:2" hidden="1">
      <c r="B76" t="s">
        <v>235</v>
      </c>
    </row>
    <row r="77" spans="2:2" hidden="1">
      <c r="B77" t="s">
        <v>158</v>
      </c>
    </row>
    <row r="78" spans="2:2" hidden="1">
      <c r="B78" t="s">
        <v>194</v>
      </c>
    </row>
    <row r="79" spans="2:2" hidden="1">
      <c r="B79" t="s">
        <v>103</v>
      </c>
    </row>
    <row r="80" spans="2:2" hidden="1">
      <c r="B80" t="s">
        <v>251</v>
      </c>
    </row>
    <row r="81" spans="2:2" hidden="1">
      <c r="B81" t="s">
        <v>102</v>
      </c>
    </row>
    <row r="82" spans="2:2" hidden="1">
      <c r="B82" t="s">
        <v>252</v>
      </c>
    </row>
    <row r="83" spans="2:2" hidden="1">
      <c r="B83" t="s">
        <v>449</v>
      </c>
    </row>
    <row r="84" spans="2:2" hidden="1">
      <c r="B84" t="s">
        <v>450</v>
      </c>
    </row>
    <row r="85" spans="2:2" hidden="1">
      <c r="B85" t="s">
        <v>451</v>
      </c>
    </row>
    <row r="86" spans="2:2" hidden="1">
      <c r="B86" t="s">
        <v>253</v>
      </c>
    </row>
    <row r="87" spans="2:2" hidden="1">
      <c r="B87" t="s">
        <v>327</v>
      </c>
    </row>
    <row r="88" spans="2:2" hidden="1">
      <c r="B88" t="s">
        <v>23</v>
      </c>
    </row>
    <row r="89" spans="2:2" hidden="1">
      <c r="B89" t="s">
        <v>56</v>
      </c>
    </row>
    <row r="90" spans="2:2" hidden="1">
      <c r="B90" s="2" t="s">
        <v>132</v>
      </c>
    </row>
    <row r="91" spans="2:2" hidden="1">
      <c r="B91" s="2" t="s">
        <v>58</v>
      </c>
    </row>
    <row r="92" spans="2:2" hidden="1">
      <c r="B92" s="2" t="s">
        <v>133</v>
      </c>
    </row>
    <row r="93" spans="2:2" hidden="1">
      <c r="B93" s="2" t="s">
        <v>128</v>
      </c>
    </row>
    <row r="94" spans="2:2" hidden="1">
      <c r="B94" s="2" t="s">
        <v>129</v>
      </c>
    </row>
    <row r="95" spans="2:2" hidden="1">
      <c r="B95" s="2" t="s">
        <v>60</v>
      </c>
    </row>
    <row r="96" spans="2:2" hidden="1">
      <c r="B96" s="2" t="s">
        <v>123</v>
      </c>
    </row>
    <row r="97" spans="2:2" hidden="1">
      <c r="B97" s="2" t="s">
        <v>59</v>
      </c>
    </row>
    <row r="98" spans="2:2" hidden="1">
      <c r="B98" s="2" t="s">
        <v>317</v>
      </c>
    </row>
    <row r="99" spans="2:2" hidden="1">
      <c r="B99" s="2" t="s">
        <v>124</v>
      </c>
    </row>
    <row r="100" spans="2:2" hidden="1">
      <c r="B100" t="s">
        <v>86</v>
      </c>
    </row>
    <row r="101" spans="2:2" hidden="1">
      <c r="B101" t="s">
        <v>85</v>
      </c>
    </row>
    <row r="102" spans="2:2" hidden="1">
      <c r="B102" t="s">
        <v>84</v>
      </c>
    </row>
    <row r="103" spans="2:2" hidden="1">
      <c r="B103" t="s">
        <v>87</v>
      </c>
    </row>
    <row r="104" spans="2:2" hidden="1">
      <c r="B104" t="s">
        <v>88</v>
      </c>
    </row>
    <row r="105" spans="2:2" hidden="1">
      <c r="B105" t="s">
        <v>306</v>
      </c>
    </row>
    <row r="106" spans="2:2" hidden="1">
      <c r="B106" t="s">
        <v>96</v>
      </c>
    </row>
    <row r="107" spans="2:2" hidden="1">
      <c r="B107" t="s">
        <v>101</v>
      </c>
    </row>
    <row r="108" spans="2:2" hidden="1">
      <c r="B108" t="s">
        <v>301</v>
      </c>
    </row>
    <row r="109" spans="2:2" hidden="1">
      <c r="B109" t="s">
        <v>98</v>
      </c>
    </row>
    <row r="110" spans="2:2" hidden="1">
      <c r="B110" t="s">
        <v>99</v>
      </c>
    </row>
    <row r="111" spans="2:2" hidden="1">
      <c r="B111" t="s">
        <v>100</v>
      </c>
    </row>
    <row r="112" spans="2:2" hidden="1">
      <c r="B112" t="s">
        <v>304</v>
      </c>
    </row>
    <row r="113" spans="2:2" hidden="1">
      <c r="B113" t="s">
        <v>172</v>
      </c>
    </row>
    <row r="114" spans="2:2" hidden="1">
      <c r="B114" t="s">
        <v>173</v>
      </c>
    </row>
    <row r="115" spans="2:2" hidden="1">
      <c r="B115" t="s">
        <v>90</v>
      </c>
    </row>
    <row r="116" spans="2:2" hidden="1">
      <c r="B116" t="s">
        <v>89</v>
      </c>
    </row>
    <row r="117" spans="2:2" hidden="1">
      <c r="B117" t="s">
        <v>91</v>
      </c>
    </row>
    <row r="118" spans="2:2" hidden="1">
      <c r="B118" t="s">
        <v>460</v>
      </c>
    </row>
    <row r="119" spans="2:2" hidden="1">
      <c r="B119" t="s">
        <v>303</v>
      </c>
    </row>
    <row r="120" spans="2:2" hidden="1">
      <c r="B120" t="s">
        <v>305</v>
      </c>
    </row>
    <row r="121" spans="2:2" hidden="1">
      <c r="B121" t="s">
        <v>167</v>
      </c>
    </row>
    <row r="122" spans="2:2" hidden="1">
      <c r="B122" t="s">
        <v>166</v>
      </c>
    </row>
    <row r="123" spans="2:2" hidden="1">
      <c r="B123" t="s">
        <v>165</v>
      </c>
    </row>
    <row r="124" spans="2:2" hidden="1">
      <c r="B124" t="s">
        <v>93</v>
      </c>
    </row>
    <row r="125" spans="2:2" hidden="1">
      <c r="B125" t="s">
        <v>92</v>
      </c>
    </row>
    <row r="126" spans="2:2" hidden="1">
      <c r="B126" t="s">
        <v>94</v>
      </c>
    </row>
    <row r="127" spans="2:2" hidden="1">
      <c r="B127" t="s">
        <v>302</v>
      </c>
    </row>
    <row r="128" spans="2:2" hidden="1">
      <c r="B128" t="s">
        <v>269</v>
      </c>
    </row>
    <row r="129" spans="2:2" hidden="1">
      <c r="B129" s="2" t="s">
        <v>330</v>
      </c>
    </row>
    <row r="130" spans="2:2" hidden="1">
      <c r="B130" s="2" t="s">
        <v>329</v>
      </c>
    </row>
    <row r="131" spans="2:2" hidden="1">
      <c r="B131" t="s">
        <v>121</v>
      </c>
    </row>
    <row r="132" spans="2:2" hidden="1">
      <c r="B132" t="s">
        <v>122</v>
      </c>
    </row>
    <row r="133" spans="2:2" hidden="1">
      <c r="B133" s="2" t="s">
        <v>310</v>
      </c>
    </row>
    <row r="134" spans="2:2" hidden="1">
      <c r="B134" s="2" t="s">
        <v>311</v>
      </c>
    </row>
    <row r="135" spans="2:2" hidden="1">
      <c r="B135" t="s">
        <v>157</v>
      </c>
    </row>
    <row r="136" spans="2:2" hidden="1">
      <c r="B136" t="s">
        <v>300</v>
      </c>
    </row>
    <row r="137" spans="2:2" hidden="1">
      <c r="B137" t="s">
        <v>260</v>
      </c>
    </row>
    <row r="138" spans="2:2" hidden="1">
      <c r="B138" t="s">
        <v>261</v>
      </c>
    </row>
    <row r="139" spans="2:2" hidden="1">
      <c r="B139" t="s">
        <v>332</v>
      </c>
    </row>
    <row r="140" spans="2:2" hidden="1">
      <c r="B140" t="s">
        <v>333</v>
      </c>
    </row>
    <row r="141" spans="2:2" hidden="1">
      <c r="B141" t="s">
        <v>180</v>
      </c>
    </row>
    <row r="142" spans="2:2" hidden="1">
      <c r="B142" s="2" t="s">
        <v>331</v>
      </c>
    </row>
    <row r="143" spans="2:2" hidden="1">
      <c r="B143" t="s">
        <v>181</v>
      </c>
    </row>
    <row r="144" spans="2:2" hidden="1">
      <c r="B144" t="s">
        <v>309</v>
      </c>
    </row>
    <row r="145" spans="2:2" hidden="1">
      <c r="B145" t="s">
        <v>182</v>
      </c>
    </row>
  </sheetData>
  <autoFilter ref="A1:N145" xr:uid="{00000000-0001-0000-0000-000000000000}">
    <filterColumn colId="1">
      <filters>
        <filter val="PSNG_Ship_Bio"/>
        <filter val="PSNG_Ship_Conv"/>
        <filter val="PSNG_Ship_LNG"/>
      </filters>
    </filterColumn>
  </autoFilter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609375" defaultRowHeight="14.6"/>
  <cols>
    <col min="7" max="7" width="13.460937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609375" defaultRowHeight="14.6"/>
  <cols>
    <col min="8" max="8" width="13.460937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609375" defaultRowHeight="14.6"/>
  <cols>
    <col min="1" max="1" width="40.4609375" bestFit="1" customWidth="1"/>
    <col min="5" max="5" width="14" bestFit="1" customWidth="1"/>
    <col min="8" max="8" width="14.5351562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609375" defaultRowHeight="14.6"/>
  <cols>
    <col min="1" max="1" width="17" customWidth="1"/>
    <col min="2" max="2" width="16.4609375" bestFit="1" customWidth="1"/>
    <col min="3" max="3" width="14.4609375" bestFit="1" customWidth="1"/>
    <col min="4" max="4" width="7.535156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609375" bestFit="1" customWidth="1"/>
    <col min="10" max="10" width="8.4609375" bestFit="1" customWidth="1"/>
    <col min="11" max="11" width="6.4609375" bestFit="1" customWidth="1"/>
    <col min="12" max="12" width="6" bestFit="1" customWidth="1"/>
    <col min="13" max="13" width="13.4609375" bestFit="1" customWidth="1"/>
    <col min="14" max="14" width="11.4609375" bestFit="1" customWidth="1"/>
    <col min="15" max="15" width="16.4609375" bestFit="1" customWidth="1"/>
    <col min="16" max="16" width="14.4609375" bestFit="1" customWidth="1"/>
    <col min="17" max="17" width="18" bestFit="1" customWidth="1"/>
    <col min="18" max="18" width="7.84375" bestFit="1" customWidth="1"/>
    <col min="19" max="19" width="14.4609375" bestFit="1" customWidth="1"/>
    <col min="20" max="20" width="11" bestFit="1" customWidth="1"/>
    <col min="21" max="21" width="16" bestFit="1" customWidth="1"/>
    <col min="22" max="22" width="14.07421875" bestFit="1" customWidth="1"/>
    <col min="23" max="23" width="17.4609375" bestFit="1" customWidth="1"/>
    <col min="24" max="24" width="7.4609375" bestFit="1" customWidth="1"/>
    <col min="25" max="25" width="14" bestFit="1" customWidth="1"/>
    <col min="26" max="26" width="12.84375" bestFit="1" customWidth="1"/>
    <col min="27" max="28" width="11" bestFit="1" customWidth="1"/>
    <col min="29" max="29" width="14" bestFit="1" customWidth="1"/>
    <col min="30" max="30" width="12.4609375" bestFit="1" customWidth="1"/>
    <col min="31" max="31" width="5.53515625" bestFit="1" customWidth="1"/>
    <col min="32" max="32" width="8.53515625" bestFit="1" customWidth="1"/>
    <col min="33" max="33" width="5.53515625" bestFit="1" customWidth="1"/>
    <col min="34" max="34" width="7.4609375" bestFit="1" customWidth="1"/>
    <col min="35" max="35" width="14.4609375" bestFit="1" customWidth="1"/>
    <col min="36" max="36" width="13.84375" bestFit="1" customWidth="1"/>
    <col min="37" max="38" width="14.4609375" bestFit="1" customWidth="1"/>
    <col min="39" max="39" width="9.4609375" bestFit="1" customWidth="1"/>
    <col min="40" max="40" width="13.84375" bestFit="1" customWidth="1"/>
    <col min="41" max="41" width="16.4609375" bestFit="1" customWidth="1"/>
    <col min="42" max="42" width="15.4609375" bestFit="1" customWidth="1"/>
    <col min="43" max="43" width="16.4609375" bestFit="1" customWidth="1"/>
    <col min="44" max="44" width="20.4609375" bestFit="1" customWidth="1"/>
    <col min="45" max="45" width="19.4609375" bestFit="1" customWidth="1"/>
    <col min="46" max="46" width="20.4609375" bestFit="1" customWidth="1"/>
    <col min="47" max="47" width="20.07421875" bestFit="1" customWidth="1"/>
    <col min="48" max="48" width="19.4609375" bestFit="1" customWidth="1"/>
    <col min="49" max="49" width="20.07421875" bestFit="1" customWidth="1"/>
    <col min="50" max="50" width="11.4609375" bestFit="1" customWidth="1"/>
    <col min="51" max="51" width="9.53515625" bestFit="1" customWidth="1"/>
    <col min="52" max="52" width="14.07421875" bestFit="1" customWidth="1"/>
    <col min="56" max="56" width="12.4609375" bestFit="1" customWidth="1"/>
    <col min="57" max="57" width="14.07421875" bestFit="1" customWidth="1"/>
    <col min="58" max="58" width="12.4609375" bestFit="1" customWidth="1"/>
    <col min="59" max="59" width="11.53515625" bestFit="1" customWidth="1"/>
    <col min="60" max="60" width="11.84375" bestFit="1" customWidth="1"/>
    <col min="61" max="61" width="13.53515625" bestFit="1" customWidth="1"/>
    <col min="62" max="62" width="12" bestFit="1" customWidth="1"/>
    <col min="63" max="63" width="11.4609375" bestFit="1" customWidth="1"/>
    <col min="64" max="64" width="12.53515625" bestFit="1" customWidth="1"/>
    <col min="65" max="65" width="11.53515625" bestFit="1" customWidth="1"/>
    <col min="66" max="66" width="13" bestFit="1" customWidth="1"/>
    <col min="67" max="67" width="11.4609375" bestFit="1" customWidth="1"/>
    <col min="68" max="68" width="13.53515625" bestFit="1" customWidth="1"/>
    <col min="69" max="69" width="15.4609375" bestFit="1" customWidth="1"/>
    <col min="70" max="70" width="14" bestFit="1" customWidth="1"/>
    <col min="71" max="71" width="13.07421875" bestFit="1" customWidth="1"/>
    <col min="72" max="72" width="13.4609375" bestFit="1" customWidth="1"/>
    <col min="73" max="73" width="15.074218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8.3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609375" defaultRowHeight="14.6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609375" defaultRowHeight="14.6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609375" defaultRowHeight="14.6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609375" defaultRowHeight="14.6"/>
  <cols>
    <col min="2" max="2" width="15" bestFit="1" customWidth="1"/>
    <col min="3" max="3" width="15.3046875" style="51" bestFit="1" customWidth="1"/>
    <col min="4" max="4" width="14.07421875" style="51" bestFit="1" customWidth="1"/>
    <col min="5" max="5" width="16.69140625" style="51" bestFit="1" customWidth="1"/>
    <col min="6" max="6" width="17" style="51" customWidth="1"/>
    <col min="7" max="7" width="12.84375" style="51" customWidth="1"/>
    <col min="8" max="8" width="16.07421875" style="51" bestFit="1" customWidth="1"/>
    <col min="9" max="9" width="19.84375" style="51" bestFit="1" customWidth="1"/>
    <col min="10" max="10" width="17.843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478</v>
      </c>
      <c r="D5" s="50" t="s">
        <v>479</v>
      </c>
      <c r="E5" s="50" t="s">
        <v>480</v>
      </c>
      <c r="F5" s="50" t="s">
        <v>486</v>
      </c>
      <c r="G5" s="50" t="s">
        <v>485</v>
      </c>
      <c r="H5" s="50" t="s">
        <v>482</v>
      </c>
      <c r="I5" s="50" t="s">
        <v>483</v>
      </c>
      <c r="J5" s="50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478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479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480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486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485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482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483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484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478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479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480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486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485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482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483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484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478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479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480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486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485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482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483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484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478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479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480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486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485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482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483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484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478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479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480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486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485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482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483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484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478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479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480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486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485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482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483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484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609375" defaultRowHeight="14.6"/>
  <cols>
    <col min="2" max="2" width="17.53515625" bestFit="1" customWidth="1"/>
    <col min="3" max="4" width="14.4609375" customWidth="1"/>
    <col min="5" max="5" width="12.84375" customWidth="1"/>
    <col min="6" max="6" width="18.4609375" customWidth="1"/>
    <col min="7" max="7" width="15.4609375" customWidth="1"/>
    <col min="8" max="8" width="13.84375" bestFit="1" customWidth="1"/>
    <col min="9" max="9" width="17.53515625" bestFit="1" customWidth="1"/>
    <col min="10" max="10" width="15.53515625" bestFit="1" customWidth="1"/>
    <col min="11" max="11" width="15.84375" customWidth="1"/>
    <col min="12" max="12" width="16" customWidth="1"/>
    <col min="14" max="14" width="15.4609375" customWidth="1"/>
    <col min="15" max="15" width="21.84375" customWidth="1"/>
    <col min="22" max="22" width="11.843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478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479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480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486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485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482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483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484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478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479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480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486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485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482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483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484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478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479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480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486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485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482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483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484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478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479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480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486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485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482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483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484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478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479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480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486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485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482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483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484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478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479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480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486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485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482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483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484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609375" defaultRowHeight="14.6"/>
  <cols>
    <col min="1" max="1" width="12.84375" customWidth="1"/>
    <col min="2" max="2" width="17.53515625" bestFit="1" customWidth="1"/>
    <col min="3" max="3" width="15.4609375" bestFit="1" customWidth="1"/>
    <col min="4" max="4" width="13" bestFit="1" customWidth="1"/>
    <col min="5" max="5" width="14.69140625" bestFit="1" customWidth="1"/>
    <col min="6" max="6" width="18.3046875" bestFit="1" customWidth="1"/>
    <col min="7" max="7" width="11.84375" bestFit="1" customWidth="1"/>
    <col min="8" max="8" width="16.07421875" bestFit="1" customWidth="1"/>
    <col min="9" max="9" width="19.84375" bestFit="1" customWidth="1"/>
    <col min="10" max="10" width="15.5351562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478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479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480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486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485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482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483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484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609375" defaultRowHeight="14.6"/>
  <cols>
    <col min="1" max="1" width="7.84375" customWidth="1"/>
    <col min="2" max="2" width="17.53515625" bestFit="1" customWidth="1"/>
    <col min="3" max="3" width="13.07421875" bestFit="1" customWidth="1"/>
    <col min="4" max="4" width="10.69140625" bestFit="1" customWidth="1"/>
    <col min="5" max="5" width="12.4609375" bestFit="1" customWidth="1"/>
    <col min="6" max="6" width="16" bestFit="1" customWidth="1"/>
    <col min="7" max="7" width="9.53515625" bestFit="1" customWidth="1"/>
    <col min="8" max="8" width="13.84375" bestFit="1" customWidth="1"/>
    <col min="9" max="9" width="17.53515625" bestFit="1" customWidth="1"/>
    <col min="10" max="10" width="15.5351562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A6" t="s">
        <v>24</v>
      </c>
      <c r="B6" s="49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609375" defaultRowHeight="14.6"/>
  <cols>
    <col min="1" max="1" width="5" bestFit="1" customWidth="1"/>
    <col min="2" max="2" width="9" customWidth="1"/>
    <col min="3" max="3" width="17.53515625" bestFit="1" customWidth="1"/>
    <col min="4" max="4" width="13.07421875" bestFit="1" customWidth="1"/>
    <col min="5" max="5" width="10.69140625" bestFit="1" customWidth="1"/>
    <col min="6" max="6" width="12.4609375" bestFit="1" customWidth="1"/>
    <col min="7" max="7" width="16" bestFit="1" customWidth="1"/>
    <col min="8" max="8" width="9.53515625" bestFit="1" customWidth="1"/>
    <col min="9" max="9" width="13.84375" bestFit="1" customWidth="1"/>
    <col min="10" max="10" width="17.53515625" bestFit="1" customWidth="1"/>
    <col min="11" max="11" width="15.5351562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478</v>
      </c>
      <c r="E5" s="49" t="s">
        <v>479</v>
      </c>
      <c r="F5" s="49" t="s">
        <v>480</v>
      </c>
      <c r="G5" s="49" t="s">
        <v>486</v>
      </c>
      <c r="H5" s="49" t="s">
        <v>485</v>
      </c>
      <c r="I5" s="49" t="s">
        <v>482</v>
      </c>
      <c r="J5" s="49" t="s">
        <v>483</v>
      </c>
      <c r="K5" s="49" t="s">
        <v>484</v>
      </c>
    </row>
    <row r="6" spans="1:11">
      <c r="A6">
        <v>2018</v>
      </c>
      <c r="B6" t="s">
        <v>24</v>
      </c>
      <c r="C6" s="49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609375" defaultRowHeight="14.6"/>
  <cols>
    <col min="1" max="1" width="24.460937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609375" defaultRowHeight="14.6"/>
  <cols>
    <col min="1" max="1" width="25.4609375" customWidth="1"/>
    <col min="4" max="4" width="11.4609375" customWidth="1"/>
    <col min="9" max="10" width="11.460937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62"/>
      <c r="M4" s="62"/>
      <c r="N4" s="62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609375" defaultRowHeight="14.6"/>
  <cols>
    <col min="1" max="2" width="25.4609375" customWidth="1"/>
    <col min="5" max="5" width="11.4609375" customWidth="1"/>
    <col min="10" max="11" width="11.460937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609375" defaultRowHeight="14.6"/>
  <cols>
    <col min="1" max="1" width="25.4609375" customWidth="1"/>
    <col min="4" max="4" width="11.4609375" customWidth="1"/>
    <col min="9" max="10" width="11.460937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609375" defaultRowHeight="14.6"/>
  <cols>
    <col min="2" max="2" width="23.460937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609375" defaultRowHeight="14.6"/>
  <cols>
    <col min="2" max="2" width="23.460937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609375" defaultRowHeight="14.6"/>
  <cols>
    <col min="1" max="1" width="17.5351562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609375" defaultRowHeight="14.6"/>
  <cols>
    <col min="1" max="1" width="42.4609375" customWidth="1"/>
    <col min="2" max="2" width="21.4609375" customWidth="1"/>
    <col min="3" max="3" width="17.4609375" customWidth="1"/>
    <col min="4" max="4" width="20.4609375" customWidth="1"/>
    <col min="5" max="5" width="17.4609375" customWidth="1"/>
    <col min="6" max="6" width="20.4609375" customWidth="1"/>
    <col min="7" max="7" width="17.4609375" customWidth="1"/>
    <col min="8" max="8" width="20.4609375" customWidth="1"/>
    <col min="9" max="9" width="17.4609375" customWidth="1"/>
    <col min="10" max="10" width="20.4609375" customWidth="1"/>
    <col min="11" max="11" width="5" customWidth="1"/>
    <col min="12" max="12" width="23.4609375" customWidth="1"/>
    <col min="13" max="14" width="16.4609375" customWidth="1"/>
    <col min="15" max="15" width="13.460937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>
    <tabColor theme="5" tint="0.59999389629810485"/>
  </sheetPr>
  <dimension ref="A1:J61"/>
  <sheetViews>
    <sheetView zoomScale="90" zoomScaleNormal="90" zoomScalePageLayoutView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49" sqref="A7:C49"/>
    </sheetView>
  </sheetViews>
  <sheetFormatPr defaultColWidth="11.3828125" defaultRowHeight="14.6"/>
  <cols>
    <col min="1" max="1" width="17.3828125" customWidth="1"/>
    <col min="2" max="2" width="25.3828125" customWidth="1"/>
    <col min="3" max="3" width="21.3828125" customWidth="1"/>
    <col min="4" max="4" width="18.3828125" customWidth="1"/>
    <col min="6" max="13" width="13.3828125" customWidth="1"/>
  </cols>
  <sheetData>
    <row r="1" spans="1:10">
      <c r="A1" t="s">
        <v>392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idden="1">
      <c r="A6" s="49" t="s">
        <v>478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478</v>
      </c>
      <c r="B7" s="49" t="s">
        <v>207</v>
      </c>
      <c r="C7" s="58">
        <v>0.376776</v>
      </c>
      <c r="D7" s="58">
        <v>0.36</v>
      </c>
      <c r="E7" s="58">
        <v>0.34375628328077751</v>
      </c>
      <c r="F7" s="58">
        <v>0.34375628328077751</v>
      </c>
      <c r="G7" s="58">
        <v>0.34375628328077751</v>
      </c>
      <c r="H7" s="58">
        <v>0.34375628328077751</v>
      </c>
      <c r="I7" s="58">
        <v>0.34375628328077751</v>
      </c>
      <c r="J7" s="58">
        <v>0.34375628328077751</v>
      </c>
    </row>
    <row r="8" spans="1:10" hidden="1">
      <c r="A8" s="49" t="s">
        <v>478</v>
      </c>
      <c r="B8" s="49" t="s">
        <v>271</v>
      </c>
      <c r="C8" s="47">
        <v>8.114346449827026E-3</v>
      </c>
      <c r="D8" s="47">
        <v>1.256734145278088E-2</v>
      </c>
      <c r="E8" s="60">
        <v>1.5040024363583935E-2</v>
      </c>
      <c r="F8" s="60">
        <v>1.5040024363583935E-2</v>
      </c>
      <c r="G8" s="60">
        <v>1.5040024363583935E-2</v>
      </c>
      <c r="H8" s="60">
        <v>1.5040024363583935E-2</v>
      </c>
      <c r="I8" s="60">
        <v>1.5040024363583935E-2</v>
      </c>
      <c r="J8" s="60">
        <v>1.5040024363583935E-2</v>
      </c>
    </row>
    <row r="9" spans="1:10" hidden="1">
      <c r="A9" s="49" t="s">
        <v>478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 hidden="1">
      <c r="A10" s="49" t="s">
        <v>478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 hidden="1">
      <c r="A11" s="49" t="s">
        <v>478</v>
      </c>
      <c r="B11" s="49" t="s">
        <v>24</v>
      </c>
      <c r="C11" s="47">
        <v>0.1165766738660907</v>
      </c>
      <c r="D11" s="52">
        <v>0.11510079193664507</v>
      </c>
      <c r="E11" s="59">
        <v>0.13647275703714637</v>
      </c>
      <c r="F11" s="59">
        <v>0.14070964313144907</v>
      </c>
      <c r="G11" s="59">
        <v>0.1447210325967957</v>
      </c>
      <c r="H11" s="59">
        <v>0.14850774836624264</v>
      </c>
      <c r="I11" s="59">
        <v>0.15207060802400235</v>
      </c>
      <c r="J11" s="59">
        <v>0.15541042385429868</v>
      </c>
    </row>
    <row r="12" spans="1:10" hidden="1">
      <c r="A12" s="49" t="s">
        <v>479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479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 hidden="1">
      <c r="A14" s="49" t="s">
        <v>479</v>
      </c>
      <c r="B14" s="49" t="s">
        <v>271</v>
      </c>
      <c r="C14" s="47">
        <v>1.0905437931630502E-3</v>
      </c>
      <c r="D14" s="47">
        <v>1.6890129479476511E-3</v>
      </c>
      <c r="E14" s="60">
        <v>2.0213341049884746E-3</v>
      </c>
      <c r="F14" s="60">
        <v>2.0213341049884746E-3</v>
      </c>
      <c r="G14" s="60">
        <v>2.0213341049884746E-3</v>
      </c>
      <c r="H14" s="60">
        <v>2.0213341049884746E-3</v>
      </c>
      <c r="I14" s="60">
        <v>2.0213341049884746E-3</v>
      </c>
      <c r="J14" s="60">
        <v>2.0213341049884746E-3</v>
      </c>
    </row>
    <row r="15" spans="1:10" hidden="1">
      <c r="A15" s="49" t="s">
        <v>479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 hidden="1">
      <c r="A16" s="49" t="s">
        <v>479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 hidden="1">
      <c r="A17" s="49" t="s">
        <v>479</v>
      </c>
      <c r="B17" s="49" t="s">
        <v>24</v>
      </c>
      <c r="C17" s="47">
        <v>1.5561555075593952E-2</v>
      </c>
      <c r="D17" s="52">
        <v>1.3898488120950325E-2</v>
      </c>
      <c r="E17" s="59">
        <v>1.6479165439262616E-2</v>
      </c>
      <c r="F17" s="59">
        <v>1.6990771919641122E-2</v>
      </c>
      <c r="G17" s="59">
        <v>1.7475149549842944E-2</v>
      </c>
      <c r="H17" s="59">
        <v>1.7932397699517211E-2</v>
      </c>
      <c r="I17" s="59">
        <v>1.8362615092436998E-2</v>
      </c>
      <c r="J17" s="59">
        <v>1.8765899812398665E-2</v>
      </c>
    </row>
    <row r="18" spans="1:10" hidden="1">
      <c r="A18" s="49" t="s">
        <v>480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480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 hidden="1">
      <c r="A20" s="49" t="s">
        <v>480</v>
      </c>
      <c r="B20" s="49" t="s">
        <v>271</v>
      </c>
      <c r="C20" s="47">
        <v>1.9320597788091191E-3</v>
      </c>
      <c r="D20" s="47">
        <v>2.9923364866921722E-3</v>
      </c>
      <c r="E20" s="60">
        <v>3.5810926147735751E-3</v>
      </c>
      <c r="F20" s="60">
        <v>3.5810926147735751E-3</v>
      </c>
      <c r="G20" s="60">
        <v>3.5810926147735751E-3</v>
      </c>
      <c r="H20" s="60">
        <v>3.5810926147735751E-3</v>
      </c>
      <c r="I20" s="60">
        <v>3.5810926147735751E-3</v>
      </c>
      <c r="J20" s="60">
        <v>3.5810926147735751E-3</v>
      </c>
    </row>
    <row r="21" spans="1:10" hidden="1">
      <c r="A21" s="49" t="s">
        <v>480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 hidden="1">
      <c r="A22" s="49" t="s">
        <v>480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 hidden="1">
      <c r="A23" s="49" t="s">
        <v>480</v>
      </c>
      <c r="B23" s="49" t="s">
        <v>24</v>
      </c>
      <c r="C23" s="47">
        <v>3.1504679625629951E-2</v>
      </c>
      <c r="D23" s="52">
        <v>3.0939524838012961E-2</v>
      </c>
      <c r="E23" s="59">
        <v>3.668438926455897E-2</v>
      </c>
      <c r="F23" s="59">
        <v>3.7823280147452842E-2</v>
      </c>
      <c r="G23" s="59">
        <v>3.8901556690209817E-2</v>
      </c>
      <c r="H23" s="59">
        <v>3.9919440100323854E-2</v>
      </c>
      <c r="I23" s="59">
        <v>4.0877150147499611E-2</v>
      </c>
      <c r="J23" s="59">
        <v>4.17749051767849E-2</v>
      </c>
    </row>
    <row r="24" spans="1:10" hidden="1">
      <c r="A24" s="49" t="s">
        <v>486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486</v>
      </c>
      <c r="B25" s="49" t="s">
        <v>207</v>
      </c>
      <c r="C25" s="47">
        <v>4.1183999999999998E-2</v>
      </c>
      <c r="D25" s="47">
        <v>3.9600000000000003E-2</v>
      </c>
      <c r="E25" s="58">
        <v>3.7813191161267135E-2</v>
      </c>
      <c r="F25" s="58">
        <v>3.7813191161267135E-2</v>
      </c>
      <c r="G25" s="58">
        <v>3.7813191161267135E-2</v>
      </c>
      <c r="H25" s="58">
        <v>3.7813191161267135E-2</v>
      </c>
      <c r="I25" s="58">
        <v>3.7813191161267135E-2</v>
      </c>
      <c r="J25" s="58">
        <v>3.7813191161267135E-2</v>
      </c>
    </row>
    <row r="26" spans="1:10" hidden="1">
      <c r="A26" s="49" t="s">
        <v>486</v>
      </c>
      <c r="B26" s="49" t="s">
        <v>271</v>
      </c>
      <c r="C26" s="47">
        <v>5.894267353577777E-2</v>
      </c>
      <c r="D26" s="47">
        <v>9.1289262671265595E-2</v>
      </c>
      <c r="E26" s="60">
        <v>0.10925084990076672</v>
      </c>
      <c r="F26" s="60">
        <v>0.10925084990076672</v>
      </c>
      <c r="G26" s="60">
        <v>0.10925084990076672</v>
      </c>
      <c r="H26" s="60">
        <v>0.10925084990076672</v>
      </c>
      <c r="I26" s="60">
        <v>0.10925084990076672</v>
      </c>
      <c r="J26" s="60">
        <v>0.10925084990076672</v>
      </c>
    </row>
    <row r="27" spans="1:10" hidden="1">
      <c r="A27" s="49" t="s">
        <v>486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 hidden="1">
      <c r="A28" s="49" t="s">
        <v>486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 hidden="1">
      <c r="A29" s="49" t="s">
        <v>486</v>
      </c>
      <c r="B29" s="49" t="s">
        <v>24</v>
      </c>
      <c r="C29" s="47">
        <v>0.78448164146868249</v>
      </c>
      <c r="D29" s="52">
        <v>0.78189344852411802</v>
      </c>
      <c r="E29" s="59">
        <v>0.92707576406688252</v>
      </c>
      <c r="F29" s="59">
        <v>0.95585743814173751</v>
      </c>
      <c r="G29" s="59">
        <v>0.98310728664112568</v>
      </c>
      <c r="H29" s="59">
        <v>1.0088308998477424</v>
      </c>
      <c r="I29" s="59">
        <v>1.033033831708946</v>
      </c>
      <c r="J29" s="59">
        <v>1.0557216001686385</v>
      </c>
    </row>
    <row r="30" spans="1:10" hidden="1">
      <c r="A30" s="49" t="s">
        <v>485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485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 hidden="1">
      <c r="A32" s="49" t="s">
        <v>485</v>
      </c>
      <c r="B32" s="49" t="s">
        <v>271</v>
      </c>
      <c r="C32" s="47">
        <v>5.783385247233825E-2</v>
      </c>
      <c r="D32" s="47">
        <v>8.9571942243743374E-2</v>
      </c>
      <c r="E32" s="60">
        <v>0.10719563868787342</v>
      </c>
      <c r="F32" s="60">
        <v>0.10719563868787342</v>
      </c>
      <c r="G32" s="60">
        <v>0.10719563868787342</v>
      </c>
      <c r="H32" s="60">
        <v>0.10719563868787342</v>
      </c>
      <c r="I32" s="60">
        <v>0.10719563868787342</v>
      </c>
      <c r="J32" s="60">
        <v>0.10719563868787342</v>
      </c>
    </row>
    <row r="33" spans="1:10" hidden="1">
      <c r="A33" s="49" t="s">
        <v>485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0" hidden="1">
      <c r="A34" s="49" t="s">
        <v>485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0" hidden="1">
      <c r="A35" s="49" t="s">
        <v>485</v>
      </c>
      <c r="B35" s="49" t="s">
        <v>24</v>
      </c>
      <c r="C35" s="47">
        <v>0.77597192224622025</v>
      </c>
      <c r="D35" s="52">
        <v>0.77955363570914327</v>
      </c>
      <c r="E35" s="59">
        <v>0.85076199093711924</v>
      </c>
      <c r="F35" s="59">
        <v>0.87717445396064875</v>
      </c>
      <c r="G35" s="59">
        <v>0.90218118616166632</v>
      </c>
      <c r="H35" s="59">
        <v>0.92578731764951205</v>
      </c>
      <c r="I35" s="59">
        <v>0.94799794518919112</v>
      </c>
      <c r="J35" s="59">
        <v>0.96881813250593762</v>
      </c>
    </row>
    <row r="36" spans="1:10" hidden="1">
      <c r="A36" s="49" t="s">
        <v>482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49" t="s">
        <v>482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 hidden="1">
      <c r="A38" s="49" t="s">
        <v>482</v>
      </c>
      <c r="B38" s="49" t="s">
        <v>271</v>
      </c>
      <c r="C38" s="47">
        <v>7.5915403646270016E-2</v>
      </c>
      <c r="D38" s="47">
        <v>0.11757629589117428</v>
      </c>
      <c r="E38" s="60">
        <v>0.14070997922889389</v>
      </c>
      <c r="F38" s="60">
        <v>0.14070997922889389</v>
      </c>
      <c r="G38" s="60">
        <v>0.14070997922889389</v>
      </c>
      <c r="H38" s="60">
        <v>0.14070997922889389</v>
      </c>
      <c r="I38" s="60">
        <v>0.14070997922889389</v>
      </c>
      <c r="J38" s="60">
        <v>0.14070997922889389</v>
      </c>
    </row>
    <row r="39" spans="1:10" hidden="1">
      <c r="A39" s="49" t="s">
        <v>482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 hidden="1">
      <c r="A40" s="49" t="s">
        <v>482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0" hidden="1">
      <c r="A41" s="49" t="s">
        <v>482</v>
      </c>
      <c r="B41" s="49" t="s">
        <v>24</v>
      </c>
      <c r="C41" s="47">
        <v>2.0844240460763137</v>
      </c>
      <c r="D41" s="52">
        <v>2.0304895608351332</v>
      </c>
      <c r="E41" s="59">
        <v>2.4075117454868851</v>
      </c>
      <c r="F41" s="59">
        <v>2.482254523882923</v>
      </c>
      <c r="G41" s="59">
        <v>2.5530193231235194</v>
      </c>
      <c r="H41" s="59">
        <v>2.6198206605456287</v>
      </c>
      <c r="I41" s="59">
        <v>2.6826729591274114</v>
      </c>
      <c r="J41" s="59">
        <v>2.7415905483500937</v>
      </c>
    </row>
    <row r="42" spans="1:10" hidden="1">
      <c r="A42" s="49" t="s">
        <v>483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49" t="s">
        <v>483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 hidden="1">
      <c r="A44" s="49" t="s">
        <v>483</v>
      </c>
      <c r="B44" s="49" t="s">
        <v>271</v>
      </c>
      <c r="C44" s="47">
        <v>4.354026556320606E-2</v>
      </c>
      <c r="D44" s="47">
        <v>6.7434313738136201E-2</v>
      </c>
      <c r="E44" s="60">
        <v>8.0702328760129921E-2</v>
      </c>
      <c r="F44" s="60">
        <v>8.0702328760129921E-2</v>
      </c>
      <c r="G44" s="60">
        <v>8.0702328760129921E-2</v>
      </c>
      <c r="H44" s="60">
        <v>8.0702328760129921E-2</v>
      </c>
      <c r="I44" s="60">
        <v>8.0702328760129921E-2</v>
      </c>
      <c r="J44" s="60">
        <v>8.0702328760129921E-2</v>
      </c>
    </row>
    <row r="45" spans="1:10" hidden="1">
      <c r="A45" s="49" t="s">
        <v>483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0" hidden="1">
      <c r="A46" s="49" t="s">
        <v>483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0" hidden="1">
      <c r="A47" s="49" t="s">
        <v>483</v>
      </c>
      <c r="B47" s="49" t="s">
        <v>24</v>
      </c>
      <c r="C47" s="47">
        <v>0.5955903527717783</v>
      </c>
      <c r="D47" s="52">
        <v>0.59399928005759539</v>
      </c>
      <c r="E47" s="59">
        <v>0.70429332469024664</v>
      </c>
      <c r="F47" s="59">
        <v>0.72615857207348877</v>
      </c>
      <c r="G47" s="59">
        <v>0.74686010170117423</v>
      </c>
      <c r="H47" s="59">
        <v>0.76640216047408272</v>
      </c>
      <c r="I47" s="59">
        <v>0.78478896768927908</v>
      </c>
      <c r="J47" s="59">
        <v>0.8020247152922404</v>
      </c>
    </row>
    <row r="48" spans="1:10" hidden="1">
      <c r="A48" s="49" t="s">
        <v>484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484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 hidden="1">
      <c r="A50" s="49" t="s">
        <v>484</v>
      </c>
      <c r="B50" s="49" t="s">
        <v>271</v>
      </c>
      <c r="C50" s="47">
        <v>4.7830854760608728E-2</v>
      </c>
      <c r="D50" s="47">
        <v>7.4079494568259852E-2</v>
      </c>
      <c r="E50" s="60">
        <v>8.8654979840789877E-2</v>
      </c>
      <c r="F50" s="60">
        <v>8.8654979840789877E-2</v>
      </c>
      <c r="G50" s="60">
        <v>8.8654979840789877E-2</v>
      </c>
      <c r="H50" s="60">
        <v>8.8654979840789877E-2</v>
      </c>
      <c r="I50" s="60">
        <v>8.8654979840789877E-2</v>
      </c>
      <c r="J50" s="60">
        <v>8.8654979840789877E-2</v>
      </c>
    </row>
    <row r="51" spans="1:10" hidden="1">
      <c r="A51" s="49" t="s">
        <v>484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 hidden="1">
      <c r="A52" s="49" t="s">
        <v>484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 hidden="1">
      <c r="A53" s="49" t="s">
        <v>484</v>
      </c>
      <c r="B53" s="49" t="s">
        <v>24</v>
      </c>
      <c r="C53" s="47">
        <v>0.86984161267098625</v>
      </c>
      <c r="D53" s="52">
        <v>0.83686105111591069</v>
      </c>
      <c r="E53" s="59">
        <v>0.99224977501159628</v>
      </c>
      <c r="F53" s="59">
        <v>1.0230548189272644</v>
      </c>
      <c r="G53" s="59">
        <v>1.0522203489633482</v>
      </c>
      <c r="H53" s="59">
        <v>1.0797523484029423</v>
      </c>
      <c r="I53" s="59">
        <v>1.1056567616394077</v>
      </c>
      <c r="J53" s="59">
        <v>1.1299394945315826</v>
      </c>
    </row>
    <row r="54" spans="1:10" hidden="1">
      <c r="A54" t="s">
        <v>482</v>
      </c>
      <c r="B54" t="s">
        <v>146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 hidden="1">
      <c r="A55" t="s">
        <v>484</v>
      </c>
      <c r="B55" t="s">
        <v>146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 hidden="1">
      <c r="A56" t="s">
        <v>479</v>
      </c>
      <c r="B56" t="s">
        <v>146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 hidden="1">
      <c r="A57" t="s">
        <v>483</v>
      </c>
      <c r="B57" t="s">
        <v>146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 hidden="1">
      <c r="A58" t="s">
        <v>478</v>
      </c>
      <c r="B58" t="s">
        <v>146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 hidden="1">
      <c r="A59" t="s">
        <v>486</v>
      </c>
      <c r="B59" t="s">
        <v>146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 hidden="1">
      <c r="A60" t="s">
        <v>485</v>
      </c>
      <c r="B60" t="s">
        <v>146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 hidden="1">
      <c r="A61" t="s">
        <v>480</v>
      </c>
      <c r="B61" t="s">
        <v>146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</sheetData>
  <autoFilter ref="A5:J61" xr:uid="{00000000-0001-0000-1500-000000000000}">
    <filterColumn colId="1">
      <filters>
        <filter val="Heat_Low_Industrial"/>
      </filters>
    </filterColumn>
  </autoFilter>
  <conditionalFormatting sqref="A6:A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609375" defaultRowHeight="14.6"/>
  <cols>
    <col min="1" max="1" width="17.460937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609375" defaultRowHeight="14.6"/>
  <cols>
    <col min="1" max="1" width="15.074218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609375" defaultRowHeight="14.6"/>
  <cols>
    <col min="1" max="1" width="17.69140625" customWidth="1"/>
    <col min="2" max="2" width="28.074218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609375" defaultRowHeight="14.6"/>
  <cols>
    <col min="1" max="1" width="22.4609375" style="6" customWidth="1"/>
    <col min="2" max="2" width="27.84375" style="6" bestFit="1" customWidth="1"/>
    <col min="3" max="3" width="24.4609375" style="6" customWidth="1"/>
    <col min="4" max="4" width="19.53515625" style="6" bestFit="1" customWidth="1"/>
    <col min="5" max="5" width="12.4609375" style="6" bestFit="1" customWidth="1"/>
    <col min="6" max="12" width="11.4609375" style="6"/>
    <col min="13" max="13" width="10.4609375" style="6" customWidth="1"/>
    <col min="14" max="16384" width="11.460937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 hidden="1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 hidden="1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Heat_HLI"/>
        <filter val="D_Heat_HLR"/>
        <filter val="HLR_Heatpump_Aerial"/>
        <filter val="HLR_Heatpump_Ground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 filterMode="1"/>
  <dimension ref="A1:S288"/>
  <sheetViews>
    <sheetView zoomScaleNormal="100" zoomScalePageLayoutView="90" workbookViewId="0">
      <selection activeCell="B280" sqref="B280"/>
    </sheetView>
  </sheetViews>
  <sheetFormatPr defaultColWidth="11.4609375" defaultRowHeight="14.6"/>
  <cols>
    <col min="1" max="1" width="17" customWidth="1"/>
    <col min="2" max="2" width="23.53515625" customWidth="1"/>
    <col min="3" max="3" width="23.4609375" bestFit="1" customWidth="1"/>
    <col min="4" max="4" width="19.5351562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 hidden="1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 hidden="1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 hidden="1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 hidden="1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 hidden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 hidden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hidden="1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hidden="1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 hidden="1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hidden="1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hidden="1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hidden="1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 hidden="1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hidden="1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 hidden="1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 hidden="1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hidden="1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hidden="1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hidden="1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hidden="1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 hidden="1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 hidden="1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 hidden="1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hidden="1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hidden="1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hidden="1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hidden="1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hidden="1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 hidden="1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 hidden="1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 hidden="1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 hidden="1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 hidden="1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 hidden="1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hidden="1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 hidden="1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 hidden="1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 hidden="1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 hidden="1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 hidden="1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 hidden="1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hidden="1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 hidden="1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 hidden="1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 hidden="1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 hidden="1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 hidden="1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 hidden="1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 hidden="1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 hidden="1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 hidden="1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 hidden="1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 hidden="1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hidden="1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 hidden="1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 hidden="1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 hidden="1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 hidden="1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 hidden="1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 hidden="1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 hidden="1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 hidden="1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 hidden="1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 hidden="1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 hidden="1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 hidden="1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 hidden="1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 hidden="1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 hidden="1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 hidden="1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 hidden="1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 hidden="1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 hidden="1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 hidden="1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 hidden="1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 hidden="1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 hidden="1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 hidden="1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 hidden="1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 hidden="1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hidden="1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 hidden="1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 hidden="1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 hidden="1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 hidden="1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 hidden="1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 hidden="1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 hidden="1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 hidden="1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 hidden="1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 hidden="1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 hidden="1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 hidden="1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 hidden="1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hidden="1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 hidden="1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 hidden="1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 hidden="1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 hidden="1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 hidden="1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hidden="1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hidden="1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hidden="1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hidden="1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hidden="1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hidden="1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 hidden="1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 hidden="1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 hidden="1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 hidden="1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 hidden="1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 hidden="1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 hidden="1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 hidden="1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 hidden="1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 hidden="1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 hidden="1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 hidden="1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 hidden="1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hidden="1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 hidden="1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 hidden="1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 hidden="1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 hidden="1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 hidden="1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hidden="1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 hidden="1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 hidden="1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 hidden="1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 hidden="1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 hidden="1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 hidden="1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 hidden="1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 hidden="1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 hidden="1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 hidden="1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 hidden="1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hidden="1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hidden="1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hidden="1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hidden="1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 hidden="1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 hidden="1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 hidden="1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 hidden="1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 hidden="1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 hidden="1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 hidden="1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 hidden="1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 hidden="1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 hidden="1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 hidden="1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 hidden="1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 hidden="1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 hidden="1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 hidden="1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 hidden="1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 hidden="1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 hidden="1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 hidden="1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 hidden="1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 hidden="1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 hidden="1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 hidden="1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 hidden="1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 hidden="1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 hidden="1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 hidden="1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 hidden="1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 hidden="1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 hidden="1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 hidden="1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 hidden="1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 hidden="1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 hidden="1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 hidden="1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 hidden="1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 hidden="1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 hidden="1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 hidden="1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 hidden="1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 hidden="1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 hidden="1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 hidden="1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 hidden="1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 hidden="1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 hidden="1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>
    <filterColumn colId="2">
      <filters>
        <filter val="Power"/>
        <filter val="Powerfuel"/>
      </filters>
    </filterColumn>
  </autoFilter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609375" defaultRowHeight="14.6"/>
  <cols>
    <col min="1" max="1" width="18" customWidth="1"/>
    <col min="2" max="2" width="25.53515625" customWidth="1"/>
    <col min="3" max="9" width="15.4609375" customWidth="1"/>
    <col min="10" max="10" width="13.53515625" bestFit="1" customWidth="1"/>
    <col min="11" max="11" width="2" customWidth="1"/>
    <col min="12" max="12" width="20.4609375" bestFit="1" customWidth="1"/>
    <col min="13" max="13" width="30" bestFit="1" customWidth="1"/>
    <col min="14" max="14" width="26.460937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609375" defaultRowHeight="14.6"/>
  <cols>
    <col min="2" max="2" width="20.4609375" customWidth="1"/>
    <col min="3" max="3" width="19.53515625" bestFit="1" customWidth="1"/>
    <col min="12" max="12" width="2.074218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609375" defaultRowHeight="14.6"/>
  <cols>
    <col min="1" max="1" width="11.4609375" style="5"/>
    <col min="2" max="2" width="24.07421875" style="5" customWidth="1"/>
    <col min="3" max="3" width="11.4609375" style="5"/>
    <col min="4" max="9" width="15.53515625" style="5" customWidth="1"/>
    <col min="10" max="10" width="11.4609375" style="5"/>
    <col min="11" max="11" width="2" style="5" customWidth="1"/>
    <col min="12" max="12" width="23.4609375" style="5" customWidth="1"/>
    <col min="13" max="13" width="46.84375" style="5" customWidth="1"/>
    <col min="14" max="14" width="26.07421875" style="5" bestFit="1" customWidth="1"/>
    <col min="15" max="16384" width="11.460937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120"/>
  <sheetViews>
    <sheetView topLeftCell="A25" zoomScale="85" zoomScaleNormal="85" zoomScalePageLayoutView="90" workbookViewId="0">
      <selection activeCell="Q36" sqref="Q36"/>
    </sheetView>
  </sheetViews>
  <sheetFormatPr defaultColWidth="11.4609375" defaultRowHeight="14.6"/>
  <cols>
    <col min="1" max="1" width="19" customWidth="1"/>
    <col min="2" max="2" width="28.4609375" customWidth="1"/>
    <col min="3" max="3" width="9.53515625" bestFit="1" customWidth="1"/>
    <col min="11" max="11" width="2" bestFit="1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" customHeight="1">
      <c r="A6" s="49" t="s">
        <v>478</v>
      </c>
      <c r="B6" s="49" t="s">
        <v>93</v>
      </c>
      <c r="C6" s="49">
        <f>0.00386</f>
        <v>3.8600000000000001E-3</v>
      </c>
      <c r="D6" s="49">
        <v>3.8999999999999998E-3</v>
      </c>
      <c r="E6" s="33">
        <v>3.8999999999999998E-3</v>
      </c>
      <c r="F6" s="33">
        <v>3.8999999999999998E-3</v>
      </c>
      <c r="G6" s="33">
        <v>3.8999999999999998E-3</v>
      </c>
      <c r="H6" s="33">
        <v>3.8999999999999998E-3</v>
      </c>
      <c r="I6" s="33">
        <v>0</v>
      </c>
      <c r="J6" s="33">
        <v>0</v>
      </c>
    </row>
    <row r="7" spans="1:10" ht="14.4" customHeight="1">
      <c r="A7" s="49" t="s">
        <v>478</v>
      </c>
      <c r="B7" s="49" t="s">
        <v>90</v>
      </c>
      <c r="C7" s="49">
        <f>0.00222</f>
        <v>2.2200000000000002E-3</v>
      </c>
      <c r="D7" s="49">
        <v>2.1299999999999999E-3</v>
      </c>
      <c r="E7" s="33">
        <v>2.1299999999999999E-3</v>
      </c>
      <c r="F7" s="33">
        <v>2.1299999999999999E-3</v>
      </c>
      <c r="G7" s="33">
        <v>2.1299999999999999E-3</v>
      </c>
      <c r="H7" s="33">
        <v>2.1299999999999999E-3</v>
      </c>
      <c r="I7" s="33">
        <v>0</v>
      </c>
      <c r="J7" s="33">
        <v>0</v>
      </c>
    </row>
    <row r="8" spans="1:10" ht="14.4" customHeight="1">
      <c r="A8" s="49" t="s">
        <v>478</v>
      </c>
      <c r="B8" s="49" t="s">
        <v>56</v>
      </c>
      <c r="C8" s="49">
        <v>7.1000000000000004E-3</v>
      </c>
      <c r="D8" s="49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</row>
    <row r="9" spans="1:10" ht="14.4" customHeight="1">
      <c r="A9" s="49" t="s">
        <v>479</v>
      </c>
      <c r="B9" s="49" t="s">
        <v>93</v>
      </c>
      <c r="C9" s="49">
        <v>3.5999999999999999E-3</v>
      </c>
      <c r="D9" s="49">
        <v>8.8999999999999999E-3</v>
      </c>
      <c r="E9" s="33">
        <v>8.8999999999999999E-3</v>
      </c>
      <c r="F9" s="33">
        <v>8.8999999999999999E-3</v>
      </c>
      <c r="G9" s="33">
        <v>8.8999999999999999E-3</v>
      </c>
      <c r="H9" s="33">
        <v>0</v>
      </c>
      <c r="I9" s="33">
        <v>0</v>
      </c>
      <c r="J9" s="33">
        <v>0</v>
      </c>
    </row>
    <row r="10" spans="1:10" ht="14.4" customHeight="1">
      <c r="A10" s="49" t="s">
        <v>479</v>
      </c>
      <c r="B10" s="49" t="s">
        <v>90</v>
      </c>
      <c r="C10" s="49">
        <v>0</v>
      </c>
      <c r="D10" s="49">
        <v>2.5699999999999998E-3</v>
      </c>
      <c r="E10" s="33">
        <v>2.5699999999999998E-3</v>
      </c>
      <c r="F10" s="33">
        <v>2.5699999999999998E-3</v>
      </c>
      <c r="G10" s="33">
        <v>2.5699999999999998E-3</v>
      </c>
      <c r="H10" s="33">
        <v>0</v>
      </c>
      <c r="I10" s="33">
        <v>0</v>
      </c>
      <c r="J10" s="33">
        <v>0</v>
      </c>
    </row>
    <row r="11" spans="1:10" ht="14.4" customHeight="1">
      <c r="A11" s="49" t="s">
        <v>480</v>
      </c>
      <c r="B11" s="49" t="s">
        <v>93</v>
      </c>
      <c r="C11" s="49">
        <v>1.9300000000000001E-3</v>
      </c>
      <c r="D11" s="49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</row>
    <row r="12" spans="1:10" ht="14.4" customHeight="1">
      <c r="A12" s="49" t="s">
        <v>480</v>
      </c>
      <c r="B12" s="49" t="s">
        <v>90</v>
      </c>
      <c r="C12" s="49">
        <v>0</v>
      </c>
      <c r="D12" s="49">
        <v>2.8600000000000001E-3</v>
      </c>
      <c r="E12" s="33">
        <v>2.8600000000000001E-3</v>
      </c>
      <c r="F12" s="33">
        <v>2.8600000000000001E-3</v>
      </c>
      <c r="G12" s="33">
        <v>2.8600000000000001E-3</v>
      </c>
      <c r="H12" s="33">
        <v>0</v>
      </c>
      <c r="I12" s="33">
        <v>0</v>
      </c>
      <c r="J12" s="33">
        <v>0</v>
      </c>
    </row>
    <row r="13" spans="1:10" ht="14.4" customHeight="1">
      <c r="A13" s="49" t="s">
        <v>480</v>
      </c>
      <c r="B13" s="49" t="s">
        <v>56</v>
      </c>
      <c r="C13" s="49">
        <v>1.5E-3</v>
      </c>
      <c r="D13" s="49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</row>
    <row r="14" spans="1:10" ht="14.4" customHeight="1">
      <c r="A14" s="49" t="s">
        <v>486</v>
      </c>
      <c r="B14" s="49" t="s">
        <v>93</v>
      </c>
      <c r="C14" s="49">
        <v>0</v>
      </c>
      <c r="D14" s="49">
        <v>1.6E-2</v>
      </c>
      <c r="E14" s="33">
        <v>1.6E-2</v>
      </c>
      <c r="F14" s="33">
        <v>1.6E-2</v>
      </c>
      <c r="G14" s="33">
        <v>1.6E-2</v>
      </c>
      <c r="H14" s="33">
        <v>0</v>
      </c>
      <c r="I14" s="33">
        <v>0</v>
      </c>
      <c r="J14" s="33">
        <v>0</v>
      </c>
    </row>
    <row r="15" spans="1:10" ht="14.4" customHeight="1">
      <c r="A15" s="49" t="s">
        <v>486</v>
      </c>
      <c r="B15" s="49" t="s">
        <v>90</v>
      </c>
      <c r="C15" s="53">
        <v>6.0099999999999997E-3</v>
      </c>
      <c r="D15" s="49">
        <v>7.8399999999999997E-3</v>
      </c>
      <c r="E15" s="33">
        <v>7.8399999999999997E-3</v>
      </c>
      <c r="F15" s="33">
        <v>7.8399999999999997E-3</v>
      </c>
      <c r="G15" s="33">
        <v>7.8399999999999997E-3</v>
      </c>
      <c r="H15" s="33">
        <v>0</v>
      </c>
      <c r="I15" s="33">
        <v>0</v>
      </c>
      <c r="J15" s="33">
        <v>0</v>
      </c>
    </row>
    <row r="16" spans="1:10" ht="14.4" customHeight="1">
      <c r="A16" s="49" t="s">
        <v>486</v>
      </c>
      <c r="B16" s="49" t="s">
        <v>99</v>
      </c>
      <c r="C16" s="49">
        <v>2.3999999999999998E-3</v>
      </c>
      <c r="D16" s="49">
        <v>2.3999999999999998E-3</v>
      </c>
      <c r="E16" s="33">
        <v>2.3999999999999998E-3</v>
      </c>
      <c r="F16" s="33">
        <v>2.3999999999999998E-3</v>
      </c>
      <c r="G16" s="33">
        <v>2.3999999999999998E-3</v>
      </c>
      <c r="H16" s="33">
        <v>2.3999999999999998E-3</v>
      </c>
      <c r="I16" s="33">
        <v>2.3999999999999998E-3</v>
      </c>
      <c r="J16" s="33">
        <v>2.3999999999999998E-3</v>
      </c>
    </row>
    <row r="17" spans="1:10" ht="14.4" customHeight="1">
      <c r="A17" s="49" t="s">
        <v>486</v>
      </c>
      <c r="B17" s="49" t="s">
        <v>158</v>
      </c>
      <c r="C17" s="49">
        <v>2.1199999999999999E-3</v>
      </c>
      <c r="D17" s="49">
        <v>1.4E-3</v>
      </c>
      <c r="E17" s="33">
        <v>1.4E-3</v>
      </c>
      <c r="F17" s="33">
        <v>1.4E-3</v>
      </c>
      <c r="G17" s="33">
        <v>1.4E-3</v>
      </c>
      <c r="H17" s="33">
        <v>1.4E-3</v>
      </c>
      <c r="I17" s="33">
        <v>1.4E-3</v>
      </c>
      <c r="J17" s="33">
        <v>0</v>
      </c>
    </row>
    <row r="18" spans="1:10" ht="14.4" customHeight="1">
      <c r="A18" s="49" t="s">
        <v>485</v>
      </c>
      <c r="B18" s="49" t="s">
        <v>93</v>
      </c>
      <c r="C18" s="49">
        <v>5.7800000000000004E-3</v>
      </c>
      <c r="D18" s="49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</row>
    <row r="19" spans="1:10" ht="14.4" customHeight="1">
      <c r="A19" s="49" t="s">
        <v>485</v>
      </c>
      <c r="B19" s="49" t="s">
        <v>90</v>
      </c>
      <c r="C19" s="49">
        <v>6.4000000000000003E-3</v>
      </c>
      <c r="D19" s="49">
        <v>6.3699999999999998E-3</v>
      </c>
      <c r="E19" s="33">
        <v>6.3699999999999998E-3</v>
      </c>
      <c r="F19" s="33">
        <v>6.3699999999999998E-3</v>
      </c>
      <c r="G19" s="33">
        <v>6.3699999999999998E-3</v>
      </c>
      <c r="H19" s="33">
        <v>0</v>
      </c>
      <c r="I19" s="33">
        <v>0</v>
      </c>
      <c r="J19" s="33">
        <v>0</v>
      </c>
    </row>
    <row r="20" spans="1:10" ht="14.4" customHeight="1">
      <c r="A20" s="49" t="s">
        <v>485</v>
      </c>
      <c r="B20" s="49" t="s">
        <v>99</v>
      </c>
      <c r="C20" s="49">
        <v>7.9699999999999997E-3</v>
      </c>
      <c r="D20" s="49">
        <v>7.9699999999999997E-3</v>
      </c>
      <c r="E20" s="33">
        <v>7.9699999999999997E-3</v>
      </c>
      <c r="F20" s="33">
        <v>7.9699999999999997E-3</v>
      </c>
      <c r="G20" s="33">
        <v>7.9699999999999997E-3</v>
      </c>
      <c r="H20" s="33">
        <v>7.9699999999999997E-3</v>
      </c>
      <c r="I20" s="33">
        <v>7.9699999999999997E-3</v>
      </c>
      <c r="J20" s="33">
        <v>0</v>
      </c>
    </row>
    <row r="21" spans="1:10" ht="14.4" customHeight="1">
      <c r="A21" s="49" t="s">
        <v>485</v>
      </c>
      <c r="B21" s="49" t="s">
        <v>101</v>
      </c>
      <c r="C21" s="49">
        <v>1.4500000000000001E-2</v>
      </c>
      <c r="D21" s="49">
        <v>1.4500000000000001E-2</v>
      </c>
      <c r="E21" s="33">
        <v>1.4500000000000001E-2</v>
      </c>
      <c r="F21" s="33">
        <v>1.4500000000000001E-2</v>
      </c>
      <c r="G21" s="33">
        <v>1.4500000000000001E-2</v>
      </c>
      <c r="H21" s="33">
        <v>1.4500000000000001E-2</v>
      </c>
      <c r="I21" s="33">
        <v>0</v>
      </c>
      <c r="J21" s="33">
        <v>0</v>
      </c>
    </row>
    <row r="22" spans="1:10" ht="14.4" customHeight="1">
      <c r="A22" s="49" t="s">
        <v>485</v>
      </c>
      <c r="B22" s="49" t="s">
        <v>158</v>
      </c>
      <c r="C22" s="49">
        <v>7.7999999999999999E-4</v>
      </c>
      <c r="D22" s="49">
        <v>7.7999999999999999E-4</v>
      </c>
      <c r="E22" s="33">
        <v>7.7999999999999999E-4</v>
      </c>
      <c r="F22" s="33">
        <v>7.7999999999999999E-4</v>
      </c>
      <c r="G22" s="33">
        <v>7.7999999999999999E-4</v>
      </c>
      <c r="H22" s="33">
        <v>7.7999999999999999E-4</v>
      </c>
      <c r="I22" s="33">
        <v>0</v>
      </c>
      <c r="J22" s="33">
        <v>0</v>
      </c>
    </row>
    <row r="23" spans="1:10" ht="14.4" customHeight="1">
      <c r="A23" s="49" t="s">
        <v>482</v>
      </c>
      <c r="B23" s="49" t="s">
        <v>93</v>
      </c>
      <c r="C23" s="49">
        <v>0</v>
      </c>
      <c r="D23" s="49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</row>
    <row r="24" spans="1:10" ht="14.4" customHeight="1">
      <c r="A24" s="49" t="s">
        <v>482</v>
      </c>
      <c r="B24" s="49" t="s">
        <v>90</v>
      </c>
      <c r="C24" s="49">
        <v>2.1940000000000001E-2</v>
      </c>
      <c r="D24" s="49">
        <v>2.5649999999999999E-2</v>
      </c>
      <c r="E24" s="33">
        <v>2.5649999999999999E-2</v>
      </c>
      <c r="F24" s="33">
        <v>2.5649999999999999E-2</v>
      </c>
      <c r="G24" s="33">
        <v>2.5649999999999999E-2</v>
      </c>
      <c r="H24" s="33">
        <v>0</v>
      </c>
      <c r="I24" s="33">
        <v>0</v>
      </c>
      <c r="J24" s="33"/>
    </row>
    <row r="25" spans="1:10" ht="14.4" customHeight="1">
      <c r="A25" s="49" t="s">
        <v>482</v>
      </c>
      <c r="B25" s="49" t="s">
        <v>56</v>
      </c>
      <c r="C25" s="49">
        <v>0.3276</v>
      </c>
      <c r="D25" s="49">
        <v>0.30120000000000002</v>
      </c>
      <c r="E25" s="33">
        <v>0.251</v>
      </c>
      <c r="F25" s="33">
        <v>0.251</v>
      </c>
      <c r="G25" s="33">
        <v>0.21099999999999999</v>
      </c>
      <c r="H25" s="33">
        <v>0.21099999999999999</v>
      </c>
      <c r="I25" s="33">
        <v>0</v>
      </c>
      <c r="J25" s="33">
        <v>0</v>
      </c>
    </row>
    <row r="26" spans="1:10" ht="14.4" customHeight="1">
      <c r="A26" s="49" t="s">
        <v>482</v>
      </c>
      <c r="B26" s="49" t="s">
        <v>158</v>
      </c>
      <c r="C26" s="49">
        <v>2.2599999999999999E-3</v>
      </c>
      <c r="D26" s="53">
        <v>2.3E-3</v>
      </c>
      <c r="E26" s="61">
        <v>2.3E-3</v>
      </c>
      <c r="F26" s="61">
        <v>2.3E-3</v>
      </c>
      <c r="G26" s="61">
        <v>2.3E-3</v>
      </c>
      <c r="H26" s="33">
        <v>0</v>
      </c>
      <c r="I26" s="33">
        <v>0</v>
      </c>
      <c r="J26" s="33">
        <v>0</v>
      </c>
    </row>
    <row r="27" spans="1:10" ht="14.4" customHeight="1">
      <c r="A27" s="49" t="s">
        <v>483</v>
      </c>
      <c r="B27" s="49" t="s">
        <v>99</v>
      </c>
      <c r="C27" s="49">
        <v>2.0000000000000001E-4</v>
      </c>
      <c r="D27" s="49">
        <v>2.0000000000000001E-4</v>
      </c>
      <c r="E27" s="33">
        <v>2.0000000000000001E-4</v>
      </c>
      <c r="F27" s="33">
        <v>2.0000000000000001E-4</v>
      </c>
      <c r="G27" s="33">
        <v>2.0000000000000001E-4</v>
      </c>
      <c r="H27" s="33">
        <v>2.0000000000000001E-4</v>
      </c>
      <c r="I27" s="33">
        <v>2.0000000000000001E-4</v>
      </c>
      <c r="J27" s="33">
        <v>2.0000000000000001E-4</v>
      </c>
    </row>
    <row r="28" spans="1:10" ht="14.4" customHeight="1">
      <c r="A28" s="49" t="s">
        <v>483</v>
      </c>
      <c r="B28" s="49" t="s">
        <v>93</v>
      </c>
      <c r="C28" s="49">
        <v>6.77E-3</v>
      </c>
      <c r="D28" s="49">
        <v>1.34E-2</v>
      </c>
      <c r="E28" s="33">
        <v>1.34E-2</v>
      </c>
      <c r="F28" s="33">
        <v>1.34E-2</v>
      </c>
      <c r="G28" s="33">
        <v>0</v>
      </c>
      <c r="H28" s="33">
        <v>0</v>
      </c>
      <c r="I28" s="33">
        <v>0</v>
      </c>
      <c r="J28" s="33">
        <v>0</v>
      </c>
    </row>
    <row r="29" spans="1:10" ht="14.4" customHeight="1">
      <c r="A29" s="49" t="s">
        <v>483</v>
      </c>
      <c r="B29" s="49" t="s">
        <v>90</v>
      </c>
      <c r="C29" s="49">
        <v>2.445E-2</v>
      </c>
      <c r="D29" s="49">
        <v>2.4639999999999999E-2</v>
      </c>
      <c r="E29" s="33">
        <v>2.4639999999999999E-2</v>
      </c>
      <c r="F29" s="33">
        <v>2.4639999999999999E-2</v>
      </c>
      <c r="G29" s="33">
        <v>0</v>
      </c>
      <c r="H29" s="33">
        <v>0</v>
      </c>
      <c r="I29" s="33">
        <v>0</v>
      </c>
      <c r="J29" s="33">
        <v>0</v>
      </c>
    </row>
    <row r="30" spans="1:10" ht="14.4" customHeight="1">
      <c r="A30" s="49" t="s">
        <v>483</v>
      </c>
      <c r="B30" s="49" t="s">
        <v>103</v>
      </c>
      <c r="C30" s="42">
        <v>5.1700000000000003E-2</v>
      </c>
      <c r="D30" s="42">
        <v>5.1700000000000003E-2</v>
      </c>
      <c r="E30" s="33">
        <v>5.1700000000000003E-2</v>
      </c>
      <c r="F30" s="33">
        <v>5.1700000000000003E-2</v>
      </c>
      <c r="G30" s="33">
        <v>5.1700000000000003E-2</v>
      </c>
      <c r="H30" s="33">
        <v>0</v>
      </c>
      <c r="I30" s="33">
        <v>0</v>
      </c>
      <c r="J30" s="33">
        <v>0</v>
      </c>
    </row>
    <row r="31" spans="1:10" ht="14.4" customHeight="1">
      <c r="A31" s="49" t="s">
        <v>483</v>
      </c>
      <c r="B31" s="49" t="s">
        <v>158</v>
      </c>
      <c r="C31" s="42">
        <v>4.1300000000000003E-2</v>
      </c>
      <c r="D31" s="42">
        <v>4.1300000000000003E-2</v>
      </c>
      <c r="E31" s="33">
        <v>4.1300000000000003E-2</v>
      </c>
      <c r="F31" s="33">
        <v>4.1300000000000003E-2</v>
      </c>
      <c r="G31" s="33">
        <v>4.1300000000000003E-2</v>
      </c>
      <c r="H31" s="33">
        <v>0</v>
      </c>
      <c r="I31" s="33">
        <v>0</v>
      </c>
      <c r="J31" s="33">
        <v>0</v>
      </c>
    </row>
    <row r="32" spans="1:10" ht="14.4" customHeight="1">
      <c r="A32" s="49" t="s">
        <v>484</v>
      </c>
      <c r="B32" s="49" t="s">
        <v>93</v>
      </c>
      <c r="C32" s="49">
        <v>4.3400000000000001E-3</v>
      </c>
      <c r="D32" s="49">
        <v>9.9000000000000008E-3</v>
      </c>
      <c r="E32" s="33">
        <v>9.9000000000000008E-3</v>
      </c>
      <c r="F32" s="33">
        <v>9.9000000000000008E-3</v>
      </c>
      <c r="G32" s="33">
        <v>0</v>
      </c>
      <c r="H32" s="33">
        <v>0</v>
      </c>
      <c r="I32" s="33">
        <v>0</v>
      </c>
      <c r="J32" s="33">
        <v>0</v>
      </c>
    </row>
    <row r="33" spans="1:10" ht="14.4" customHeight="1">
      <c r="A33" s="49" t="s">
        <v>484</v>
      </c>
      <c r="B33" s="49" t="s">
        <v>90</v>
      </c>
      <c r="C33" s="49">
        <v>9.3900000000000008E-3</v>
      </c>
      <c r="D33" s="49">
        <v>1.511E-2</v>
      </c>
      <c r="E33" s="33">
        <v>1.511E-2</v>
      </c>
      <c r="F33" s="33">
        <v>1.511E-2</v>
      </c>
      <c r="G33" s="33">
        <v>1.511E-2</v>
      </c>
      <c r="H33" s="33">
        <f>0.01</f>
        <v>0.01</v>
      </c>
      <c r="I33" s="33">
        <v>0</v>
      </c>
      <c r="J33" s="33">
        <v>0</v>
      </c>
    </row>
    <row r="34" spans="1:10" ht="14.4" customHeight="1">
      <c r="A34" s="49" t="s">
        <v>478</v>
      </c>
      <c r="B34" s="49" t="s">
        <v>229</v>
      </c>
      <c r="C34" s="49">
        <v>1.6492574085014285E-3</v>
      </c>
      <c r="D34" s="49">
        <v>1.6492574085014285E-3</v>
      </c>
      <c r="E34" s="33">
        <f>D34*0.8</f>
        <v>1.3194059268011428E-3</v>
      </c>
      <c r="F34" s="33">
        <f>D34*0.4</f>
        <v>6.5970296340057142E-4</v>
      </c>
      <c r="G34" s="33">
        <f>D34*0.1</f>
        <v>1.6492574085014285E-4</v>
      </c>
      <c r="H34" s="33">
        <v>0</v>
      </c>
      <c r="I34" s="33">
        <v>0</v>
      </c>
      <c r="J34" s="33">
        <v>0</v>
      </c>
    </row>
    <row r="35" spans="1:10" ht="14.4" customHeight="1">
      <c r="A35" s="49" t="s">
        <v>479</v>
      </c>
      <c r="B35" s="49" t="s">
        <v>229</v>
      </c>
      <c r="C35" s="49">
        <v>2.2165524251281505E-4</v>
      </c>
      <c r="D35" s="49">
        <v>2.2165524251281505E-4</v>
      </c>
      <c r="E35" s="33">
        <f>D35*0.8</f>
        <v>1.7732419401025206E-4</v>
      </c>
      <c r="F35" s="33">
        <f>D35*0.4</f>
        <v>8.8662097005126031E-5</v>
      </c>
      <c r="G35" s="33">
        <f>D35*0.1</f>
        <v>2.2165524251281508E-5</v>
      </c>
      <c r="H35" s="33">
        <v>0</v>
      </c>
      <c r="I35" s="33">
        <v>0</v>
      </c>
      <c r="J35" s="33">
        <v>0</v>
      </c>
    </row>
    <row r="36" spans="1:10" ht="14.4" customHeight="1">
      <c r="A36" s="49" t="s">
        <v>480</v>
      </c>
      <c r="B36" s="49" t="s">
        <v>229</v>
      </c>
      <c r="C36" s="49">
        <v>3.9269507699372333E-4</v>
      </c>
      <c r="D36" s="49">
        <v>3.9269507699372333E-4</v>
      </c>
      <c r="E36" s="33">
        <f t="shared" ref="E36:E41" si="0">D36*0.8</f>
        <v>3.1415606159497869E-4</v>
      </c>
      <c r="F36" s="33">
        <f t="shared" ref="F36:F38" si="1">D36*0.4</f>
        <v>1.5707803079748934E-4</v>
      </c>
      <c r="G36" s="33">
        <f t="shared" ref="G36:G38" si="2">D36*0.1</f>
        <v>3.9269507699372336E-5</v>
      </c>
      <c r="H36" s="33">
        <v>0</v>
      </c>
      <c r="I36" s="33">
        <v>0</v>
      </c>
      <c r="J36" s="33">
        <v>0</v>
      </c>
    </row>
    <row r="37" spans="1:10" ht="14.4" customHeight="1">
      <c r="A37" s="49" t="s">
        <v>485</v>
      </c>
      <c r="B37" s="49" t="s">
        <v>229</v>
      </c>
      <c r="C37" s="49">
        <v>1.1980218198328814E-2</v>
      </c>
      <c r="D37" s="49">
        <v>1.1980218198328814E-2</v>
      </c>
      <c r="E37" s="33">
        <f t="shared" si="0"/>
        <v>9.5841745586630524E-3</v>
      </c>
      <c r="F37" s="33">
        <f t="shared" ref="F37" si="3">D37*0.4</f>
        <v>4.7920872793315262E-3</v>
      </c>
      <c r="G37" s="33">
        <f t="shared" ref="G37" si="4">D37*0.1</f>
        <v>1.1980218198328816E-3</v>
      </c>
      <c r="H37" s="33">
        <v>0</v>
      </c>
      <c r="I37" s="33">
        <v>0</v>
      </c>
      <c r="J37" s="33">
        <v>0</v>
      </c>
    </row>
    <row r="38" spans="1:10" ht="14.4" customHeight="1">
      <c r="A38" s="49" t="s">
        <v>486</v>
      </c>
      <c r="B38" s="49" t="s">
        <v>229</v>
      </c>
      <c r="C38" s="49">
        <v>1.1754848063483384E-2</v>
      </c>
      <c r="D38" s="49">
        <v>1.1754848063483384E-2</v>
      </c>
      <c r="E38" s="33">
        <f t="shared" si="0"/>
        <v>9.4038784507867075E-3</v>
      </c>
      <c r="F38" s="33">
        <f t="shared" si="1"/>
        <v>4.7019392253933538E-3</v>
      </c>
      <c r="G38" s="33">
        <f t="shared" si="2"/>
        <v>1.1754848063483384E-3</v>
      </c>
      <c r="H38" s="33">
        <v>0</v>
      </c>
      <c r="I38" s="33">
        <v>0</v>
      </c>
      <c r="J38" s="33">
        <v>0</v>
      </c>
    </row>
    <row r="39" spans="1:10" ht="14.4" customHeight="1">
      <c r="A39" s="49" t="s">
        <v>482</v>
      </c>
      <c r="B39" s="49" t="s">
        <v>229</v>
      </c>
      <c r="C39" s="49">
        <v>1.5429960090705287E-2</v>
      </c>
      <c r="D39" s="49">
        <v>1.5429960090705287E-2</v>
      </c>
      <c r="E39" s="33">
        <f t="shared" si="0"/>
        <v>1.2343968072564229E-2</v>
      </c>
      <c r="F39" s="33">
        <f t="shared" ref="F39:F41" si="5">D39*0.4</f>
        <v>6.1719840362821146E-3</v>
      </c>
      <c r="G39" s="33">
        <f t="shared" ref="G39:G41" si="6">D39*0.1</f>
        <v>1.5429960090705287E-3</v>
      </c>
      <c r="H39" s="33">
        <v>0</v>
      </c>
      <c r="I39" s="33">
        <v>0</v>
      </c>
      <c r="J39" s="33">
        <v>0</v>
      </c>
    </row>
    <row r="40" spans="1:10" ht="14.4" customHeight="1">
      <c r="A40" s="49" t="s">
        <v>483</v>
      </c>
      <c r="B40" s="49" t="s">
        <v>229</v>
      </c>
      <c r="C40" s="49">
        <v>8.8496474721963536E-3</v>
      </c>
      <c r="D40" s="49">
        <v>8.8496474721963536E-3</v>
      </c>
      <c r="E40" s="33">
        <f t="shared" si="0"/>
        <v>7.0797179777570829E-3</v>
      </c>
      <c r="F40" s="33">
        <f t="shared" si="5"/>
        <v>3.5398589888785414E-3</v>
      </c>
      <c r="G40" s="33">
        <f t="shared" si="6"/>
        <v>8.8496474721963536E-4</v>
      </c>
      <c r="H40" s="33">
        <v>0</v>
      </c>
      <c r="I40" s="33">
        <v>0</v>
      </c>
      <c r="J40" s="33">
        <v>0</v>
      </c>
    </row>
    <row r="41" spans="1:10" ht="14.4" customHeight="1">
      <c r="A41" s="49" t="s">
        <v>484</v>
      </c>
      <c r="B41" s="49" t="s">
        <v>229</v>
      </c>
      <c r="C41" s="49">
        <v>9.7217184472781961E-3</v>
      </c>
      <c r="D41" s="49">
        <v>9.7217184472781961E-3</v>
      </c>
      <c r="E41" s="33">
        <f t="shared" si="0"/>
        <v>7.7773747578225574E-3</v>
      </c>
      <c r="F41" s="33">
        <f t="shared" si="5"/>
        <v>3.8886873789112787E-3</v>
      </c>
      <c r="G41" s="33">
        <f t="shared" si="6"/>
        <v>9.7217184472781968E-4</v>
      </c>
      <c r="H41" s="33">
        <v>0</v>
      </c>
      <c r="I41" s="33">
        <v>0</v>
      </c>
      <c r="J41" s="33">
        <v>0</v>
      </c>
    </row>
    <row r="42" spans="1:10" ht="14.4" customHeight="1">
      <c r="A42" s="49" t="s">
        <v>478</v>
      </c>
      <c r="B42" s="49" t="s">
        <v>232</v>
      </c>
      <c r="C42" s="49">
        <v>1.3982631930527723E-2</v>
      </c>
      <c r="D42" s="49">
        <v>1.3982631930527723E-2</v>
      </c>
      <c r="E42" s="33">
        <f>D42*0.8</f>
        <v>1.1186105544422179E-2</v>
      </c>
      <c r="F42" s="33">
        <f>D42*0.4</f>
        <v>5.5930527722110896E-3</v>
      </c>
      <c r="G42" s="33">
        <f>D42*0.1</f>
        <v>1.3982631930527724E-3</v>
      </c>
      <c r="H42" s="33">
        <v>0</v>
      </c>
      <c r="I42" s="33">
        <v>0</v>
      </c>
      <c r="J42" s="33">
        <v>0</v>
      </c>
    </row>
    <row r="43" spans="1:10" ht="14.4" customHeight="1">
      <c r="A43" s="49" t="s">
        <v>479</v>
      </c>
      <c r="B43" s="49" t="s">
        <v>232</v>
      </c>
      <c r="C43" s="49">
        <v>0</v>
      </c>
      <c r="D43" s="49">
        <v>0</v>
      </c>
      <c r="E43" s="33">
        <f>D43*0.8</f>
        <v>0</v>
      </c>
      <c r="F43" s="33">
        <f>D43*0.4</f>
        <v>0</v>
      </c>
      <c r="G43" s="33">
        <f>D43*0.1</f>
        <v>0</v>
      </c>
      <c r="H43" s="33">
        <v>0</v>
      </c>
      <c r="I43" s="33">
        <v>0</v>
      </c>
      <c r="J43" s="33">
        <v>0</v>
      </c>
    </row>
    <row r="44" spans="1:10" ht="14.4" customHeight="1">
      <c r="A44" s="49" t="s">
        <v>480</v>
      </c>
      <c r="B44" s="49" t="s">
        <v>232</v>
      </c>
      <c r="C44" s="49">
        <v>0</v>
      </c>
      <c r="D44" s="49">
        <v>0</v>
      </c>
      <c r="E44" s="33">
        <f t="shared" ref="E44:E49" si="7">D44*0.8</f>
        <v>0</v>
      </c>
      <c r="F44" s="33">
        <f t="shared" ref="F44:F49" si="8">D44*0.4</f>
        <v>0</v>
      </c>
      <c r="G44" s="33">
        <f t="shared" ref="G44:G49" si="9">D44*0.1</f>
        <v>0</v>
      </c>
      <c r="H44" s="33">
        <v>0</v>
      </c>
      <c r="I44" s="33">
        <v>0</v>
      </c>
      <c r="J44" s="33">
        <v>0</v>
      </c>
    </row>
    <row r="45" spans="1:10" ht="14.4" customHeight="1">
      <c r="A45" s="49" t="s">
        <v>485</v>
      </c>
      <c r="B45" s="49" t="s">
        <v>232</v>
      </c>
      <c r="C45" s="49">
        <v>3.2598530394121577E-4</v>
      </c>
      <c r="D45" s="49">
        <v>3.2598530394121577E-4</v>
      </c>
      <c r="E45" s="33">
        <f t="shared" si="7"/>
        <v>2.6078824315297261E-4</v>
      </c>
      <c r="F45" s="33">
        <f t="shared" si="8"/>
        <v>1.303941215764863E-4</v>
      </c>
      <c r="G45" s="33">
        <f t="shared" si="9"/>
        <v>3.2598530394121576E-5</v>
      </c>
      <c r="H45" s="33">
        <v>0</v>
      </c>
      <c r="I45" s="33">
        <v>0</v>
      </c>
      <c r="J45" s="33">
        <v>0</v>
      </c>
    </row>
    <row r="46" spans="1:10" ht="14.4" customHeight="1">
      <c r="A46" s="49" t="s">
        <v>486</v>
      </c>
      <c r="B46" s="49" t="s">
        <v>232</v>
      </c>
      <c r="C46" s="49">
        <v>1.5283901135604541E-3</v>
      </c>
      <c r="D46" s="49">
        <v>1.5283901135604541E-3</v>
      </c>
      <c r="E46" s="33">
        <f t="shared" si="7"/>
        <v>1.2227120908483635E-3</v>
      </c>
      <c r="F46" s="33">
        <f t="shared" si="8"/>
        <v>6.1135604542418174E-4</v>
      </c>
      <c r="G46" s="33">
        <f t="shared" si="9"/>
        <v>1.5283901135604544E-4</v>
      </c>
      <c r="H46" s="33">
        <v>0</v>
      </c>
      <c r="I46" s="33">
        <v>0</v>
      </c>
      <c r="J46" s="33">
        <v>0</v>
      </c>
    </row>
    <row r="47" spans="1:10" ht="14.4" customHeight="1">
      <c r="A47" s="49" t="s">
        <v>482</v>
      </c>
      <c r="B47" s="49" t="s">
        <v>232</v>
      </c>
      <c r="C47" s="49">
        <v>0</v>
      </c>
      <c r="D47" s="49">
        <v>0</v>
      </c>
      <c r="E47" s="33">
        <f t="shared" si="7"/>
        <v>0</v>
      </c>
      <c r="F47" s="33">
        <f t="shared" si="8"/>
        <v>0</v>
      </c>
      <c r="G47" s="33">
        <f t="shared" si="9"/>
        <v>0</v>
      </c>
      <c r="H47" s="33">
        <v>0</v>
      </c>
      <c r="I47" s="33">
        <v>0</v>
      </c>
      <c r="J47" s="33">
        <v>0</v>
      </c>
    </row>
    <row r="48" spans="1:10" ht="14.4" customHeight="1">
      <c r="A48" s="49" t="s">
        <v>483</v>
      </c>
      <c r="B48" s="49" t="s">
        <v>232</v>
      </c>
      <c r="C48" s="49">
        <v>1.6299265197060789E-4</v>
      </c>
      <c r="D48" s="49">
        <v>1.6299265197060789E-4</v>
      </c>
      <c r="E48" s="33">
        <f t="shared" si="7"/>
        <v>1.303941215764863E-4</v>
      </c>
      <c r="F48" s="33">
        <f t="shared" si="8"/>
        <v>6.5197060788243152E-5</v>
      </c>
      <c r="G48" s="33">
        <f t="shared" si="9"/>
        <v>1.6299265197060788E-5</v>
      </c>
      <c r="H48" s="33">
        <v>0</v>
      </c>
      <c r="I48" s="33">
        <v>0</v>
      </c>
      <c r="J48" s="33">
        <v>0</v>
      </c>
    </row>
    <row r="49" spans="1:12" ht="14.4" customHeight="1">
      <c r="A49" s="49" t="s">
        <v>484</v>
      </c>
      <c r="B49" s="49" t="s">
        <v>232</v>
      </c>
      <c r="C49" s="49">
        <v>0</v>
      </c>
      <c r="D49" s="49">
        <v>0</v>
      </c>
      <c r="E49" s="33">
        <f t="shared" si="7"/>
        <v>0</v>
      </c>
      <c r="F49" s="33">
        <f t="shared" si="8"/>
        <v>0</v>
      </c>
      <c r="G49" s="33">
        <f t="shared" si="9"/>
        <v>0</v>
      </c>
      <c r="H49" s="33">
        <v>0</v>
      </c>
      <c r="I49" s="33">
        <v>0</v>
      </c>
      <c r="J49" s="33">
        <v>0</v>
      </c>
    </row>
    <row r="50" spans="1:12" ht="14.4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2" ht="14.4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L52" s="16"/>
    </row>
    <row r="53" spans="1:12" ht="14.4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2" ht="14.4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2" ht="14.4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" customHeight="1">
      <c r="A57" s="38"/>
      <c r="B57" s="5"/>
      <c r="C57" s="5"/>
      <c r="D57" s="5"/>
      <c r="E57" s="5"/>
      <c r="F57" s="5"/>
      <c r="G57" s="5"/>
      <c r="H57" s="5"/>
      <c r="I57" s="5"/>
    </row>
    <row r="58" spans="1:12" ht="14.4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12" ht="14.4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12" ht="14.4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2" ht="14.4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2" ht="14.4" customHeight="1">
      <c r="A66" s="9"/>
    </row>
    <row r="67" spans="1:12" ht="14.4" customHeight="1">
      <c r="A67" s="9"/>
    </row>
    <row r="68" spans="1:12" ht="14.4" customHeight="1">
      <c r="A68" s="9"/>
    </row>
    <row r="69" spans="1:12" ht="14.4" customHeight="1">
      <c r="A69" s="29"/>
    </row>
    <row r="70" spans="1:12" ht="14.4" customHeight="1"/>
    <row r="71" spans="1:12" ht="14.4" customHeight="1"/>
    <row r="72" spans="1:12" ht="14.4" customHeight="1">
      <c r="A72" s="9"/>
    </row>
    <row r="73" spans="1:12" ht="14.4" customHeight="1">
      <c r="A73" s="9"/>
    </row>
    <row r="74" spans="1:12" ht="14.4" customHeight="1">
      <c r="A74" s="38"/>
      <c r="B74" s="5"/>
      <c r="C74" s="5"/>
      <c r="D74" s="5"/>
      <c r="E74" s="5"/>
      <c r="F74" s="5"/>
      <c r="G74" s="5"/>
      <c r="H74" s="5"/>
      <c r="I74" s="5"/>
      <c r="J74" s="5"/>
    </row>
    <row r="75" spans="1:12" ht="14.4" customHeight="1">
      <c r="A75" s="9"/>
    </row>
    <row r="76" spans="1:12" ht="14.4" customHeight="1">
      <c r="A76" s="9"/>
      <c r="L76" s="16"/>
    </row>
    <row r="77" spans="1:12" ht="14.4" customHeight="1">
      <c r="A77" s="9"/>
    </row>
    <row r="78" spans="1:12" ht="14.4" customHeight="1">
      <c r="A78" s="9"/>
    </row>
    <row r="79" spans="1:12" ht="14.4" customHeight="1">
      <c r="A79" s="17"/>
      <c r="B79" s="2"/>
    </row>
    <row r="80" spans="1:12" ht="14.4" customHeight="1"/>
    <row r="81" spans="1:10" ht="14.4" customHeight="1"/>
    <row r="82" spans="1:10" ht="14.4" customHeight="1"/>
    <row r="83" spans="1:10" ht="14.4" customHeight="1"/>
    <row r="84" spans="1:10" ht="14.4" customHeight="1">
      <c r="A84" s="9"/>
    </row>
    <row r="85" spans="1:10" ht="14.4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4.4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" customHeight="1">
      <c r="A92" s="38"/>
      <c r="B92" s="5"/>
      <c r="C92" s="5"/>
      <c r="D92" s="5"/>
      <c r="E92" s="5"/>
      <c r="F92" s="5"/>
      <c r="G92" s="5"/>
      <c r="H92" s="5"/>
      <c r="I92" s="5"/>
      <c r="J92" s="5"/>
    </row>
    <row r="93" spans="1:10" ht="14.4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4.4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12" ht="14.4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12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2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L101" s="16"/>
    </row>
    <row r="102" spans="1:12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2" ht="14.4" customHeight="1">
      <c r="A103" s="38"/>
      <c r="B103" s="5"/>
      <c r="C103" s="5"/>
      <c r="D103" s="5"/>
      <c r="E103" s="5"/>
      <c r="F103" s="5"/>
      <c r="G103" s="5"/>
      <c r="H103" s="5"/>
      <c r="I103" s="5"/>
      <c r="J103" s="5"/>
    </row>
    <row r="104" spans="1:12" ht="14.4" customHeight="1">
      <c r="A104" s="9"/>
    </row>
    <row r="105" spans="1:12" ht="14.4" customHeight="1">
      <c r="A105" s="9"/>
    </row>
    <row r="106" spans="1:12" ht="14.4" customHeight="1">
      <c r="A106" s="9"/>
    </row>
    <row r="107" spans="1:12" ht="14.4" customHeight="1">
      <c r="A107" s="9"/>
    </row>
    <row r="108" spans="1:12" ht="14.4" customHeight="1"/>
    <row r="109" spans="1:12" ht="14.4" customHeight="1"/>
    <row r="110" spans="1:12" ht="14.4" customHeight="1">
      <c r="A110" s="9"/>
    </row>
    <row r="111" spans="1:12" ht="14.4" customHeight="1">
      <c r="A111" s="9"/>
    </row>
    <row r="112" spans="1:12" ht="14.4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9"/>
    </row>
    <row r="116" spans="1:10" ht="14.4" customHeight="1">
      <c r="A116" s="9"/>
    </row>
    <row r="117" spans="1:10" ht="14.4" customHeight="1">
      <c r="A117" s="15"/>
      <c r="B117" s="15"/>
      <c r="C117" s="15"/>
    </row>
    <row r="118" spans="1:10" ht="14.4" customHeight="1">
      <c r="A118" s="9"/>
    </row>
    <row r="119" spans="1:10" ht="14.4" customHeight="1">
      <c r="A119" s="38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4.4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4.4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10" ht="14.4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10" ht="14.4" customHeight="1">
      <c r="A130" s="38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9"/>
    </row>
    <row r="136" spans="1:10" ht="14.4" customHeight="1">
      <c r="A136" s="9"/>
    </row>
    <row r="137" spans="1:10" ht="14.4" customHeight="1">
      <c r="A137" s="9"/>
    </row>
    <row r="138" spans="1:10" ht="14.4" customHeight="1">
      <c r="A138" s="9"/>
    </row>
    <row r="139" spans="1:10" ht="14.4" customHeight="1">
      <c r="A139" s="32"/>
    </row>
    <row r="140" spans="1:10" ht="14.4" customHeight="1">
      <c r="A140" s="9"/>
    </row>
    <row r="141" spans="1:10" ht="14.4" customHeight="1">
      <c r="A141" s="9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4.4" customHeight="1">
      <c r="A143" s="9"/>
    </row>
    <row r="144" spans="1:10" ht="14.4" customHeight="1">
      <c r="A144" s="9"/>
    </row>
    <row r="145" spans="1:10" ht="14.4" customHeight="1">
      <c r="A145" s="9"/>
    </row>
    <row r="146" spans="1:10" ht="14.4" customHeight="1">
      <c r="A146" s="9"/>
    </row>
    <row r="147" spans="1:10" ht="14.4" customHeight="1">
      <c r="A147" s="9"/>
    </row>
    <row r="148" spans="1:10" ht="14.4" customHeight="1"/>
    <row r="149" spans="1:10" ht="14.4" customHeight="1"/>
    <row r="150" spans="1:10" ht="14.4" customHeight="1"/>
    <row r="151" spans="1:10" ht="14.4" customHeight="1">
      <c r="A151" s="32"/>
    </row>
    <row r="152" spans="1:10" ht="14.4" customHeight="1"/>
    <row r="153" spans="1:10" ht="14.4" customHeight="1">
      <c r="A153" s="9"/>
    </row>
    <row r="154" spans="1:10" ht="14.4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" customHeight="1">
      <c r="A158" s="38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4.4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4.4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10" ht="14.4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10" ht="14.4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" customHeight="1">
      <c r="A169" s="38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9"/>
    </row>
    <row r="174" spans="1:10" ht="14.4" customHeight="1">
      <c r="A174" s="9"/>
    </row>
    <row r="175" spans="1:10" ht="14.4" customHeight="1">
      <c r="A175" s="9"/>
    </row>
    <row r="176" spans="1:10" ht="14.4" customHeight="1">
      <c r="A176" s="9"/>
    </row>
    <row r="177" spans="1:10" ht="14.4" customHeight="1"/>
    <row r="178" spans="1:10" ht="14.4" customHeight="1"/>
    <row r="179" spans="1:10" ht="14.4" customHeight="1"/>
    <row r="180" spans="1:10" ht="14.4" customHeight="1"/>
    <row r="181" spans="1:10" ht="14.4" customHeight="1">
      <c r="A181" s="9"/>
    </row>
    <row r="182" spans="1:10" ht="14.4" customHeight="1">
      <c r="A182" s="9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4.4" customHeight="1">
      <c r="A184" s="29"/>
    </row>
    <row r="185" spans="1:10" ht="14.4" customHeight="1">
      <c r="A185" s="9"/>
    </row>
    <row r="186" spans="1:10" ht="14.4" customHeight="1">
      <c r="A186" s="9"/>
    </row>
    <row r="187" spans="1:10" ht="14.4" customHeight="1">
      <c r="A187" s="9"/>
    </row>
    <row r="188" spans="1:10" ht="14.4" customHeight="1"/>
    <row r="189" spans="1:10" ht="14.4" customHeight="1"/>
    <row r="190" spans="1:10" ht="14.4" customHeight="1"/>
    <row r="191" spans="1:10" ht="14.4" customHeight="1"/>
    <row r="192" spans="1:10" ht="14.4" customHeight="1"/>
    <row r="193" spans="1:10" ht="14.4" customHeight="1">
      <c r="A193" s="9"/>
    </row>
    <row r="194" spans="1:10" ht="14.4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4.4" customHeight="1">
      <c r="A202" s="38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4.4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10" ht="14.4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10" ht="14.4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38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9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9"/>
    </row>
    <row r="217" spans="1:10" ht="14.4" customHeight="1">
      <c r="A217" s="9"/>
    </row>
    <row r="218" spans="1:10" ht="14.4" customHeight="1">
      <c r="A218" s="9"/>
    </row>
    <row r="219" spans="1:10" ht="14.4" customHeight="1"/>
    <row r="220" spans="1:10" ht="14.4" customHeight="1"/>
    <row r="221" spans="1:10" ht="14.4" customHeight="1"/>
    <row r="222" spans="1:10" ht="14.4" customHeight="1">
      <c r="A222" s="9"/>
    </row>
    <row r="223" spans="1:10" ht="14.4" customHeight="1">
      <c r="A223" s="29"/>
    </row>
    <row r="224" spans="1:10" ht="14.4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9"/>
    </row>
    <row r="226" spans="1:10" ht="14.4" customHeight="1">
      <c r="A226" s="9"/>
    </row>
    <row r="227" spans="1:10" ht="14.4" customHeight="1">
      <c r="A227" s="9"/>
    </row>
    <row r="228" spans="1:10" ht="14.4" customHeight="1">
      <c r="A228" s="9"/>
    </row>
    <row r="229" spans="1:10" ht="14.4" customHeight="1">
      <c r="A229" s="9"/>
    </row>
    <row r="230" spans="1:10" ht="14.4" customHeight="1">
      <c r="A230" s="39"/>
      <c r="B230" s="2"/>
    </row>
    <row r="231" spans="1:10" ht="14.4" customHeight="1"/>
    <row r="232" spans="1:10" ht="14.4" customHeight="1"/>
    <row r="233" spans="1:10" ht="14.4" customHeight="1"/>
    <row r="234" spans="1:10" ht="14.4" customHeight="1"/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38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4.4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4.4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10" ht="14.4" customHeight="1">
      <c r="A248" s="38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4.4" customHeight="1">
      <c r="A253" s="9"/>
    </row>
    <row r="254" spans="1:10" ht="14.4" customHeight="1">
      <c r="A254" s="9"/>
    </row>
    <row r="255" spans="1:10" ht="14.4" customHeight="1">
      <c r="A255" s="9"/>
    </row>
    <row r="256" spans="1:10" ht="14.4" customHeight="1">
      <c r="A256" s="9"/>
    </row>
    <row r="257" spans="1:10" ht="14.4" customHeight="1"/>
    <row r="258" spans="1:10" ht="14.4" customHeight="1">
      <c r="A258" s="29"/>
    </row>
    <row r="259" spans="1:10" ht="14.4" customHeight="1">
      <c r="A259" s="9"/>
    </row>
    <row r="260" spans="1:10" ht="14.4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>
      <c r="A264" s="9"/>
    </row>
    <row r="265" spans="1:10" ht="14.4" customHeight="1">
      <c r="A265" s="32"/>
    </row>
    <row r="266" spans="1:10" ht="14.4" customHeight="1"/>
    <row r="267" spans="1:10" ht="14.4" customHeight="1"/>
    <row r="268" spans="1:10" ht="14.4" customHeight="1"/>
    <row r="269" spans="1:10" ht="14.4" customHeight="1">
      <c r="A269" s="9"/>
    </row>
    <row r="270" spans="1:10" ht="14.4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" customHeight="1">
      <c r="A272" s="38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4.4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4.4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9"/>
    </row>
    <row r="285" spans="1:10" ht="14.4" customHeight="1">
      <c r="A285" s="9"/>
    </row>
    <row r="286" spans="1:10" ht="14.4" customHeight="1">
      <c r="A286" s="9"/>
    </row>
    <row r="287" spans="1:10" ht="14.4" customHeight="1">
      <c r="A287" s="9"/>
    </row>
    <row r="288" spans="1:10" ht="14.4" customHeight="1"/>
    <row r="289" spans="1:10" ht="14.4" customHeight="1"/>
    <row r="290" spans="1:10" ht="14.4" customHeight="1">
      <c r="A290" s="9"/>
    </row>
    <row r="291" spans="1:10" ht="14.4" customHeight="1">
      <c r="A291" s="9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9"/>
    </row>
    <row r="294" spans="1:10" ht="14.4" customHeight="1">
      <c r="A294" s="9"/>
    </row>
    <row r="295" spans="1:10" ht="14.4" customHeight="1">
      <c r="A295" s="9"/>
    </row>
    <row r="296" spans="1:10" ht="14.4" customHeight="1">
      <c r="A296" s="9"/>
    </row>
    <row r="297" spans="1:10" ht="14.4" customHeight="1">
      <c r="A297" s="17"/>
      <c r="B297" s="2"/>
    </row>
    <row r="298" spans="1:10" ht="14.4" customHeight="1"/>
    <row r="299" spans="1:10" ht="14.4" customHeight="1"/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4.4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4.4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10" ht="14.4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9"/>
    </row>
    <row r="321" spans="1:10" ht="14.4" customHeight="1">
      <c r="A321" s="9"/>
    </row>
    <row r="322" spans="1:10" ht="14.4" customHeight="1">
      <c r="A322" s="9"/>
    </row>
    <row r="323" spans="1:10" ht="14.4" customHeight="1">
      <c r="A323" s="9"/>
    </row>
    <row r="324" spans="1:10" ht="14.4" customHeight="1"/>
    <row r="325" spans="1:10" ht="14.4" customHeight="1"/>
    <row r="326" spans="1:10" ht="14.4" customHeight="1">
      <c r="A326" s="9"/>
    </row>
    <row r="327" spans="1:10" ht="14.4" customHeight="1">
      <c r="A327" s="9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9"/>
    </row>
    <row r="330" spans="1:10" ht="14.4" customHeight="1">
      <c r="A330" s="9"/>
    </row>
    <row r="331" spans="1:10" ht="14.4" customHeight="1">
      <c r="A331" s="9"/>
    </row>
    <row r="332" spans="1:10" ht="14.4" customHeight="1">
      <c r="A332" s="9"/>
    </row>
    <row r="333" spans="1:10" ht="14.4" customHeight="1">
      <c r="A333" s="17"/>
      <c r="B333" s="2"/>
    </row>
    <row r="334" spans="1:10" ht="14.4" customHeight="1"/>
    <row r="335" spans="1:10" ht="14.4" customHeight="1"/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4.4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4.4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10" ht="14.4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10" ht="14.4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4.4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4.4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4.4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4.4" customHeight="1">
      <c r="A356" s="9"/>
    </row>
    <row r="357" spans="1:10" ht="14.4" customHeight="1">
      <c r="A357" s="9"/>
    </row>
    <row r="358" spans="1:10" ht="14.4" customHeight="1">
      <c r="A358" s="9"/>
    </row>
    <row r="359" spans="1:10" ht="14.4" customHeight="1">
      <c r="A359" s="9"/>
    </row>
    <row r="360" spans="1:10" ht="14.4" customHeight="1"/>
    <row r="361" spans="1:10" ht="14.4" customHeight="1"/>
    <row r="362" spans="1:10" ht="14.4" customHeight="1">
      <c r="A362" s="9"/>
    </row>
    <row r="363" spans="1:10" ht="14.4" customHeight="1">
      <c r="A363" s="9"/>
    </row>
    <row r="364" spans="1:10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4.4" customHeight="1">
      <c r="A365" s="9"/>
    </row>
    <row r="366" spans="1:10" ht="14.4" customHeight="1">
      <c r="A366" s="9"/>
    </row>
    <row r="367" spans="1:10" ht="14.4" customHeight="1">
      <c r="A367" s="9"/>
    </row>
    <row r="368" spans="1:10" ht="14.4" customHeight="1">
      <c r="A368" s="9"/>
    </row>
    <row r="369" spans="1:12" ht="14.4" customHeight="1">
      <c r="A369" s="17"/>
      <c r="B369" s="2"/>
    </row>
    <row r="370" spans="1:12" ht="14.4" customHeight="1"/>
    <row r="371" spans="1:12" ht="14.4" customHeight="1"/>
    <row r="372" spans="1:12" ht="14.4" customHeight="1"/>
    <row r="373" spans="1:12" ht="14.4" customHeight="1"/>
    <row r="374" spans="1:12">
      <c r="A374" s="9"/>
    </row>
    <row r="375" spans="1:1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2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>
        <v>2</v>
      </c>
      <c r="L380">
        <v>2</v>
      </c>
    </row>
    <row r="381" spans="1:12" ht="14.4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2" ht="14.4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2" ht="14.4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10" ht="14.4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10" ht="14.4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4.4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4.4" customHeight="1">
      <c r="A393" s="9"/>
      <c r="C393" s="5"/>
      <c r="D393" s="5"/>
      <c r="E393" s="5"/>
      <c r="F393" s="5"/>
      <c r="G393" s="5"/>
      <c r="H393" s="5"/>
      <c r="I393" s="5"/>
      <c r="J393" s="5"/>
    </row>
    <row r="394" spans="1:10" ht="14.4" customHeight="1">
      <c r="A394" s="9"/>
    </row>
    <row r="395" spans="1:10">
      <c r="A395" s="9"/>
    </row>
    <row r="396" spans="1:10">
      <c r="A396" s="9"/>
    </row>
    <row r="400" spans="1:10">
      <c r="A400" s="9"/>
    </row>
    <row r="401" spans="1:10">
      <c r="A401" s="9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9"/>
    </row>
    <row r="404" spans="1:10">
      <c r="A404" s="9"/>
    </row>
    <row r="405" spans="1:10">
      <c r="A405" s="9"/>
    </row>
    <row r="406" spans="1:10">
      <c r="A406" s="9"/>
    </row>
    <row r="407" spans="1:10">
      <c r="A407" s="17"/>
      <c r="B407" s="2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>
      <c r="A429" s="9"/>
    </row>
    <row r="430" spans="1:10">
      <c r="A430" s="9"/>
    </row>
    <row r="431" spans="1:10">
      <c r="A431" s="9"/>
    </row>
    <row r="432" spans="1:10">
      <c r="A432" s="9"/>
    </row>
    <row r="435" spans="1:28">
      <c r="A435" s="9"/>
    </row>
    <row r="436" spans="1:28">
      <c r="A436" s="9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28">
      <c r="A438" s="9"/>
    </row>
    <row r="439" spans="1:28">
      <c r="A439" s="9"/>
    </row>
    <row r="440" spans="1:28">
      <c r="A440" s="9"/>
    </row>
    <row r="441" spans="1:28">
      <c r="A441" s="9"/>
    </row>
    <row r="442" spans="1:28">
      <c r="A442" s="17"/>
      <c r="B442" s="2"/>
    </row>
    <row r="443" spans="1:28">
      <c r="S443" t="s">
        <v>276</v>
      </c>
      <c r="T443" t="s">
        <v>308</v>
      </c>
      <c r="U443">
        <v>8.2040000000000006</v>
      </c>
      <c r="V443">
        <v>8.2040000000000006</v>
      </c>
      <c r="W443">
        <v>8.2040000000000006</v>
      </c>
      <c r="X443">
        <v>8.2040000000000006</v>
      </c>
      <c r="Y443">
        <v>8.2040000000000006</v>
      </c>
      <c r="Z443">
        <v>8.2040000000000006</v>
      </c>
      <c r="AA443">
        <v>8.2040000000000006</v>
      </c>
      <c r="AB443">
        <v>8.2040000000000006</v>
      </c>
    </row>
    <row r="445" spans="1:28">
      <c r="S445" t="s">
        <v>272</v>
      </c>
      <c r="T445" t="s">
        <v>308</v>
      </c>
      <c r="U445">
        <v>4.6710000000000003</v>
      </c>
      <c r="V445">
        <v>4.6710000000000003</v>
      </c>
      <c r="W445">
        <v>4.6710000000000003</v>
      </c>
      <c r="X445">
        <v>4.6710000000000003</v>
      </c>
      <c r="Y445">
        <v>4.6710000000000003</v>
      </c>
      <c r="Z445">
        <v>4.6710000000000003</v>
      </c>
      <c r="AA445">
        <v>4.6710000000000003</v>
      </c>
      <c r="AB445">
        <v>4.6710000000000003</v>
      </c>
    </row>
    <row r="447" spans="1:28">
      <c r="A447" s="9"/>
    </row>
    <row r="448" spans="1:2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28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28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28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28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28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28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28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28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28">
      <c r="A457" s="5"/>
      <c r="B457" s="5"/>
      <c r="C457" s="5"/>
      <c r="D457" s="5"/>
      <c r="E457" s="5"/>
      <c r="F457" s="5"/>
      <c r="G457" s="5"/>
      <c r="H457" s="5"/>
      <c r="I457" s="5"/>
    </row>
    <row r="458" spans="1:28">
      <c r="A458" s="5"/>
      <c r="B458" s="5"/>
      <c r="C458" s="5"/>
      <c r="D458" s="5"/>
      <c r="E458" s="5"/>
      <c r="F458" s="5"/>
      <c r="G458" s="5"/>
      <c r="H458" s="5"/>
      <c r="I458" s="5"/>
    </row>
    <row r="459" spans="1:28">
      <c r="A459" s="5"/>
      <c r="B459" s="5"/>
      <c r="C459" s="5"/>
      <c r="D459" s="5"/>
      <c r="E459" s="5"/>
      <c r="F459" s="5"/>
      <c r="G459" s="5"/>
      <c r="H459" s="5"/>
      <c r="I459" s="5"/>
    </row>
    <row r="460" spans="1:28">
      <c r="A460" s="5"/>
      <c r="B460" s="5"/>
      <c r="C460" s="5"/>
      <c r="D460" s="5"/>
      <c r="E460" s="5"/>
      <c r="F460" s="5"/>
      <c r="G460" s="5"/>
      <c r="H460" s="5"/>
      <c r="I460" s="5"/>
    </row>
    <row r="461" spans="1:28">
      <c r="A461" s="5"/>
      <c r="B461" s="5"/>
      <c r="C461" s="5"/>
      <c r="D461" s="5"/>
      <c r="E461" s="5"/>
      <c r="F461" s="5"/>
      <c r="G461" s="5"/>
      <c r="H461" s="5"/>
      <c r="I461" s="5"/>
      <c r="S461" t="s">
        <v>279</v>
      </c>
      <c r="T461" t="s">
        <v>308</v>
      </c>
      <c r="U461">
        <v>23.4</v>
      </c>
      <c r="V461">
        <v>23.4</v>
      </c>
      <c r="W461">
        <v>23.4</v>
      </c>
      <c r="X461">
        <v>23.4</v>
      </c>
      <c r="Y461">
        <v>23.4</v>
      </c>
      <c r="Z461">
        <v>23.4</v>
      </c>
      <c r="AA461">
        <v>23.4</v>
      </c>
      <c r="AB461">
        <v>23.4</v>
      </c>
    </row>
    <row r="462" spans="1:28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28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28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28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28">
      <c r="A466" s="5"/>
      <c r="B466" s="5"/>
      <c r="C466" s="5"/>
      <c r="D466" s="5"/>
      <c r="E466" s="5"/>
      <c r="F466" s="5"/>
      <c r="G466" s="5"/>
      <c r="H466" s="5"/>
      <c r="I466" s="5"/>
      <c r="J466" s="5"/>
      <c r="S466" t="s">
        <v>281</v>
      </c>
      <c r="T466" t="s">
        <v>308</v>
      </c>
      <c r="U466">
        <v>4.55</v>
      </c>
      <c r="V466">
        <v>4.55</v>
      </c>
      <c r="W466">
        <v>4.55</v>
      </c>
      <c r="X466">
        <v>4.55</v>
      </c>
      <c r="Y466">
        <v>4.55</v>
      </c>
      <c r="Z466">
        <v>4.55</v>
      </c>
      <c r="AA466">
        <v>4.55</v>
      </c>
      <c r="AB466">
        <v>4.55</v>
      </c>
    </row>
    <row r="467" spans="1:28">
      <c r="A467" s="9"/>
    </row>
    <row r="468" spans="1:28">
      <c r="A468" s="9"/>
    </row>
    <row r="469" spans="1:28">
      <c r="A469" s="9"/>
    </row>
    <row r="470" spans="1:28">
      <c r="A470" s="9"/>
    </row>
    <row r="473" spans="1:28">
      <c r="A473" s="9"/>
    </row>
    <row r="474" spans="1:28">
      <c r="A474" s="9"/>
    </row>
    <row r="475" spans="1:28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28">
      <c r="A476" s="9"/>
    </row>
    <row r="477" spans="1:28">
      <c r="A477" s="9"/>
    </row>
    <row r="478" spans="1:28">
      <c r="A478" s="9"/>
    </row>
    <row r="479" spans="1:28">
      <c r="A479" s="9"/>
    </row>
    <row r="480" spans="1:28">
      <c r="A480" s="17"/>
      <c r="B480" s="2"/>
    </row>
    <row r="485" spans="1:10">
      <c r="A485" s="9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9"/>
    </row>
    <row r="506" spans="1:10">
      <c r="A506" s="9"/>
    </row>
    <row r="507" spans="1:10">
      <c r="A507" s="9"/>
    </row>
    <row r="508" spans="1:10">
      <c r="A508" s="9"/>
    </row>
    <row r="512" spans="1:10">
      <c r="A512" s="9"/>
    </row>
    <row r="513" spans="1:10">
      <c r="A513" s="9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9"/>
    </row>
    <row r="516" spans="1:10">
      <c r="A516" s="9"/>
    </row>
    <row r="517" spans="1:10">
      <c r="A517" s="9"/>
    </row>
    <row r="518" spans="1:10">
      <c r="A518" s="9"/>
    </row>
    <row r="522" spans="1:10">
      <c r="A522" s="9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9"/>
    </row>
    <row r="542" spans="1:10">
      <c r="A542" s="9"/>
    </row>
    <row r="543" spans="1:10">
      <c r="A543" s="9"/>
    </row>
    <row r="544" spans="1:10">
      <c r="A544" s="9"/>
    </row>
    <row r="548" spans="1:10">
      <c r="A548" s="9"/>
    </row>
    <row r="549" spans="1:10">
      <c r="A549" s="9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9"/>
    </row>
    <row r="552" spans="1:10">
      <c r="A552" s="9"/>
    </row>
    <row r="553" spans="1:10">
      <c r="A553" s="9"/>
    </row>
    <row r="554" spans="1:10">
      <c r="A554" s="9"/>
    </row>
    <row r="555" spans="1:10">
      <c r="A555" s="17"/>
      <c r="B555" s="2"/>
    </row>
    <row r="556" spans="1:10">
      <c r="A556" s="17"/>
      <c r="B556" s="17"/>
      <c r="D556" s="5"/>
      <c r="E556" s="5"/>
      <c r="F556" s="5"/>
      <c r="G556" s="5"/>
      <c r="H556" s="5"/>
      <c r="I556" s="5"/>
    </row>
    <row r="561" spans="1:10">
      <c r="A561" s="9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</row>
    <row r="571" spans="1:10">
      <c r="A571" s="5"/>
      <c r="B571" s="5"/>
      <c r="C571" s="5"/>
      <c r="D571" s="5"/>
      <c r="E571" s="5"/>
      <c r="F571" s="5"/>
      <c r="G571" s="5"/>
      <c r="H571" s="5"/>
      <c r="I571" s="5"/>
    </row>
    <row r="572" spans="1:10">
      <c r="A572" s="5"/>
      <c r="B572" s="5"/>
      <c r="C572" s="5"/>
      <c r="D572" s="5"/>
      <c r="E572" s="5"/>
      <c r="F572" s="5"/>
      <c r="G572" s="5"/>
      <c r="H572" s="5"/>
      <c r="I572" s="5"/>
    </row>
    <row r="573" spans="1:10">
      <c r="A573" s="5"/>
      <c r="B573" s="5"/>
      <c r="C573" s="5"/>
      <c r="D573" s="5"/>
      <c r="E573" s="5"/>
      <c r="F573" s="5"/>
      <c r="G573" s="5"/>
      <c r="H573" s="5"/>
      <c r="I573" s="5"/>
    </row>
    <row r="574" spans="1:10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9"/>
    </row>
    <row r="580" spans="1:10">
      <c r="A580" s="9"/>
    </row>
    <row r="581" spans="1:10">
      <c r="A581" s="9"/>
    </row>
    <row r="582" spans="1:10">
      <c r="A582" s="9"/>
    </row>
    <row r="586" spans="1:10">
      <c r="A586" s="9"/>
    </row>
    <row r="587" spans="1:10">
      <c r="A587" s="9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9"/>
    </row>
    <row r="590" spans="1:10">
      <c r="A590" s="9"/>
    </row>
    <row r="591" spans="1:10">
      <c r="A591" s="9"/>
    </row>
    <row r="592" spans="1:10">
      <c r="A592" s="9"/>
    </row>
    <row r="593" spans="1:10">
      <c r="A593" s="9"/>
    </row>
    <row r="594" spans="1:10">
      <c r="A594" s="17"/>
      <c r="B594" s="2"/>
    </row>
    <row r="598" spans="1:10">
      <c r="A598" s="9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</row>
    <row r="608" spans="1:10">
      <c r="A608" s="5"/>
      <c r="B608" s="5"/>
      <c r="C608" s="5"/>
      <c r="D608" s="5"/>
      <c r="E608" s="5"/>
      <c r="F608" s="5"/>
      <c r="G608" s="5"/>
      <c r="H608" s="5"/>
      <c r="I608" s="5"/>
    </row>
    <row r="609" spans="1:10">
      <c r="A609" s="5"/>
      <c r="B609" s="5"/>
      <c r="C609" s="5"/>
      <c r="D609" s="5"/>
      <c r="E609" s="5"/>
      <c r="F609" s="5"/>
      <c r="G609" s="5"/>
      <c r="H609" s="5"/>
      <c r="I609" s="5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9"/>
    </row>
    <row r="617" spans="1:10">
      <c r="A617" s="9"/>
    </row>
    <row r="618" spans="1:10">
      <c r="A618" s="9"/>
    </row>
    <row r="619" spans="1:10">
      <c r="A619" s="9"/>
    </row>
    <row r="623" spans="1:10">
      <c r="A623" s="9"/>
    </row>
    <row r="624" spans="1:10">
      <c r="A624" s="9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0" spans="1:10">
      <c r="A630" s="17"/>
      <c r="B630" s="2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>
      <c r="A642" s="5"/>
      <c r="B642" s="5"/>
      <c r="C642" s="5"/>
      <c r="D642" s="5"/>
      <c r="E642" s="5"/>
      <c r="F642" s="5"/>
      <c r="G642" s="5"/>
      <c r="H642" s="5"/>
      <c r="I642" s="5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9"/>
    </row>
    <row r="651" spans="1:10">
      <c r="A651" s="9"/>
    </row>
    <row r="652" spans="1:10">
      <c r="A652" s="9"/>
    </row>
    <row r="653" spans="1:10">
      <c r="A653" s="9"/>
    </row>
    <row r="656" spans="1:10">
      <c r="A656" s="9"/>
    </row>
    <row r="657" spans="1:10">
      <c r="A657" s="9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9"/>
    </row>
    <row r="660" spans="1:10">
      <c r="A660" s="9"/>
    </row>
    <row r="661" spans="1:10">
      <c r="A661" s="9"/>
    </row>
    <row r="662" spans="1:10">
      <c r="A662" s="9"/>
    </row>
    <row r="666" spans="1:10">
      <c r="A666" s="9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</row>
    <row r="676" spans="1:10">
      <c r="A676" s="5"/>
      <c r="B676" s="5"/>
      <c r="C676" s="5"/>
      <c r="D676" s="5"/>
      <c r="E676" s="5"/>
      <c r="F676" s="5"/>
      <c r="G676" s="5"/>
      <c r="H676" s="5"/>
      <c r="I676" s="5"/>
    </row>
    <row r="677" spans="1:10">
      <c r="A677" s="5"/>
      <c r="B677" s="5"/>
      <c r="C677" s="5"/>
      <c r="D677" s="5"/>
      <c r="E677" s="5"/>
      <c r="F677" s="5"/>
      <c r="G677" s="5"/>
      <c r="H677" s="5"/>
      <c r="I677" s="5"/>
    </row>
    <row r="678" spans="1:10">
      <c r="A678" s="5"/>
      <c r="B678" s="5"/>
      <c r="C678" s="5"/>
      <c r="D678" s="5"/>
      <c r="E678" s="5"/>
      <c r="F678" s="5"/>
      <c r="G678" s="5"/>
      <c r="H678" s="5"/>
      <c r="I678" s="5"/>
    </row>
    <row r="679" spans="1:10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>
      <c r="A684" s="9"/>
    </row>
    <row r="685" spans="1:10">
      <c r="A685" s="9"/>
    </row>
    <row r="686" spans="1:10">
      <c r="A686" s="9"/>
    </row>
    <row r="687" spans="1:10">
      <c r="A687" s="9"/>
    </row>
    <row r="690" spans="1:10">
      <c r="A690" s="9"/>
    </row>
    <row r="691" spans="1:10">
      <c r="A691" s="9"/>
    </row>
    <row r="692" spans="1:10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>
      <c r="A693" s="9"/>
    </row>
    <row r="694" spans="1:10">
      <c r="A694" s="9"/>
    </row>
    <row r="695" spans="1:10">
      <c r="A695" s="9"/>
    </row>
    <row r="696" spans="1:10">
      <c r="A696" s="9"/>
    </row>
    <row r="697" spans="1:10">
      <c r="A697" s="9"/>
    </row>
    <row r="698" spans="1:10">
      <c r="A698" s="9"/>
    </row>
    <row r="699" spans="1:10">
      <c r="A699" s="9"/>
    </row>
    <row r="700" spans="1:10">
      <c r="A700" s="9"/>
    </row>
    <row r="701" spans="1:10">
      <c r="A701" s="9"/>
    </row>
    <row r="702" spans="1:10">
      <c r="A702" s="9"/>
    </row>
    <row r="703" spans="1:10">
      <c r="A703" s="9"/>
    </row>
    <row r="704" spans="1:10">
      <c r="A704" s="9"/>
    </row>
    <row r="705" spans="1:3">
      <c r="A705" s="9"/>
    </row>
    <row r="706" spans="1:3">
      <c r="A706" s="9"/>
    </row>
    <row r="707" spans="1:3">
      <c r="A707" s="9"/>
    </row>
    <row r="708" spans="1:3">
      <c r="A708" s="9"/>
    </row>
    <row r="709" spans="1:3">
      <c r="A709" s="9"/>
    </row>
    <row r="710" spans="1:3">
      <c r="A710" s="9"/>
    </row>
    <row r="711" spans="1:3">
      <c r="A711" s="9"/>
    </row>
    <row r="712" spans="1:3">
      <c r="A712" s="9"/>
    </row>
    <row r="713" spans="1:3">
      <c r="A713" s="9"/>
    </row>
    <row r="714" spans="1:3">
      <c r="A714" s="9"/>
    </row>
    <row r="715" spans="1:3">
      <c r="A715" s="9"/>
    </row>
    <row r="716" spans="1:3">
      <c r="A716" s="15"/>
      <c r="B716" s="15"/>
      <c r="C716" s="15"/>
    </row>
    <row r="717" spans="1:3">
      <c r="A717" s="15"/>
      <c r="B717" s="15"/>
      <c r="C717" s="15"/>
    </row>
    <row r="724" spans="1:10">
      <c r="A724" s="9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</row>
    <row r="735" spans="1:10">
      <c r="A735" s="5"/>
      <c r="B735" s="5"/>
      <c r="C735" s="5"/>
      <c r="D735" s="5"/>
      <c r="E735" s="5"/>
      <c r="F735" s="5"/>
      <c r="G735" s="5"/>
      <c r="H735" s="5"/>
      <c r="I735" s="5"/>
    </row>
    <row r="736" spans="1:10">
      <c r="A736" s="5"/>
      <c r="B736" s="5"/>
      <c r="C736" s="5"/>
      <c r="D736" s="5"/>
      <c r="E736" s="5"/>
      <c r="F736" s="5"/>
      <c r="G736" s="5"/>
      <c r="H736" s="5"/>
      <c r="I736" s="5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9"/>
    </row>
    <row r="744" spans="1:10">
      <c r="A744" s="9"/>
    </row>
    <row r="745" spans="1:10">
      <c r="A745" s="9"/>
    </row>
    <row r="746" spans="1:10">
      <c r="A746" s="9"/>
    </row>
    <row r="750" spans="1:10">
      <c r="A750" s="9"/>
    </row>
    <row r="751" spans="1:10">
      <c r="A751" s="9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7" spans="1:10">
      <c r="A757" s="17"/>
      <c r="B757" s="2"/>
    </row>
    <row r="758" spans="1:10">
      <c r="A758" s="15"/>
      <c r="B758" s="15"/>
      <c r="C758" s="15"/>
    </row>
    <row r="759" spans="1:10">
      <c r="A759" s="15"/>
      <c r="B759" s="15"/>
      <c r="C759" s="15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</row>
    <row r="769" spans="1:10">
      <c r="A769" s="5"/>
      <c r="B769" s="5"/>
      <c r="C769" s="5"/>
      <c r="D769" s="5"/>
      <c r="E769" s="5"/>
      <c r="F769" s="5"/>
      <c r="G769" s="5"/>
      <c r="H769" s="5"/>
      <c r="I769" s="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9"/>
    </row>
    <row r="778" spans="1:10">
      <c r="A778" s="9"/>
    </row>
    <row r="779" spans="1:10">
      <c r="A779" s="9"/>
    </row>
    <row r="780" spans="1:10">
      <c r="A780" s="9"/>
    </row>
    <row r="783" spans="1:10">
      <c r="A783" s="9"/>
    </row>
    <row r="784" spans="1:10">
      <c r="A784" s="9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9"/>
    </row>
    <row r="787" spans="1:10">
      <c r="A787" s="9"/>
    </row>
    <row r="788" spans="1:10">
      <c r="A788" s="9"/>
    </row>
    <row r="789" spans="1:10">
      <c r="A789" s="9"/>
    </row>
    <row r="790" spans="1:10">
      <c r="A790" s="9"/>
    </row>
    <row r="791" spans="1:10">
      <c r="A791" s="17"/>
      <c r="B791" s="2"/>
    </row>
    <row r="792" spans="1:10">
      <c r="A792" s="15"/>
      <c r="B792" s="15"/>
      <c r="C792" s="15"/>
    </row>
    <row r="793" spans="1:10">
      <c r="A793" s="15"/>
      <c r="B793" s="15"/>
      <c r="C793" s="1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17"/>
      <c r="C812" s="5"/>
      <c r="D812" s="5"/>
      <c r="E812" s="5"/>
      <c r="F812" s="5"/>
      <c r="G812" s="5"/>
      <c r="H812" s="5"/>
      <c r="I812" s="5"/>
      <c r="J812" s="5"/>
    </row>
    <row r="813" spans="1:10">
      <c r="A813" s="17"/>
      <c r="C813" s="5"/>
      <c r="D813" s="5"/>
      <c r="E813" s="5"/>
      <c r="F813" s="5"/>
      <c r="G813" s="5"/>
      <c r="H813" s="5"/>
      <c r="I813" s="5"/>
      <c r="J813" s="5"/>
    </row>
    <row r="814" spans="1:10">
      <c r="A814" s="17"/>
      <c r="C814" s="5"/>
      <c r="D814" s="5"/>
      <c r="E814" s="5"/>
      <c r="F814" s="5"/>
      <c r="G814" s="5"/>
      <c r="H814" s="5"/>
      <c r="I814" s="5"/>
      <c r="J814" s="5"/>
    </row>
    <row r="815" spans="1:10">
      <c r="A815" s="17"/>
      <c r="C815" s="5"/>
      <c r="D815" s="5"/>
      <c r="E815" s="5"/>
      <c r="F815" s="5"/>
      <c r="G815" s="5"/>
      <c r="H815" s="5"/>
      <c r="I815" s="5"/>
      <c r="J815" s="5"/>
    </row>
    <row r="816" spans="1:10">
      <c r="A816" s="17"/>
      <c r="C816" s="5"/>
      <c r="D816" s="5"/>
      <c r="E816" s="5"/>
      <c r="F816" s="5"/>
      <c r="G816" s="5"/>
      <c r="H816" s="5"/>
      <c r="I816" s="5"/>
      <c r="J816" s="5"/>
    </row>
    <row r="817" spans="1:10">
      <c r="A817" s="17"/>
      <c r="C817" s="5"/>
      <c r="D817" s="5"/>
      <c r="E817" s="5"/>
      <c r="F817" s="5"/>
      <c r="G817" s="5"/>
      <c r="H817" s="5"/>
      <c r="I817" s="5"/>
      <c r="J817" s="5"/>
    </row>
    <row r="818" spans="1:10">
      <c r="A818" s="17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17"/>
      <c r="C819" s="5"/>
      <c r="D819" s="5"/>
      <c r="E819" s="5"/>
      <c r="F819" s="5"/>
      <c r="G819" s="5"/>
      <c r="H819" s="5"/>
      <c r="I819" s="5"/>
      <c r="J819" s="5"/>
    </row>
    <row r="820" spans="1:10">
      <c r="A820" s="17"/>
      <c r="C820" s="5"/>
      <c r="D820" s="5"/>
      <c r="E820" s="5"/>
      <c r="F820" s="5"/>
      <c r="G820" s="5"/>
      <c r="H820" s="5"/>
      <c r="I820" s="5"/>
      <c r="J820" s="5"/>
    </row>
    <row r="821" spans="1:10">
      <c r="A821" s="17"/>
      <c r="C821" s="5"/>
      <c r="D821" s="5"/>
      <c r="E821" s="5"/>
      <c r="F821" s="5"/>
      <c r="G821" s="5"/>
      <c r="H821" s="5"/>
      <c r="I821" s="5"/>
      <c r="J821" s="5"/>
    </row>
    <row r="822" spans="1:10">
      <c r="A822" s="17"/>
      <c r="C822" s="5"/>
      <c r="D822" s="5"/>
      <c r="E822" s="5"/>
      <c r="F822" s="5"/>
      <c r="G822" s="5"/>
      <c r="H822" s="5"/>
      <c r="I822" s="5"/>
      <c r="J822" s="5"/>
    </row>
    <row r="827" spans="1:10">
      <c r="A827" s="9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</row>
    <row r="839" spans="1:10">
      <c r="A839" s="5"/>
      <c r="B839" s="5"/>
      <c r="C839" s="5"/>
      <c r="D839" s="5"/>
      <c r="E839" s="5"/>
      <c r="F839" s="5"/>
      <c r="G839" s="5"/>
      <c r="H839" s="5"/>
      <c r="I839" s="5"/>
    </row>
    <row r="840" spans="1:10">
      <c r="A840" s="5"/>
      <c r="B840" s="5"/>
      <c r="C840" s="5"/>
      <c r="D840" s="5"/>
      <c r="E840" s="5"/>
      <c r="F840" s="5"/>
      <c r="G840" s="5"/>
      <c r="H840" s="5"/>
      <c r="I840" s="5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9"/>
    </row>
    <row r="848" spans="1:10">
      <c r="A848" s="9"/>
    </row>
    <row r="849" spans="1:10">
      <c r="A849" s="9"/>
    </row>
    <row r="850" spans="1:10">
      <c r="A850" s="9"/>
    </row>
    <row r="853" spans="1:10">
      <c r="A853" s="9"/>
    </row>
    <row r="854" spans="1:10">
      <c r="A854" s="9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9"/>
    </row>
    <row r="857" spans="1:10">
      <c r="A857" s="9"/>
    </row>
    <row r="858" spans="1:10">
      <c r="A858" s="9"/>
    </row>
    <row r="859" spans="1:10">
      <c r="A859" s="9"/>
    </row>
    <row r="860" spans="1:10">
      <c r="A860" s="17"/>
      <c r="B860" s="2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</row>
    <row r="873" spans="1:10">
      <c r="A873" s="5"/>
      <c r="B873" s="5"/>
      <c r="C873" s="5"/>
      <c r="D873" s="5"/>
      <c r="E873" s="5"/>
      <c r="F873" s="5"/>
      <c r="G873" s="5"/>
      <c r="H873" s="5"/>
      <c r="I873" s="5"/>
    </row>
    <row r="874" spans="1:10">
      <c r="A874" s="5"/>
      <c r="B874" s="5"/>
      <c r="C874" s="5"/>
      <c r="D874" s="5"/>
      <c r="E874" s="5"/>
      <c r="F874" s="5"/>
      <c r="G874" s="5"/>
      <c r="H874" s="5"/>
      <c r="I874" s="5"/>
    </row>
    <row r="875" spans="1:10">
      <c r="A875" s="5"/>
      <c r="B875" s="5"/>
      <c r="C875" s="5"/>
      <c r="D875" s="5"/>
      <c r="E875" s="5"/>
      <c r="F875" s="5"/>
      <c r="G875" s="5"/>
      <c r="H875" s="5"/>
      <c r="I875" s="5"/>
    </row>
    <row r="876" spans="1:10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9"/>
    </row>
    <row r="882" spans="1:10">
      <c r="A882" s="9"/>
    </row>
    <row r="883" spans="1:10">
      <c r="A883" s="9"/>
    </row>
    <row r="884" spans="1:10">
      <c r="A884" s="9"/>
    </row>
    <row r="887" spans="1:10">
      <c r="A887" s="9"/>
    </row>
    <row r="888" spans="1:10">
      <c r="A888" s="9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>
      <c r="A890" s="9"/>
    </row>
    <row r="891" spans="1:10">
      <c r="A891" s="9"/>
    </row>
    <row r="892" spans="1:10">
      <c r="A892" s="9"/>
    </row>
    <row r="893" spans="1:10">
      <c r="A893" s="9"/>
    </row>
    <row r="894" spans="1:10">
      <c r="A894" s="17"/>
      <c r="B894" s="2"/>
    </row>
    <row r="900" spans="1:10">
      <c r="A900" s="9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</row>
    <row r="912" spans="1:10">
      <c r="A912" s="5"/>
      <c r="B912" s="5"/>
      <c r="C912" s="5"/>
      <c r="D912" s="5"/>
      <c r="E912" s="5"/>
      <c r="F912" s="5"/>
      <c r="G912" s="5"/>
      <c r="H912" s="5"/>
      <c r="I912" s="5"/>
    </row>
    <row r="913" spans="1:25">
      <c r="A913" s="5"/>
      <c r="B913" s="5"/>
      <c r="C913" s="5"/>
      <c r="D913" s="5"/>
      <c r="E913" s="5"/>
      <c r="F913" s="5"/>
      <c r="G913" s="5"/>
      <c r="H913" s="5"/>
      <c r="I913" s="5"/>
    </row>
    <row r="914" spans="1:25">
      <c r="A914" s="5"/>
      <c r="B914" s="5"/>
      <c r="C914" s="5"/>
      <c r="D914" s="5"/>
      <c r="E914" s="5"/>
      <c r="F914" s="5"/>
      <c r="G914" s="5"/>
      <c r="H914" s="5"/>
      <c r="I914" s="5"/>
    </row>
    <row r="915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25">
      <c r="A920" s="9"/>
    </row>
    <row r="921" spans="1:25">
      <c r="A921" s="9"/>
    </row>
    <row r="922" spans="1:25">
      <c r="A922" s="9"/>
    </row>
    <row r="923" spans="1:25">
      <c r="A923" s="9"/>
    </row>
    <row r="926" spans="1:25" s="33" customForma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</row>
    <row r="927" spans="1:25" s="33" customFormat="1">
      <c r="A927" s="9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</row>
    <row r="928" spans="1:25" s="33" customFormat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</row>
    <row r="929" spans="1:25" s="33" customForma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</row>
    <row r="930" spans="1:25" s="33" customFormat="1">
      <c r="A930" s="9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</row>
    <row r="931" spans="1:25">
      <c r="A931" s="9"/>
    </row>
    <row r="932" spans="1:25">
      <c r="A932" s="9"/>
    </row>
    <row r="933" spans="1:25">
      <c r="A933" s="9"/>
    </row>
    <row r="934" spans="1:25">
      <c r="A934" s="9"/>
    </row>
    <row r="935" spans="1:25">
      <c r="A935" s="9"/>
    </row>
    <row r="936" spans="1:25">
      <c r="A936" s="9"/>
    </row>
    <row r="937" spans="1:25">
      <c r="A937" s="9"/>
    </row>
    <row r="938" spans="1:25">
      <c r="A938" s="9"/>
    </row>
    <row r="939" spans="1:25">
      <c r="A939" s="9"/>
    </row>
    <row r="940" spans="1:25">
      <c r="A940" s="9"/>
    </row>
    <row r="941" spans="1:25">
      <c r="A941" s="9"/>
    </row>
    <row r="942" spans="1:25">
      <c r="A942" s="9"/>
    </row>
    <row r="943" spans="1:25">
      <c r="A943" s="9"/>
    </row>
    <row r="948" spans="1:10">
      <c r="A948" s="9"/>
    </row>
    <row r="949" spans="1:10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>
      <c r="A957" s="5"/>
      <c r="B957" s="5"/>
      <c r="C957" s="5"/>
      <c r="D957" s="5"/>
      <c r="E957" s="5"/>
      <c r="F957" s="5"/>
      <c r="G957" s="5"/>
      <c r="H957" s="5"/>
      <c r="I957" s="5"/>
    </row>
    <row r="958" spans="1:10">
      <c r="A958" s="5"/>
      <c r="B958" s="5"/>
      <c r="C958" s="5"/>
      <c r="D958" s="5"/>
      <c r="E958" s="5"/>
      <c r="F958" s="5"/>
      <c r="G958" s="5"/>
      <c r="H958" s="5"/>
      <c r="I958" s="5"/>
    </row>
    <row r="959" spans="1:10">
      <c r="A959" s="5"/>
      <c r="B959" s="5"/>
      <c r="C959" s="5"/>
      <c r="D959" s="5"/>
      <c r="E959" s="5"/>
      <c r="F959" s="5"/>
      <c r="G959" s="5"/>
      <c r="H959" s="5"/>
      <c r="I959" s="5"/>
    </row>
    <row r="960" spans="1:10">
      <c r="A960" s="5"/>
      <c r="B960" s="5"/>
      <c r="C960" s="5"/>
      <c r="D960" s="5"/>
      <c r="E960" s="5"/>
      <c r="F960" s="5"/>
      <c r="G960" s="5"/>
      <c r="H960" s="5"/>
      <c r="I960" s="5"/>
    </row>
    <row r="961" spans="1:10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9"/>
    </row>
    <row r="966" spans="1:10">
      <c r="A966" s="9"/>
    </row>
    <row r="967" spans="1:10">
      <c r="A967" s="9"/>
    </row>
    <row r="968" spans="1:10">
      <c r="A968" s="9"/>
    </row>
    <row r="971" spans="1:10">
      <c r="A971" s="9"/>
    </row>
    <row r="972" spans="1:10">
      <c r="A972" s="9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>
      <c r="A974" s="9"/>
    </row>
    <row r="975" spans="1:10">
      <c r="A975" s="9"/>
    </row>
    <row r="976" spans="1:10">
      <c r="A976" s="9"/>
    </row>
    <row r="977" spans="1:10">
      <c r="A977" s="9"/>
    </row>
    <row r="978" spans="1:10">
      <c r="A978" s="9"/>
    </row>
    <row r="979" spans="1:10">
      <c r="A979" s="17"/>
      <c r="B979" s="2"/>
    </row>
    <row r="984" spans="1:10">
      <c r="A984" s="9"/>
    </row>
    <row r="985" spans="1:10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>
      <c r="A994" s="5"/>
      <c r="B994" s="5"/>
      <c r="C994" s="5"/>
      <c r="D994" s="5"/>
      <c r="E994" s="5"/>
      <c r="F994" s="5"/>
      <c r="G994" s="5"/>
      <c r="H994" s="5"/>
      <c r="I994" s="5"/>
    </row>
    <row r="995" spans="1:10">
      <c r="A995" s="5"/>
      <c r="B995" s="5"/>
      <c r="C995" s="5"/>
      <c r="D995" s="5"/>
      <c r="E995" s="5"/>
      <c r="F995" s="5"/>
      <c r="G995" s="5"/>
      <c r="H995" s="5"/>
      <c r="I995" s="5"/>
    </row>
    <row r="996" spans="1:10">
      <c r="A996" s="5"/>
      <c r="B996" s="5"/>
      <c r="C996" s="5"/>
      <c r="D996" s="5"/>
      <c r="E996" s="5"/>
      <c r="F996" s="5"/>
      <c r="G996" s="5"/>
      <c r="H996" s="5"/>
      <c r="I996" s="5"/>
    </row>
    <row r="997" spans="1:10">
      <c r="A997" s="5"/>
      <c r="B997" s="5"/>
      <c r="C997" s="5"/>
      <c r="D997" s="5"/>
      <c r="E997" s="5"/>
      <c r="F997" s="5"/>
      <c r="G997" s="5"/>
      <c r="H997" s="5"/>
      <c r="I997" s="5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9"/>
    </row>
    <row r="1003" spans="1:10">
      <c r="A1003" s="9"/>
    </row>
    <row r="1004" spans="1:10">
      <c r="A1004" s="9"/>
    </row>
    <row r="1005" spans="1:10">
      <c r="A1005" s="9"/>
    </row>
    <row r="1008" spans="1:10">
      <c r="A1008" s="9"/>
    </row>
    <row r="1009" spans="1:10">
      <c r="A1009" s="9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  <c r="J1010" s="5"/>
    </row>
    <row r="1011" spans="1:10">
      <c r="A1011" s="9"/>
    </row>
    <row r="1012" spans="1:10">
      <c r="A1012" s="9"/>
    </row>
    <row r="1013" spans="1:10">
      <c r="A1013" s="9"/>
    </row>
    <row r="1014" spans="1:10">
      <c r="A1014" s="9"/>
    </row>
    <row r="1015" spans="1:10">
      <c r="A1015" s="17"/>
      <c r="B1015" s="2"/>
    </row>
    <row r="1020" spans="1:10">
      <c r="A1020" s="9"/>
    </row>
    <row r="1021" spans="1:10">
      <c r="A1021" s="5"/>
      <c r="B1021" s="5"/>
      <c r="C1021" s="5"/>
      <c r="D1021" s="5"/>
      <c r="E1021" s="5"/>
      <c r="F1021" s="5"/>
      <c r="G1021" s="5"/>
      <c r="H1021" s="5"/>
      <c r="I1021" s="5"/>
      <c r="J1021" s="5"/>
    </row>
    <row r="1022" spans="1:10">
      <c r="A1022" s="5"/>
      <c r="B1022" s="5"/>
      <c r="C1022" s="5"/>
      <c r="D1022" s="5"/>
      <c r="E1022" s="5"/>
      <c r="F1022" s="5"/>
      <c r="G1022" s="5"/>
      <c r="H1022" s="5"/>
      <c r="I1022" s="5"/>
      <c r="J1022" s="5"/>
    </row>
    <row r="1023" spans="1:10">
      <c r="A1023" s="5"/>
      <c r="B1023" s="5"/>
      <c r="C1023" s="5"/>
      <c r="D1023" s="5"/>
      <c r="E1023" s="5"/>
      <c r="F1023" s="5"/>
      <c r="G1023" s="5"/>
      <c r="H1023" s="5"/>
      <c r="I1023" s="5"/>
      <c r="J1023" s="5"/>
    </row>
    <row r="1024" spans="1:10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>
      <c r="A1025" s="5"/>
      <c r="B1025" s="5"/>
      <c r="C1025" s="5"/>
      <c r="D1025" s="5"/>
      <c r="E1025" s="5"/>
      <c r="F1025" s="5"/>
      <c r="G1025" s="5"/>
      <c r="H1025" s="5"/>
      <c r="I1025" s="5"/>
      <c r="J1025" s="5"/>
    </row>
    <row r="1026" spans="1:10">
      <c r="A1026" s="5"/>
      <c r="B1026" s="5"/>
      <c r="C1026" s="5"/>
      <c r="D1026" s="5"/>
      <c r="E1026" s="5"/>
      <c r="F1026" s="5"/>
      <c r="G1026" s="5"/>
      <c r="H1026" s="5"/>
      <c r="I1026" s="5"/>
      <c r="J1026" s="5"/>
    </row>
    <row r="1027" spans="1:10">
      <c r="A1027" s="5"/>
      <c r="B1027" s="5"/>
      <c r="C1027" s="5"/>
      <c r="D1027" s="5"/>
      <c r="E1027" s="5"/>
      <c r="F1027" s="5"/>
      <c r="G1027" s="5"/>
      <c r="H1027" s="5"/>
      <c r="I1027" s="5"/>
      <c r="J1027" s="5"/>
    </row>
    <row r="1028" spans="1:10">
      <c r="A1028" s="5"/>
      <c r="B1028" s="5"/>
      <c r="C1028" s="5"/>
      <c r="D1028" s="5"/>
      <c r="E1028" s="5"/>
      <c r="F1028" s="5"/>
      <c r="G1028" s="5"/>
      <c r="H1028" s="5"/>
      <c r="I1028" s="5"/>
      <c r="J1028" s="5"/>
    </row>
    <row r="1029" spans="1:10">
      <c r="A1029" s="5"/>
      <c r="B1029" s="5"/>
      <c r="C1029" s="5"/>
      <c r="D1029" s="5"/>
      <c r="E1029" s="5"/>
      <c r="F1029" s="5"/>
      <c r="G1029" s="5"/>
      <c r="H1029" s="5"/>
      <c r="I1029" s="5"/>
      <c r="J1029" s="5"/>
    </row>
    <row r="1030" spans="1:10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10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10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9"/>
    </row>
    <row r="1041" spans="1:10">
      <c r="A1041" s="9"/>
    </row>
    <row r="1042" spans="1:10">
      <c r="A1042" s="9"/>
    </row>
    <row r="1043" spans="1:10">
      <c r="A1043" s="9"/>
    </row>
    <row r="1046" spans="1:10">
      <c r="A1046" s="9"/>
    </row>
    <row r="1047" spans="1:10">
      <c r="A1047" s="9"/>
    </row>
    <row r="1048" spans="1:10">
      <c r="A1048" s="5"/>
      <c r="B1048" s="5"/>
      <c r="C1048" s="5"/>
      <c r="D1048" s="5"/>
      <c r="E1048" s="5"/>
      <c r="F1048" s="5"/>
      <c r="G1048" s="5"/>
      <c r="H1048" s="5"/>
      <c r="I1048" s="5"/>
      <c r="J1048" s="5"/>
    </row>
    <row r="1049" spans="1:10">
      <c r="A1049" s="9"/>
    </row>
    <row r="1050" spans="1:10">
      <c r="A1050" s="9"/>
    </row>
    <row r="1051" spans="1:10">
      <c r="A1051" s="9"/>
    </row>
    <row r="1052" spans="1:10">
      <c r="A1052" s="9"/>
    </row>
    <row r="1053" spans="1:10">
      <c r="A1053" s="15"/>
      <c r="B1053" s="15"/>
      <c r="C1053" s="15"/>
    </row>
    <row r="1054" spans="1:10">
      <c r="A1054" s="15"/>
      <c r="B1054" s="15"/>
      <c r="C1054" s="15"/>
    </row>
    <row r="1055" spans="1:10">
      <c r="A1055" s="15"/>
      <c r="B1055" s="15"/>
      <c r="C1055" s="15"/>
    </row>
    <row r="1056" spans="1:10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  <c r="J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  <c r="J1063" s="5"/>
    </row>
    <row r="1064" spans="1:12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12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12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L1069" s="16"/>
    </row>
    <row r="1070" spans="1:12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2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2">
      <c r="A1072" s="17"/>
      <c r="B1072" s="2"/>
    </row>
    <row r="1073" spans="1:10">
      <c r="A1073" s="17"/>
      <c r="B1073" s="2"/>
      <c r="D1073" s="5"/>
      <c r="E1073" s="5"/>
      <c r="F1073" s="5"/>
      <c r="G1073" s="5"/>
      <c r="H1073" s="5"/>
      <c r="I1073" s="5"/>
      <c r="J1073" s="5"/>
    </row>
    <row r="1074" spans="1:10">
      <c r="A1074" s="17"/>
      <c r="B1074" s="2"/>
      <c r="D1074" s="5"/>
      <c r="E1074" s="5"/>
      <c r="F1074" s="5"/>
      <c r="G1074" s="5"/>
      <c r="H1074" s="5"/>
      <c r="I1074" s="5"/>
      <c r="J1074" s="5"/>
    </row>
    <row r="1075" spans="1:10">
      <c r="A1075" s="17"/>
      <c r="B1075" s="2"/>
      <c r="D1075" s="5"/>
      <c r="E1075" s="5"/>
      <c r="F1075" s="5"/>
      <c r="G1075" s="5"/>
      <c r="H1075" s="5"/>
      <c r="I1075" s="5"/>
      <c r="J1075" s="5"/>
    </row>
    <row r="1078" spans="1:10">
      <c r="A1078" s="39"/>
      <c r="B1078" s="2"/>
      <c r="D1078" s="5"/>
      <c r="E1078" s="5"/>
      <c r="F1078" s="5"/>
      <c r="G1078" s="5"/>
      <c r="H1078" s="5"/>
      <c r="I1078" s="5"/>
      <c r="J1078" s="5"/>
    </row>
    <row r="1079" spans="1:10">
      <c r="A1079" s="17"/>
      <c r="B1079" s="2"/>
      <c r="D1079" s="5"/>
      <c r="E1079" s="5"/>
      <c r="F1079" s="5"/>
      <c r="G1079" s="5"/>
      <c r="H1079" s="5"/>
      <c r="I1079" s="5"/>
      <c r="J1079" s="5"/>
    </row>
    <row r="1080" spans="1:10">
      <c r="A1080" s="17"/>
      <c r="B1080" s="2"/>
    </row>
    <row r="1081" spans="1:10">
      <c r="A1081" s="17"/>
      <c r="B1081" s="2"/>
    </row>
    <row r="1082" spans="1:10">
      <c r="A1082" s="17"/>
      <c r="B1082" s="2"/>
      <c r="D1082" s="5"/>
      <c r="E1082" s="5"/>
      <c r="F1082" s="5"/>
      <c r="G1082" s="5"/>
      <c r="H1082" s="5"/>
      <c r="I1082" s="5"/>
      <c r="J1082" s="5"/>
    </row>
    <row r="1083" spans="1:10">
      <c r="A1083" s="17"/>
      <c r="B1083" s="2"/>
    </row>
    <row r="1084" spans="1:10">
      <c r="A1084" s="32"/>
    </row>
    <row r="1088" spans="1:10">
      <c r="A1088" s="9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  <c r="J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  <c r="J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10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10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>
      <c r="A1104" s="5"/>
      <c r="B1104" s="5"/>
      <c r="C1104" s="5"/>
      <c r="D1104" s="5"/>
      <c r="E1104" s="5"/>
      <c r="F1104" s="5"/>
      <c r="G1104" s="5"/>
      <c r="H1104" s="5"/>
      <c r="I1104" s="5"/>
      <c r="J1104" s="5"/>
    </row>
    <row r="1105" spans="1:10">
      <c r="A1105" s="5"/>
      <c r="B1105" s="5"/>
      <c r="C1105" s="5"/>
      <c r="D1105" s="5"/>
      <c r="E1105" s="5"/>
      <c r="F1105" s="5"/>
      <c r="G1105" s="5"/>
      <c r="H1105" s="5"/>
      <c r="I1105" s="5"/>
      <c r="J1105" s="5"/>
    </row>
    <row r="1106" spans="1:10">
      <c r="A1106" s="9"/>
    </row>
    <row r="1107" spans="1:10">
      <c r="A1107" s="9"/>
    </row>
    <row r="1108" spans="1:10">
      <c r="A1108" s="9"/>
    </row>
    <row r="1109" spans="1:10">
      <c r="A1109" s="9"/>
    </row>
    <row r="1113" spans="1:10">
      <c r="A1113" s="9"/>
    </row>
    <row r="1114" spans="1:10">
      <c r="A1114" s="9"/>
    </row>
    <row r="1115" spans="1:10">
      <c r="A1115" s="5"/>
      <c r="B1115" s="5"/>
      <c r="C1115" s="5"/>
      <c r="D1115" s="5"/>
      <c r="E1115" s="5"/>
      <c r="F1115" s="5"/>
      <c r="G1115" s="5"/>
      <c r="H1115" s="5"/>
      <c r="I1115" s="5"/>
      <c r="J1115" s="5"/>
    </row>
    <row r="1116" spans="1:10">
      <c r="A1116" s="9"/>
    </row>
    <row r="1117" spans="1:10">
      <c r="A1117" s="9"/>
    </row>
    <row r="1118" spans="1:10">
      <c r="A1118" s="9"/>
    </row>
    <row r="1119" spans="1:10">
      <c r="A1119" s="9"/>
    </row>
    <row r="1120" spans="1:10">
      <c r="A1120" s="17"/>
      <c r="B1120" s="2"/>
    </row>
  </sheetData>
  <autoFilter ref="A5:J1401" xr:uid="{00000000-0009-0000-0000-00001E000000}">
    <sortState xmlns:xlrd2="http://schemas.microsoft.com/office/spreadsheetml/2017/richdata2" ref="A6:J1120">
      <sortCondition ref="A5:A1120"/>
    </sortState>
  </autoFilter>
  <conditionalFormatting sqref="A14:A3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:L4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609375" defaultRowHeight="14.6"/>
  <cols>
    <col min="1" max="1" width="18" style="5" customWidth="1"/>
    <col min="2" max="2" width="28.53515625" style="5" customWidth="1"/>
    <col min="3" max="10" width="12.4609375" style="5" bestFit="1" customWidth="1"/>
    <col min="11" max="11" width="2.84375" style="5" customWidth="1"/>
    <col min="12" max="15" width="11.4609375" style="5"/>
    <col min="16" max="16" width="12.07421875" style="5" bestFit="1" customWidth="1"/>
    <col min="17" max="16384" width="11.460937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609375" defaultRowHeight="14.6"/>
  <cols>
    <col min="1" max="1" width="24" customWidth="1"/>
    <col min="2" max="2" width="40.53515625" customWidth="1"/>
    <col min="3" max="3" width="10.07421875" bestFit="1" customWidth="1"/>
    <col min="11" max="11" width="11.4609375" customWidth="1"/>
    <col min="12" max="12" width="3.460937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609375" defaultRowHeight="14.6"/>
  <cols>
    <col min="2" max="2" width="25.460937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5"/>
  <sheetViews>
    <sheetView zoomScaleNormal="100" workbookViewId="0">
      <pane xSplit="1" topLeftCell="B1" activePane="topRight" state="frozen"/>
      <selection pane="topRight" activeCell="F12" sqref="F12"/>
    </sheetView>
  </sheetViews>
  <sheetFormatPr defaultColWidth="11.4609375" defaultRowHeight="14.6"/>
  <cols>
    <col min="1" max="1" width="11.4609375" style="4"/>
    <col min="2" max="2" width="29.4609375" style="4" customWidth="1"/>
    <col min="3" max="16384" width="11.4609375" style="4"/>
  </cols>
  <sheetData>
    <row r="1" spans="1:10">
      <c r="A1" s="4" t="s">
        <v>408</v>
      </c>
    </row>
    <row r="2" spans="1:10">
      <c r="A2" s="4" t="s">
        <v>54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tabSelected="1" zoomScaleNormal="100" workbookViewId="0">
      <pane xSplit="1" topLeftCell="B1" activePane="topRight" state="frozen"/>
      <selection pane="topRight" activeCell="L3" sqref="L3:T19"/>
    </sheetView>
  </sheetViews>
  <sheetFormatPr defaultColWidth="11.4609375" defaultRowHeight="14.6"/>
  <cols>
    <col min="1" max="1" width="33.53515625" style="4" customWidth="1"/>
    <col min="2" max="2" width="26.07421875" style="4" customWidth="1"/>
    <col min="3" max="16384" width="11.460937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486</v>
      </c>
      <c r="B6" s="4" t="s">
        <v>303</v>
      </c>
      <c r="C6" s="26">
        <v>0.5</v>
      </c>
      <c r="D6" s="26">
        <v>0.5</v>
      </c>
      <c r="E6" s="26">
        <v>0.5</v>
      </c>
      <c r="F6" s="26">
        <v>0.5</v>
      </c>
      <c r="G6" s="26">
        <v>0.5</v>
      </c>
      <c r="H6" s="26">
        <v>0.5</v>
      </c>
      <c r="I6" s="26">
        <v>0.5</v>
      </c>
      <c r="J6" s="26">
        <v>0.5</v>
      </c>
    </row>
    <row r="7" spans="1:10">
      <c r="A7" t="s">
        <v>482</v>
      </c>
      <c r="B7" s="4" t="s">
        <v>303</v>
      </c>
      <c r="C7" s="26">
        <v>0.5</v>
      </c>
      <c r="D7" s="26">
        <v>0.5</v>
      </c>
      <c r="E7" s="26">
        <v>0.5</v>
      </c>
      <c r="F7" s="26">
        <v>0.5</v>
      </c>
      <c r="G7" s="26">
        <v>0.5</v>
      </c>
      <c r="H7" s="26">
        <v>0.5</v>
      </c>
      <c r="I7" s="26">
        <v>0.5</v>
      </c>
      <c r="J7" s="26">
        <v>0.5</v>
      </c>
    </row>
    <row r="8" spans="1:10">
      <c r="A8" t="s">
        <v>485</v>
      </c>
      <c r="B8" s="4" t="s">
        <v>303</v>
      </c>
      <c r="C8" s="26">
        <v>0.5</v>
      </c>
      <c r="D8" s="26">
        <v>0.5</v>
      </c>
      <c r="E8" s="26">
        <v>0.5</v>
      </c>
      <c r="F8" s="26">
        <v>0.5</v>
      </c>
      <c r="G8" s="26">
        <v>0.5</v>
      </c>
      <c r="H8" s="26">
        <v>0.5</v>
      </c>
      <c r="I8" s="26">
        <v>0.5</v>
      </c>
      <c r="J8" s="26">
        <v>0.5</v>
      </c>
    </row>
    <row r="9" spans="1:10">
      <c r="A9" t="s">
        <v>483</v>
      </c>
      <c r="B9" s="4" t="s">
        <v>303</v>
      </c>
      <c r="C9" s="26">
        <v>0.5</v>
      </c>
      <c r="D9" s="26">
        <v>0.5</v>
      </c>
      <c r="E9" s="26">
        <v>0.5</v>
      </c>
      <c r="F9" s="26">
        <v>0.5</v>
      </c>
      <c r="G9" s="26">
        <v>0.5</v>
      </c>
      <c r="H9" s="26">
        <v>0.5</v>
      </c>
      <c r="I9" s="26">
        <v>0.5</v>
      </c>
      <c r="J9" s="26">
        <v>0.5</v>
      </c>
    </row>
    <row r="10" spans="1:10">
      <c r="A10" t="s">
        <v>479</v>
      </c>
      <c r="B10" s="4" t="s">
        <v>303</v>
      </c>
      <c r="C10" s="26">
        <v>0.125</v>
      </c>
      <c r="D10" s="26">
        <v>0.125</v>
      </c>
      <c r="E10" s="26">
        <v>0.125</v>
      </c>
      <c r="F10" s="26">
        <v>0.125</v>
      </c>
      <c r="G10" s="26">
        <v>0.125</v>
      </c>
      <c r="H10" s="26">
        <v>0.125</v>
      </c>
      <c r="I10" s="26">
        <v>0.125</v>
      </c>
      <c r="J10" s="26">
        <v>0.125</v>
      </c>
    </row>
    <row r="11" spans="1:10">
      <c r="A11" t="s">
        <v>478</v>
      </c>
      <c r="B11" s="4" t="s">
        <v>303</v>
      </c>
      <c r="C11" s="26">
        <v>0.125</v>
      </c>
      <c r="D11" s="26">
        <v>0.125</v>
      </c>
      <c r="E11" s="26">
        <v>0.125</v>
      </c>
      <c r="F11" s="26">
        <v>0.125</v>
      </c>
      <c r="G11" s="26">
        <v>0.125</v>
      </c>
      <c r="H11" s="26">
        <v>0.125</v>
      </c>
      <c r="I11" s="26">
        <v>0.125</v>
      </c>
      <c r="J11" s="26">
        <v>0.125</v>
      </c>
    </row>
    <row r="12" spans="1:10">
      <c r="A12" t="s">
        <v>480</v>
      </c>
      <c r="B12" s="4" t="s">
        <v>303</v>
      </c>
      <c r="C12" s="26">
        <v>0.125</v>
      </c>
      <c r="D12" s="26">
        <v>0.125</v>
      </c>
      <c r="E12" s="26">
        <v>0.125</v>
      </c>
      <c r="F12" s="26">
        <v>0.125</v>
      </c>
      <c r="G12" s="26">
        <v>0.125</v>
      </c>
      <c r="H12" s="26">
        <v>0.125</v>
      </c>
      <c r="I12" s="26">
        <v>0.125</v>
      </c>
      <c r="J12" s="26">
        <v>0.125</v>
      </c>
    </row>
    <row r="13" spans="1:10">
      <c r="A13" t="s">
        <v>484</v>
      </c>
      <c r="B13" s="4" t="s">
        <v>303</v>
      </c>
      <c r="C13" s="26">
        <v>0.5</v>
      </c>
      <c r="D13" s="26">
        <v>0.5</v>
      </c>
      <c r="E13" s="26">
        <v>0.5</v>
      </c>
      <c r="F13" s="26">
        <v>0.5</v>
      </c>
      <c r="G13" s="26">
        <v>0.5</v>
      </c>
      <c r="H13" s="26">
        <v>0.5</v>
      </c>
      <c r="I13" s="26">
        <v>0.5</v>
      </c>
      <c r="J13" s="26">
        <v>0.5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workbookViewId="0">
      <selection activeCell="C65" sqref="C65"/>
    </sheetView>
  </sheetViews>
  <sheetFormatPr defaultColWidth="11.4609375" defaultRowHeight="14.6"/>
  <cols>
    <col min="1" max="1" width="21.4609375" customWidth="1"/>
    <col min="2" max="2" width="24.4609375" customWidth="1"/>
    <col min="3" max="3" width="18.53515625" style="19" bestFit="1" customWidth="1"/>
    <col min="4" max="4" width="16.4609375" style="19" customWidth="1"/>
    <col min="5" max="10" width="18.53515625" style="19" bestFit="1" customWidth="1"/>
    <col min="13" max="15" width="12.074218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485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483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609375" defaultRowHeight="14.6"/>
  <cols>
    <col min="1" max="1" width="20.84375" style="17" customWidth="1"/>
    <col min="2" max="2" width="15.53515625" bestFit="1" customWidth="1"/>
  </cols>
  <sheetData>
    <row r="1" spans="1:10">
      <c r="A1" s="17" t="s">
        <v>411</v>
      </c>
      <c r="C1" s="19"/>
      <c r="D1" s="19"/>
      <c r="E1" s="19"/>
      <c r="F1" s="48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609375" defaultRowHeight="14.6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609375" defaultRowHeight="14.6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609375" defaultRowHeight="14.6"/>
  <cols>
    <col min="1" max="1" width="24.07421875" customWidth="1"/>
    <col min="2" max="2" width="24" customWidth="1"/>
    <col min="3" max="3" width="23.4609375" bestFit="1" customWidth="1"/>
    <col min="10" max="10" width="11.843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609375" defaultRowHeight="14.6"/>
  <cols>
    <col min="1" max="1" width="20.84375" style="17" customWidth="1"/>
    <col min="2" max="2" width="23.460937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609375" defaultRowHeight="14.6"/>
  <cols>
    <col min="1" max="2" width="23.4609375" customWidth="1"/>
    <col min="3" max="8" width="17.074218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workbookViewId="0">
      <selection activeCell="H12" sqref="H12"/>
    </sheetView>
  </sheetViews>
  <sheetFormatPr defaultColWidth="9.07421875" defaultRowHeight="14.6"/>
  <cols>
    <col min="1" max="1" width="16.765625" customWidth="1"/>
    <col min="2" max="2" width="16.84375" bestFit="1" customWidth="1"/>
    <col min="3" max="3" width="5" bestFit="1" customWidth="1"/>
    <col min="4" max="4" width="15" bestFit="1" customWidth="1"/>
    <col min="5" max="5" width="13.84375" bestFit="1" customWidth="1"/>
    <col min="6" max="6" width="12.84375" bestFit="1" customWidth="1"/>
    <col min="7" max="7" width="13.84375" bestFit="1" customWidth="1"/>
    <col min="8" max="8" width="21" bestFit="1" customWidth="1"/>
    <col min="9" max="9" width="19.84375" bestFit="1" customWidth="1"/>
    <col min="10" max="10" width="19" bestFit="1" customWidth="1"/>
    <col min="11" max="11" width="19.84375" bestFit="1" customWidth="1"/>
    <col min="12" max="12" width="18.23046875" bestFit="1" customWidth="1"/>
    <col min="13" max="13" width="17.4609375" bestFit="1" customWidth="1"/>
    <col min="14" max="14" width="15.84375" bestFit="1" customWidth="1"/>
    <col min="15" max="15" width="16.07421875" bestFit="1" customWidth="1"/>
    <col min="16" max="16" width="22.4609375" bestFit="1" customWidth="1"/>
    <col min="17" max="17" width="20.84375" bestFit="1" customWidth="1"/>
    <col min="18" max="18" width="20" bestFit="1" customWidth="1"/>
    <col min="19" max="19" width="20.4609375" bestFit="1" customWidth="1"/>
    <col min="20" max="20" width="19.07421875" bestFit="1" customWidth="1"/>
    <col min="21" max="21" width="19.460937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492</v>
      </c>
      <c r="H5" t="s">
        <v>48</v>
      </c>
      <c r="I5" t="s">
        <v>49</v>
      </c>
      <c r="J5" t="s">
        <v>50</v>
      </c>
      <c r="K5" t="s">
        <v>491</v>
      </c>
      <c r="L5" t="s">
        <v>43</v>
      </c>
    </row>
    <row r="6" spans="1:12">
      <c r="A6" t="s">
        <v>482</v>
      </c>
      <c r="B6" t="s">
        <v>146</v>
      </c>
      <c r="C6">
        <v>2018</v>
      </c>
      <c r="D6" s="46">
        <v>0.26347400832432255</v>
      </c>
      <c r="E6">
        <v>0</v>
      </c>
      <c r="F6" s="46">
        <v>0.68060491961483049</v>
      </c>
      <c r="G6" s="57">
        <v>5.5921072060847003E-2</v>
      </c>
      <c r="H6" s="46">
        <v>0.26347400832432255</v>
      </c>
      <c r="I6" s="46">
        <v>0</v>
      </c>
      <c r="J6" s="46">
        <v>0.68060491961483049</v>
      </c>
      <c r="K6" s="46">
        <v>5.5921072060847003E-2</v>
      </c>
    </row>
    <row r="7" spans="1:12">
      <c r="A7" t="s">
        <v>484</v>
      </c>
      <c r="B7" t="s">
        <v>146</v>
      </c>
      <c r="C7">
        <v>2018</v>
      </c>
      <c r="D7" s="46">
        <v>0.82491567498970286</v>
      </c>
      <c r="E7">
        <v>0</v>
      </c>
      <c r="F7" s="46">
        <v>0</v>
      </c>
      <c r="G7" s="57">
        <v>0.17508432501029708</v>
      </c>
      <c r="H7" s="46">
        <v>0.82491567498970286</v>
      </c>
      <c r="I7" s="46">
        <v>0</v>
      </c>
      <c r="J7" s="46">
        <v>0</v>
      </c>
      <c r="K7" s="46">
        <v>0.17508432501029708</v>
      </c>
    </row>
    <row r="8" spans="1:12">
      <c r="A8" t="s">
        <v>479</v>
      </c>
      <c r="B8" t="s">
        <v>146</v>
      </c>
      <c r="C8">
        <v>2018</v>
      </c>
      <c r="D8" s="46">
        <v>0.82491567498970297</v>
      </c>
      <c r="E8">
        <v>0</v>
      </c>
      <c r="F8" s="46">
        <v>0</v>
      </c>
      <c r="G8" s="57">
        <v>0.17508432501029714</v>
      </c>
      <c r="H8" s="46">
        <v>0.82491567498970297</v>
      </c>
      <c r="I8" s="46">
        <v>0</v>
      </c>
      <c r="J8" s="46">
        <v>0</v>
      </c>
      <c r="K8" s="46">
        <v>0.17508432501029714</v>
      </c>
    </row>
    <row r="9" spans="1:12">
      <c r="A9" t="s">
        <v>483</v>
      </c>
      <c r="B9" t="s">
        <v>146</v>
      </c>
      <c r="C9">
        <v>2018</v>
      </c>
      <c r="D9" s="46">
        <v>0.82491567498970286</v>
      </c>
      <c r="E9">
        <v>0</v>
      </c>
      <c r="F9" s="46">
        <v>0</v>
      </c>
      <c r="G9" s="57">
        <v>0.17508432501029708</v>
      </c>
      <c r="H9" s="46">
        <v>0.82491567498970286</v>
      </c>
      <c r="I9" s="46">
        <v>0</v>
      </c>
      <c r="J9" s="46">
        <v>0</v>
      </c>
      <c r="K9" s="46">
        <v>0.17508432501029708</v>
      </c>
    </row>
    <row r="10" spans="1:12">
      <c r="A10" t="s">
        <v>478</v>
      </c>
      <c r="B10" t="s">
        <v>146</v>
      </c>
      <c r="C10">
        <v>2018</v>
      </c>
      <c r="D10" s="46">
        <v>0.82491567498970297</v>
      </c>
      <c r="E10">
        <v>0</v>
      </c>
      <c r="F10" s="46">
        <v>0</v>
      </c>
      <c r="G10" s="57">
        <v>0.17508432501029708</v>
      </c>
      <c r="H10" s="46">
        <v>0.82491567498970297</v>
      </c>
      <c r="I10" s="46">
        <v>0</v>
      </c>
      <c r="J10" s="46">
        <v>0</v>
      </c>
      <c r="K10" s="46">
        <v>0.17508432501029708</v>
      </c>
    </row>
    <row r="11" spans="1:12">
      <c r="A11" t="s">
        <v>486</v>
      </c>
      <c r="B11" t="s">
        <v>146</v>
      </c>
      <c r="C11">
        <v>2018</v>
      </c>
      <c r="D11" s="46">
        <v>0.82491567498970286</v>
      </c>
      <c r="E11">
        <v>0</v>
      </c>
      <c r="F11" s="46">
        <v>0</v>
      </c>
      <c r="G11" s="57">
        <v>0.17508432501029714</v>
      </c>
      <c r="H11" s="46">
        <v>0.82491567498970286</v>
      </c>
      <c r="I11" s="46">
        <v>0</v>
      </c>
      <c r="J11" s="46">
        <v>0</v>
      </c>
      <c r="K11" s="46">
        <v>0.17508432501029714</v>
      </c>
    </row>
    <row r="12" spans="1:12">
      <c r="A12" t="s">
        <v>485</v>
      </c>
      <c r="B12" t="s">
        <v>146</v>
      </c>
      <c r="C12">
        <v>2018</v>
      </c>
      <c r="D12" s="46">
        <v>0.82491567498970297</v>
      </c>
      <c r="E12">
        <v>0</v>
      </c>
      <c r="F12" s="46">
        <v>0</v>
      </c>
      <c r="G12" s="57">
        <v>0.17508432501029708</v>
      </c>
      <c r="H12" s="46">
        <v>0.82491567498970297</v>
      </c>
      <c r="I12" s="46">
        <v>0</v>
      </c>
      <c r="J12" s="46">
        <v>0</v>
      </c>
      <c r="K12" s="46">
        <v>0.17508432501029708</v>
      </c>
    </row>
    <row r="13" spans="1:12">
      <c r="A13" t="s">
        <v>480</v>
      </c>
      <c r="B13" t="s">
        <v>146</v>
      </c>
      <c r="C13">
        <v>2018</v>
      </c>
      <c r="D13" s="46">
        <v>0.82491567498970297</v>
      </c>
      <c r="E13">
        <v>0</v>
      </c>
      <c r="F13" s="46">
        <v>0</v>
      </c>
      <c r="G13" s="57">
        <v>0.17508432501029708</v>
      </c>
      <c r="H13" s="46">
        <v>0.82491567498970297</v>
      </c>
      <c r="I13" s="46">
        <v>0</v>
      </c>
      <c r="J13" s="46">
        <v>0</v>
      </c>
      <c r="K13" s="46">
        <v>0.17508432501029708</v>
      </c>
    </row>
    <row r="14" spans="1:12">
      <c r="A14" t="s">
        <v>482</v>
      </c>
      <c r="B14" t="s">
        <v>146</v>
      </c>
      <c r="C14">
        <v>2021</v>
      </c>
      <c r="D14" s="46">
        <v>0.28442470194383357</v>
      </c>
      <c r="E14">
        <v>0</v>
      </c>
      <c r="F14" s="46">
        <v>0.51588995433620521</v>
      </c>
      <c r="G14" s="57">
        <v>0.19968534371996124</v>
      </c>
      <c r="H14" s="46">
        <v>0.28300257843411442</v>
      </c>
      <c r="I14" s="46">
        <v>0</v>
      </c>
      <c r="J14" s="46">
        <v>0.51331050456452421</v>
      </c>
      <c r="K14" s="46">
        <v>0.19868691700136143</v>
      </c>
      <c r="L14">
        <v>2.8442470194383357E-5</v>
      </c>
    </row>
    <row r="15" spans="1:12">
      <c r="A15" t="s">
        <v>484</v>
      </c>
      <c r="B15" t="s">
        <v>146</v>
      </c>
      <c r="C15">
        <v>2021</v>
      </c>
      <c r="D15" s="46">
        <v>0.58752075998307429</v>
      </c>
      <c r="E15">
        <v>0</v>
      </c>
      <c r="F15" s="46">
        <v>0</v>
      </c>
      <c r="G15" s="57">
        <v>0.41247924001692565</v>
      </c>
      <c r="H15" s="46">
        <v>0.58458315618315893</v>
      </c>
      <c r="I15" s="46">
        <v>0</v>
      </c>
      <c r="J15" s="46">
        <v>0</v>
      </c>
      <c r="K15" s="46">
        <v>0.41041684381684101</v>
      </c>
      <c r="L15">
        <v>5.8752075998307429E-5</v>
      </c>
    </row>
    <row r="16" spans="1:12">
      <c r="A16" t="s">
        <v>479</v>
      </c>
      <c r="B16" t="s">
        <v>146</v>
      </c>
      <c r="C16">
        <v>2021</v>
      </c>
      <c r="D16" s="46">
        <v>0.58752075998307429</v>
      </c>
      <c r="E16">
        <v>0</v>
      </c>
      <c r="F16" s="46">
        <v>0</v>
      </c>
      <c r="G16" s="57">
        <v>0.41247924001692576</v>
      </c>
      <c r="H16" s="46">
        <v>0.58458315618315893</v>
      </c>
      <c r="I16" s="46">
        <v>0</v>
      </c>
      <c r="J16" s="46">
        <v>0</v>
      </c>
      <c r="K16" s="46">
        <v>0.41041684381684113</v>
      </c>
      <c r="L16">
        <v>5.8752075998307429E-5</v>
      </c>
    </row>
    <row r="17" spans="1:12">
      <c r="A17" t="s">
        <v>483</v>
      </c>
      <c r="B17" t="s">
        <v>146</v>
      </c>
      <c r="C17">
        <v>2021</v>
      </c>
      <c r="D17" s="46">
        <v>0.5875207599830744</v>
      </c>
      <c r="E17">
        <v>0</v>
      </c>
      <c r="F17" s="46">
        <v>0</v>
      </c>
      <c r="G17" s="57">
        <v>0.41247924001692571</v>
      </c>
      <c r="H17" s="46">
        <v>0.58458315618315904</v>
      </c>
      <c r="I17" s="46">
        <v>0</v>
      </c>
      <c r="J17" s="46">
        <v>0</v>
      </c>
      <c r="K17" s="46">
        <v>0.41041684381684107</v>
      </c>
      <c r="L17">
        <v>5.8752075998307442E-5</v>
      </c>
    </row>
    <row r="18" spans="1:12">
      <c r="A18" t="s">
        <v>478</v>
      </c>
      <c r="B18" t="s">
        <v>146</v>
      </c>
      <c r="C18">
        <v>2021</v>
      </c>
      <c r="D18" s="46">
        <v>0.58752075998307429</v>
      </c>
      <c r="E18">
        <v>0</v>
      </c>
      <c r="F18" s="46">
        <v>0</v>
      </c>
      <c r="G18" s="57">
        <v>0.41247924001692565</v>
      </c>
      <c r="H18" s="46">
        <v>0.58458315618315893</v>
      </c>
      <c r="I18" s="46">
        <v>0</v>
      </c>
      <c r="J18" s="46">
        <v>0</v>
      </c>
      <c r="K18" s="46">
        <v>0.41041684381684101</v>
      </c>
      <c r="L18">
        <v>5.8752075998307429E-5</v>
      </c>
    </row>
    <row r="19" spans="1:12">
      <c r="A19" t="s">
        <v>486</v>
      </c>
      <c r="B19" t="s">
        <v>146</v>
      </c>
      <c r="C19">
        <v>2021</v>
      </c>
      <c r="D19" s="46">
        <v>0.5875207599830744</v>
      </c>
      <c r="E19">
        <v>0</v>
      </c>
      <c r="F19" s="46">
        <v>0</v>
      </c>
      <c r="G19" s="57">
        <v>0.41247924001692571</v>
      </c>
      <c r="H19" s="46">
        <v>0.58458315618315904</v>
      </c>
      <c r="I19" s="46">
        <v>0</v>
      </c>
      <c r="J19" s="46">
        <v>0</v>
      </c>
      <c r="K19" s="46">
        <v>0.41041684381684107</v>
      </c>
      <c r="L19">
        <v>5.8752075998307442E-5</v>
      </c>
    </row>
    <row r="20" spans="1:12">
      <c r="A20" t="s">
        <v>485</v>
      </c>
      <c r="B20" t="s">
        <v>146</v>
      </c>
      <c r="C20">
        <v>2021</v>
      </c>
      <c r="D20" s="46">
        <v>0.58752075998307429</v>
      </c>
      <c r="E20">
        <v>0</v>
      </c>
      <c r="F20" s="46">
        <v>0</v>
      </c>
      <c r="G20" s="57">
        <v>0.41247924001692571</v>
      </c>
      <c r="H20" s="46">
        <v>0.58458315618315893</v>
      </c>
      <c r="I20" s="46">
        <v>0</v>
      </c>
      <c r="J20" s="46">
        <v>0</v>
      </c>
      <c r="K20" s="46">
        <v>0.41041684381684107</v>
      </c>
      <c r="L20">
        <v>5.8752075998307429E-5</v>
      </c>
    </row>
    <row r="21" spans="1:12">
      <c r="A21" t="s">
        <v>480</v>
      </c>
      <c r="B21" t="s">
        <v>146</v>
      </c>
      <c r="C21">
        <v>2021</v>
      </c>
      <c r="D21" s="46">
        <v>0.5875207599830744</v>
      </c>
      <c r="E21">
        <v>0</v>
      </c>
      <c r="F21" s="46">
        <v>0</v>
      </c>
      <c r="G21" s="57">
        <v>0.41247924001692571</v>
      </c>
      <c r="H21" s="46">
        <v>0.58458315618315904</v>
      </c>
      <c r="I21" s="46">
        <v>0</v>
      </c>
      <c r="J21" s="46">
        <v>0</v>
      </c>
      <c r="K21" s="46">
        <v>0.41041684381684107</v>
      </c>
      <c r="L21">
        <v>5.8752075998307442E-5</v>
      </c>
    </row>
    <row r="22" spans="1:12">
      <c r="A22" t="s">
        <v>482</v>
      </c>
      <c r="B22" t="s">
        <v>146</v>
      </c>
      <c r="C22">
        <v>2025</v>
      </c>
      <c r="D22">
        <v>0.28158045492439521</v>
      </c>
      <c r="E22">
        <v>0</v>
      </c>
      <c r="F22">
        <v>0.5107310547928432</v>
      </c>
      <c r="G22">
        <v>0.19768849028276164</v>
      </c>
      <c r="H22" s="46">
        <v>0.13173700416216128</v>
      </c>
      <c r="I22" s="46">
        <v>0</v>
      </c>
      <c r="J22" s="46">
        <v>0.34030245980741525</v>
      </c>
      <c r="K22" s="46">
        <v>2.7960536030423502E-2</v>
      </c>
      <c r="L22">
        <v>8.4474136477318551E-3</v>
      </c>
    </row>
    <row r="23" spans="1:12">
      <c r="A23" t="s">
        <v>484</v>
      </c>
      <c r="B23" t="s">
        <v>146</v>
      </c>
      <c r="C23">
        <v>2025</v>
      </c>
      <c r="D23">
        <v>0.58164555238324356</v>
      </c>
      <c r="E23">
        <v>0</v>
      </c>
      <c r="F23">
        <v>0</v>
      </c>
      <c r="G23">
        <v>0.40835444761675638</v>
      </c>
      <c r="H23" s="46">
        <v>0.41245783749485143</v>
      </c>
      <c r="I23" s="46">
        <v>0</v>
      </c>
      <c r="J23" s="46">
        <v>0</v>
      </c>
      <c r="K23" s="46">
        <v>8.7542162505148541E-2</v>
      </c>
      <c r="L23">
        <v>1.7449366571497305E-2</v>
      </c>
    </row>
    <row r="24" spans="1:12">
      <c r="A24" t="s">
        <v>479</v>
      </c>
      <c r="B24" t="s">
        <v>146</v>
      </c>
      <c r="C24">
        <v>2025</v>
      </c>
      <c r="D24">
        <v>0.58164555238324356</v>
      </c>
      <c r="E24">
        <v>0</v>
      </c>
      <c r="F24">
        <v>0</v>
      </c>
      <c r="G24">
        <v>0.40835444761675649</v>
      </c>
      <c r="H24" s="46">
        <v>0.41245783749485149</v>
      </c>
      <c r="I24" s="46">
        <v>0</v>
      </c>
      <c r="J24" s="46">
        <v>0</v>
      </c>
      <c r="K24" s="46">
        <v>8.7542162505148569E-2</v>
      </c>
      <c r="L24">
        <v>1.7449366571497305E-2</v>
      </c>
    </row>
    <row r="25" spans="1:12">
      <c r="A25" t="s">
        <v>483</v>
      </c>
      <c r="B25" t="s">
        <v>146</v>
      </c>
      <c r="C25">
        <v>2025</v>
      </c>
      <c r="D25">
        <v>0.58164555238324367</v>
      </c>
      <c r="E25">
        <v>0</v>
      </c>
      <c r="F25">
        <v>0</v>
      </c>
      <c r="G25">
        <v>0.40835444761675643</v>
      </c>
      <c r="H25" s="46">
        <v>0.41245783749485143</v>
      </c>
      <c r="I25" s="46">
        <v>0</v>
      </c>
      <c r="J25" s="46">
        <v>0</v>
      </c>
      <c r="K25" s="46">
        <v>8.7542162505148541E-2</v>
      </c>
      <c r="L25">
        <v>1.7449366571497309E-2</v>
      </c>
    </row>
    <row r="26" spans="1:12">
      <c r="A26" t="s">
        <v>478</v>
      </c>
      <c r="B26" t="s">
        <v>146</v>
      </c>
      <c r="C26">
        <v>2025</v>
      </c>
      <c r="D26">
        <v>0.58164555238324356</v>
      </c>
      <c r="E26">
        <v>0</v>
      </c>
      <c r="F26">
        <v>0</v>
      </c>
      <c r="G26">
        <v>0.40835444761675638</v>
      </c>
      <c r="H26" s="46">
        <v>0.41245783749485149</v>
      </c>
      <c r="I26" s="46">
        <v>0</v>
      </c>
      <c r="J26" s="46">
        <v>0</v>
      </c>
      <c r="K26" s="46">
        <v>8.7542162505148541E-2</v>
      </c>
      <c r="L26">
        <v>1.7449366571497305E-2</v>
      </c>
    </row>
    <row r="27" spans="1:12">
      <c r="A27" t="s">
        <v>486</v>
      </c>
      <c r="B27" t="s">
        <v>146</v>
      </c>
      <c r="C27">
        <v>2025</v>
      </c>
      <c r="D27">
        <v>0.58164555238324367</v>
      </c>
      <c r="E27">
        <v>0</v>
      </c>
      <c r="F27">
        <v>0</v>
      </c>
      <c r="G27">
        <v>0.40835444761675643</v>
      </c>
      <c r="H27" s="46">
        <v>0.41245783749485143</v>
      </c>
      <c r="I27" s="46">
        <v>0</v>
      </c>
      <c r="J27" s="46">
        <v>0</v>
      </c>
      <c r="K27" s="46">
        <v>8.7542162505148569E-2</v>
      </c>
      <c r="L27">
        <v>1.7449366571497309E-2</v>
      </c>
    </row>
    <row r="28" spans="1:12">
      <c r="A28" t="s">
        <v>485</v>
      </c>
      <c r="B28" t="s">
        <v>146</v>
      </c>
      <c r="C28">
        <v>2025</v>
      </c>
      <c r="D28">
        <v>0.58164555238324356</v>
      </c>
      <c r="E28">
        <v>0</v>
      </c>
      <c r="F28">
        <v>0</v>
      </c>
      <c r="G28">
        <v>0.40835444761675643</v>
      </c>
      <c r="H28" s="46">
        <v>0.41245783749485149</v>
      </c>
      <c r="I28" s="46">
        <v>0</v>
      </c>
      <c r="J28" s="46">
        <v>0</v>
      </c>
      <c r="K28" s="46">
        <v>8.7542162505148541E-2</v>
      </c>
      <c r="L28">
        <v>1.7449366571497305E-2</v>
      </c>
    </row>
    <row r="29" spans="1:12">
      <c r="A29" t="s">
        <v>480</v>
      </c>
      <c r="B29" t="s">
        <v>146</v>
      </c>
      <c r="C29">
        <v>2025</v>
      </c>
      <c r="D29">
        <v>0.58164555238324367</v>
      </c>
      <c r="E29">
        <v>0</v>
      </c>
      <c r="F29">
        <v>0</v>
      </c>
      <c r="G29">
        <v>0.40835444761675643</v>
      </c>
      <c r="H29" s="46">
        <v>0.41245783749485149</v>
      </c>
      <c r="I29" s="46">
        <v>0</v>
      </c>
      <c r="J29" s="46">
        <v>0</v>
      </c>
      <c r="K29" s="46">
        <v>8.7542162505148541E-2</v>
      </c>
      <c r="L29">
        <v>1.7449366571497309E-2</v>
      </c>
    </row>
    <row r="30" spans="1:12">
      <c r="A30" t="s">
        <v>482</v>
      </c>
      <c r="B30" t="s">
        <v>146</v>
      </c>
      <c r="C30">
        <v>2030</v>
      </c>
      <c r="D30">
        <v>0.27876465037515125</v>
      </c>
      <c r="E30">
        <v>0</v>
      </c>
      <c r="F30">
        <v>0.50562374424491474</v>
      </c>
      <c r="G30">
        <v>0.19571160537993401</v>
      </c>
      <c r="H30" s="46">
        <v>6.5868502081080638E-2</v>
      </c>
      <c r="I30" s="46">
        <v>0</v>
      </c>
      <c r="J30" s="46">
        <v>0.17015122990370762</v>
      </c>
      <c r="K30" s="46">
        <v>1.3980268015211751E-2</v>
      </c>
      <c r="L30">
        <v>3.6239404548769664E-2</v>
      </c>
    </row>
    <row r="31" spans="1:12">
      <c r="A31" t="s">
        <v>484</v>
      </c>
      <c r="B31" t="s">
        <v>146</v>
      </c>
      <c r="C31">
        <v>2030</v>
      </c>
      <c r="D31">
        <v>0.57582909685941108</v>
      </c>
      <c r="E31">
        <v>0</v>
      </c>
      <c r="F31">
        <v>0</v>
      </c>
      <c r="G31">
        <v>0.40427090314058883</v>
      </c>
      <c r="H31" s="46">
        <v>0.20622891874742572</v>
      </c>
      <c r="I31" s="46">
        <v>0</v>
      </c>
      <c r="J31" s="46">
        <v>0</v>
      </c>
      <c r="K31" s="46">
        <v>4.377108125257427E-2</v>
      </c>
      <c r="L31">
        <v>7.4857782591723446E-2</v>
      </c>
    </row>
    <row r="32" spans="1:12">
      <c r="A32" t="s">
        <v>479</v>
      </c>
      <c r="B32" t="s">
        <v>146</v>
      </c>
      <c r="C32">
        <v>2030</v>
      </c>
      <c r="D32">
        <v>0.57582909685941108</v>
      </c>
      <c r="E32">
        <v>0</v>
      </c>
      <c r="F32">
        <v>0</v>
      </c>
      <c r="G32">
        <v>0.40427090314058894</v>
      </c>
      <c r="H32" s="46">
        <v>0.20622891874742574</v>
      </c>
      <c r="I32" s="46">
        <v>0</v>
      </c>
      <c r="J32" s="46">
        <v>0</v>
      </c>
      <c r="K32" s="46">
        <v>4.3771081252574284E-2</v>
      </c>
      <c r="L32">
        <v>7.4857782591723446E-2</v>
      </c>
    </row>
    <row r="33" spans="1:12">
      <c r="A33" t="s">
        <v>483</v>
      </c>
      <c r="B33" t="s">
        <v>146</v>
      </c>
      <c r="C33">
        <v>2030</v>
      </c>
      <c r="D33">
        <v>0.57582909685941119</v>
      </c>
      <c r="E33">
        <v>0</v>
      </c>
      <c r="F33">
        <v>0</v>
      </c>
      <c r="G33">
        <v>0.40427090314058889</v>
      </c>
      <c r="H33" s="46">
        <v>0.20622891874742572</v>
      </c>
      <c r="I33" s="46">
        <v>0</v>
      </c>
      <c r="J33" s="46">
        <v>0</v>
      </c>
      <c r="K33" s="46">
        <v>4.377108125257427E-2</v>
      </c>
      <c r="L33">
        <v>7.485778259172346E-2</v>
      </c>
    </row>
    <row r="34" spans="1:12">
      <c r="A34" t="s">
        <v>478</v>
      </c>
      <c r="B34" t="s">
        <v>146</v>
      </c>
      <c r="C34">
        <v>2030</v>
      </c>
      <c r="D34">
        <v>0.57582909685941108</v>
      </c>
      <c r="E34">
        <v>0</v>
      </c>
      <c r="F34">
        <v>0</v>
      </c>
      <c r="G34">
        <v>0.40427090314058883</v>
      </c>
      <c r="H34" s="46">
        <v>0.20622891874742574</v>
      </c>
      <c r="I34" s="46">
        <v>0</v>
      </c>
      <c r="J34" s="46">
        <v>0</v>
      </c>
      <c r="K34" s="46">
        <v>4.377108125257427E-2</v>
      </c>
      <c r="L34">
        <v>7.4857782591723446E-2</v>
      </c>
    </row>
    <row r="35" spans="1:12">
      <c r="A35" t="s">
        <v>486</v>
      </c>
      <c r="B35" t="s">
        <v>146</v>
      </c>
      <c r="C35">
        <v>2030</v>
      </c>
      <c r="D35">
        <v>0.57582909685941119</v>
      </c>
      <c r="E35">
        <v>0</v>
      </c>
      <c r="F35">
        <v>0</v>
      </c>
      <c r="G35">
        <v>0.40427090314058889</v>
      </c>
      <c r="H35" s="46">
        <v>0.20622891874742572</v>
      </c>
      <c r="I35" s="46">
        <v>0</v>
      </c>
      <c r="J35" s="46">
        <v>0</v>
      </c>
      <c r="K35" s="46">
        <v>4.3771081252574284E-2</v>
      </c>
      <c r="L35">
        <v>7.485778259172346E-2</v>
      </c>
    </row>
    <row r="36" spans="1:12">
      <c r="A36" t="s">
        <v>485</v>
      </c>
      <c r="B36" t="s">
        <v>146</v>
      </c>
      <c r="C36">
        <v>2030</v>
      </c>
      <c r="D36">
        <v>0.57582909685941108</v>
      </c>
      <c r="E36">
        <v>0</v>
      </c>
      <c r="F36">
        <v>0</v>
      </c>
      <c r="G36">
        <v>0.40427090314058889</v>
      </c>
      <c r="H36" s="46">
        <v>0.20622891874742574</v>
      </c>
      <c r="I36" s="46">
        <v>0</v>
      </c>
      <c r="J36" s="46">
        <v>0</v>
      </c>
      <c r="K36" s="46">
        <v>4.377108125257427E-2</v>
      </c>
      <c r="L36">
        <v>7.4857782591723446E-2</v>
      </c>
    </row>
    <row r="37" spans="1:12">
      <c r="A37" t="s">
        <v>480</v>
      </c>
      <c r="B37" t="s">
        <v>146</v>
      </c>
      <c r="C37">
        <v>2030</v>
      </c>
      <c r="D37">
        <v>0.57582909685941119</v>
      </c>
      <c r="E37">
        <v>0</v>
      </c>
      <c r="F37">
        <v>0</v>
      </c>
      <c r="G37">
        <v>0.40427090314058889</v>
      </c>
      <c r="H37" s="46">
        <v>0.20622891874742574</v>
      </c>
      <c r="I37" s="46">
        <v>0</v>
      </c>
      <c r="J37" s="46">
        <v>0</v>
      </c>
      <c r="K37" s="46">
        <v>4.377108125257427E-2</v>
      </c>
      <c r="L37">
        <v>7.485778259172346E-2</v>
      </c>
    </row>
    <row r="38" spans="1:12">
      <c r="A38" t="s">
        <v>482</v>
      </c>
      <c r="B38" t="s">
        <v>146</v>
      </c>
      <c r="C38">
        <v>2035</v>
      </c>
      <c r="D38">
        <v>0.27597700387139973</v>
      </c>
      <c r="E38">
        <v>0</v>
      </c>
      <c r="F38">
        <v>0.50056750680246553</v>
      </c>
      <c r="G38">
        <v>0.19375448932613468</v>
      </c>
      <c r="H38" s="46">
        <v>1.0538960332972903E-2</v>
      </c>
      <c r="I38" s="46">
        <v>0</v>
      </c>
      <c r="J38" s="46">
        <v>2.7224196784593219E-2</v>
      </c>
      <c r="K38" s="46">
        <v>2.23684288243388E-3</v>
      </c>
      <c r="L38">
        <v>7.1754021006563931E-2</v>
      </c>
    </row>
    <row r="39" spans="1:12">
      <c r="A39" t="s">
        <v>484</v>
      </c>
      <c r="B39" t="s">
        <v>146</v>
      </c>
      <c r="C39">
        <v>2035</v>
      </c>
      <c r="D39">
        <v>0.57007080589081693</v>
      </c>
      <c r="E39">
        <v>0</v>
      </c>
      <c r="F39">
        <v>0</v>
      </c>
      <c r="G39">
        <v>0.40022819410918292</v>
      </c>
      <c r="H39" s="46">
        <v>3.2996626999588115E-2</v>
      </c>
      <c r="I39" s="46">
        <v>0</v>
      </c>
      <c r="J39" s="46">
        <v>0</v>
      </c>
      <c r="K39" s="46">
        <v>7.0033730004118834E-3</v>
      </c>
      <c r="L39">
        <v>0.14821840953161242</v>
      </c>
    </row>
    <row r="40" spans="1:12">
      <c r="A40" t="s">
        <v>479</v>
      </c>
      <c r="B40" t="s">
        <v>146</v>
      </c>
      <c r="C40">
        <v>2035</v>
      </c>
      <c r="D40">
        <v>0.57007080589081693</v>
      </c>
      <c r="E40">
        <v>0</v>
      </c>
      <c r="F40">
        <v>0</v>
      </c>
      <c r="G40">
        <v>0.40022819410918303</v>
      </c>
      <c r="H40" s="46">
        <v>3.2996626999588122E-2</v>
      </c>
      <c r="I40" s="46">
        <v>0</v>
      </c>
      <c r="J40" s="46">
        <v>0</v>
      </c>
      <c r="K40" s="46">
        <v>7.003373000411886E-3</v>
      </c>
      <c r="L40">
        <v>0.14821840953161242</v>
      </c>
    </row>
    <row r="41" spans="1:12">
      <c r="A41" t="s">
        <v>483</v>
      </c>
      <c r="B41" t="s">
        <v>146</v>
      </c>
      <c r="C41">
        <v>2035</v>
      </c>
      <c r="D41">
        <v>0.57007080589081705</v>
      </c>
      <c r="E41">
        <v>0</v>
      </c>
      <c r="F41">
        <v>0</v>
      </c>
      <c r="G41">
        <v>0.40022819410918298</v>
      </c>
      <c r="H41" s="46">
        <v>3.2996626999588115E-2</v>
      </c>
      <c r="I41" s="46">
        <v>0</v>
      </c>
      <c r="J41" s="46">
        <v>0</v>
      </c>
      <c r="K41" s="46">
        <v>7.0033730004118834E-3</v>
      </c>
      <c r="L41">
        <v>0.14821840953161244</v>
      </c>
    </row>
    <row r="42" spans="1:12">
      <c r="A42" t="s">
        <v>478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0.40022819410918292</v>
      </c>
      <c r="H42" s="46">
        <v>3.2996626999588122E-2</v>
      </c>
      <c r="I42" s="46">
        <v>0</v>
      </c>
      <c r="J42" s="46">
        <v>0</v>
      </c>
      <c r="K42" s="46">
        <v>7.0033730004118834E-3</v>
      </c>
      <c r="L42">
        <v>0.14821840953161242</v>
      </c>
    </row>
    <row r="43" spans="1:12">
      <c r="A43" t="s">
        <v>486</v>
      </c>
      <c r="B43" t="s">
        <v>146</v>
      </c>
      <c r="C43">
        <v>2035</v>
      </c>
      <c r="D43">
        <v>0.57007080589081705</v>
      </c>
      <c r="E43">
        <v>0</v>
      </c>
      <c r="F43">
        <v>0</v>
      </c>
      <c r="G43">
        <v>0.40022819410918298</v>
      </c>
      <c r="H43" s="46">
        <v>3.2996626999588115E-2</v>
      </c>
      <c r="I43" s="46">
        <v>0</v>
      </c>
      <c r="J43" s="46">
        <v>0</v>
      </c>
      <c r="K43" s="46">
        <v>7.003373000411886E-3</v>
      </c>
      <c r="L43">
        <v>0.14821840953161244</v>
      </c>
    </row>
    <row r="44" spans="1:12">
      <c r="A44" t="s">
        <v>485</v>
      </c>
      <c r="B44" t="s">
        <v>146</v>
      </c>
      <c r="C44">
        <v>2035</v>
      </c>
      <c r="D44">
        <v>0.57007080589081693</v>
      </c>
      <c r="E44">
        <v>0</v>
      </c>
      <c r="F44">
        <v>0</v>
      </c>
      <c r="G44">
        <v>0.40022819410918298</v>
      </c>
      <c r="H44" s="46">
        <v>3.2996626999588122E-2</v>
      </c>
      <c r="I44" s="46">
        <v>0</v>
      </c>
      <c r="J44" s="46">
        <v>0</v>
      </c>
      <c r="K44" s="46">
        <v>7.0033730004118834E-3</v>
      </c>
      <c r="L44">
        <v>0.14821840953161242</v>
      </c>
    </row>
    <row r="45" spans="1:12">
      <c r="A45" t="s">
        <v>480</v>
      </c>
      <c r="B45" t="s">
        <v>146</v>
      </c>
      <c r="C45">
        <v>2035</v>
      </c>
      <c r="D45">
        <v>0.57007080589081705</v>
      </c>
      <c r="E45">
        <v>0</v>
      </c>
      <c r="F45">
        <v>0</v>
      </c>
      <c r="G45">
        <v>0.40022819410918298</v>
      </c>
      <c r="H45" s="46">
        <v>3.2996626999588122E-2</v>
      </c>
      <c r="I45" s="46">
        <v>0</v>
      </c>
      <c r="J45" s="46">
        <v>0</v>
      </c>
      <c r="K45" s="46">
        <v>7.0033730004118834E-3</v>
      </c>
      <c r="L45">
        <v>0.14821840953161244</v>
      </c>
    </row>
    <row r="46" spans="1:12">
      <c r="A46" t="s">
        <v>482</v>
      </c>
      <c r="B46" t="s">
        <v>146</v>
      </c>
      <c r="C46">
        <v>2040</v>
      </c>
      <c r="D46">
        <v>0.2732172338326857</v>
      </c>
      <c r="E46">
        <v>0</v>
      </c>
      <c r="F46">
        <v>0.49556183173444085</v>
      </c>
      <c r="G46">
        <v>0.19181694443287334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</row>
    <row r="47" spans="1:12">
      <c r="A47" t="s">
        <v>484</v>
      </c>
      <c r="B47" t="s">
        <v>146</v>
      </c>
      <c r="C47">
        <v>2040</v>
      </c>
      <c r="D47">
        <v>0.56437009783190872</v>
      </c>
      <c r="E47">
        <v>0</v>
      </c>
      <c r="F47">
        <v>0</v>
      </c>
      <c r="G47">
        <v>0.39622591216809111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>
      <c r="A48" t="s">
        <v>479</v>
      </c>
      <c r="B48" t="s">
        <v>146</v>
      </c>
      <c r="C48">
        <v>2040</v>
      </c>
      <c r="D48">
        <v>0.56437009783190872</v>
      </c>
      <c r="E48">
        <v>0</v>
      </c>
      <c r="F48">
        <v>0</v>
      </c>
      <c r="G48">
        <v>0.39622591216809122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</row>
    <row r="49" spans="1:12">
      <c r="A49" t="s">
        <v>483</v>
      </c>
      <c r="B49" t="s">
        <v>146</v>
      </c>
      <c r="C49">
        <v>2040</v>
      </c>
      <c r="D49">
        <v>0.56437009783190883</v>
      </c>
      <c r="E49">
        <v>0</v>
      </c>
      <c r="F49">
        <v>0</v>
      </c>
      <c r="G49">
        <v>0.39622591216809117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</row>
    <row r="50" spans="1:12">
      <c r="A50" t="s">
        <v>478</v>
      </c>
      <c r="B50" t="s">
        <v>146</v>
      </c>
      <c r="C50">
        <v>2040</v>
      </c>
      <c r="D50">
        <v>0.56437009783190872</v>
      </c>
      <c r="E50">
        <v>0</v>
      </c>
      <c r="F50">
        <v>0</v>
      </c>
      <c r="G50">
        <v>0.39622591216809111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</row>
    <row r="51" spans="1:12">
      <c r="A51" t="s">
        <v>486</v>
      </c>
      <c r="B51" t="s">
        <v>146</v>
      </c>
      <c r="C51">
        <v>2040</v>
      </c>
      <c r="D51">
        <v>0.56437009783190883</v>
      </c>
      <c r="E51">
        <v>0</v>
      </c>
      <c r="F51">
        <v>0</v>
      </c>
      <c r="G51">
        <v>0.39622591216809117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485</v>
      </c>
      <c r="B52" t="s">
        <v>146</v>
      </c>
      <c r="C52">
        <v>2040</v>
      </c>
      <c r="D52">
        <v>0.56437009783190872</v>
      </c>
      <c r="E52">
        <v>0</v>
      </c>
      <c r="F52">
        <v>0</v>
      </c>
      <c r="G52">
        <v>0.39622591216809117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480</v>
      </c>
      <c r="B53" t="s">
        <v>146</v>
      </c>
      <c r="C53">
        <v>2040</v>
      </c>
      <c r="D53">
        <v>0.56437009783190883</v>
      </c>
      <c r="E53">
        <v>0</v>
      </c>
      <c r="F53">
        <v>0</v>
      </c>
      <c r="G53">
        <v>0.39622591216809117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482</v>
      </c>
      <c r="B54" t="s">
        <v>146</v>
      </c>
      <c r="C54">
        <v>2045</v>
      </c>
      <c r="D54">
        <v>0.27048506149435886</v>
      </c>
      <c r="E54">
        <v>0</v>
      </c>
      <c r="F54">
        <v>0.49060621341709643</v>
      </c>
      <c r="G54">
        <v>0.1898987749885446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</row>
    <row r="55" spans="1:12">
      <c r="A55" t="s">
        <v>484</v>
      </c>
      <c r="B55" t="s">
        <v>146</v>
      </c>
      <c r="C55">
        <v>2045</v>
      </c>
      <c r="D55">
        <v>0.5587263968535896</v>
      </c>
      <c r="E55">
        <v>0</v>
      </c>
      <c r="F55">
        <v>0</v>
      </c>
      <c r="G55">
        <v>0.3922636530464102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>
      <c r="A56" t="s">
        <v>479</v>
      </c>
      <c r="B56" t="s">
        <v>146</v>
      </c>
      <c r="C56">
        <v>2045</v>
      </c>
      <c r="D56">
        <v>0.5587263968535896</v>
      </c>
      <c r="E56">
        <v>0</v>
      </c>
      <c r="F56">
        <v>0</v>
      </c>
      <c r="G56">
        <v>0.39226365304641031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</row>
    <row r="57" spans="1:12">
      <c r="A57" t="s">
        <v>483</v>
      </c>
      <c r="B57" t="s">
        <v>146</v>
      </c>
      <c r="C57">
        <v>2045</v>
      </c>
      <c r="D57">
        <v>0.55872639685358971</v>
      </c>
      <c r="E57">
        <v>0</v>
      </c>
      <c r="F57">
        <v>0</v>
      </c>
      <c r="G57">
        <v>0.39226365304641025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</row>
    <row r="58" spans="1:12">
      <c r="A58" t="s">
        <v>478</v>
      </c>
      <c r="B58" t="s">
        <v>146</v>
      </c>
      <c r="C58">
        <v>2045</v>
      </c>
      <c r="D58">
        <v>0.5587263968535896</v>
      </c>
      <c r="E58">
        <v>0</v>
      </c>
      <c r="F58">
        <v>0</v>
      </c>
      <c r="G58">
        <v>0.3922636530464102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</row>
    <row r="59" spans="1:12">
      <c r="A59" t="s">
        <v>486</v>
      </c>
      <c r="B59" t="s">
        <v>146</v>
      </c>
      <c r="C59">
        <v>2045</v>
      </c>
      <c r="D59">
        <v>0.55872639685358971</v>
      </c>
      <c r="E59">
        <v>0</v>
      </c>
      <c r="F59">
        <v>0</v>
      </c>
      <c r="G59">
        <v>0.39226365304641025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485</v>
      </c>
      <c r="B60" t="s">
        <v>146</v>
      </c>
      <c r="C60">
        <v>2045</v>
      </c>
      <c r="D60">
        <v>0.5587263968535896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480</v>
      </c>
      <c r="B61" t="s">
        <v>146</v>
      </c>
      <c r="C61">
        <v>2045</v>
      </c>
      <c r="D61">
        <v>0.55872639685358971</v>
      </c>
      <c r="E61">
        <v>0</v>
      </c>
      <c r="F61">
        <v>0</v>
      </c>
      <c r="G61">
        <v>0.39226365304641025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482</v>
      </c>
      <c r="B62" t="s">
        <v>146</v>
      </c>
      <c r="C62">
        <v>2050</v>
      </c>
      <c r="D62">
        <v>0.26778021087941528</v>
      </c>
      <c r="E62">
        <v>0</v>
      </c>
      <c r="F62">
        <v>0.48570015128292549</v>
      </c>
      <c r="G62">
        <v>0.18799978723865915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</row>
    <row r="63" spans="1:12">
      <c r="A63" t="s">
        <v>484</v>
      </c>
      <c r="B63" t="s">
        <v>146</v>
      </c>
      <c r="C63">
        <v>2050</v>
      </c>
      <c r="D63">
        <v>0.55313913288505367</v>
      </c>
      <c r="E63">
        <v>0</v>
      </c>
      <c r="F63">
        <v>0</v>
      </c>
      <c r="G63">
        <v>0.3883410165159461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>
      <c r="A64" t="s">
        <v>479</v>
      </c>
      <c r="B64" t="s">
        <v>146</v>
      </c>
      <c r="C64">
        <v>2050</v>
      </c>
      <c r="D64">
        <v>0.55313913288505367</v>
      </c>
      <c r="E64">
        <v>0</v>
      </c>
      <c r="F64">
        <v>0</v>
      </c>
      <c r="G64">
        <v>0.38834101651594621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</row>
    <row r="65" spans="1:12">
      <c r="A65" t="s">
        <v>483</v>
      </c>
      <c r="B65" t="s">
        <v>146</v>
      </c>
      <c r="C65">
        <v>2050</v>
      </c>
      <c r="D65">
        <v>0.55313913288505379</v>
      </c>
      <c r="E65">
        <v>0</v>
      </c>
      <c r="F65">
        <v>0</v>
      </c>
      <c r="G65">
        <v>0.38834101651594616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</row>
    <row r="66" spans="1:12">
      <c r="A66" t="s">
        <v>478</v>
      </c>
      <c r="B66" t="s">
        <v>146</v>
      </c>
      <c r="C66">
        <v>2050</v>
      </c>
      <c r="D66">
        <v>0.55313913288505367</v>
      </c>
      <c r="E66">
        <v>0</v>
      </c>
      <c r="F66">
        <v>0</v>
      </c>
      <c r="G66">
        <v>0.3883410165159461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</row>
    <row r="67" spans="1:12">
      <c r="A67" t="s">
        <v>486</v>
      </c>
      <c r="B67" t="s">
        <v>146</v>
      </c>
      <c r="C67">
        <v>2050</v>
      </c>
      <c r="D67">
        <v>0.55313913288505379</v>
      </c>
      <c r="E67">
        <v>0</v>
      </c>
      <c r="F67">
        <v>0</v>
      </c>
      <c r="G67">
        <v>0.38834101651594616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485</v>
      </c>
      <c r="B68" t="s">
        <v>146</v>
      </c>
      <c r="C68">
        <v>2050</v>
      </c>
      <c r="D68">
        <v>0.55313913288505367</v>
      </c>
      <c r="E68">
        <v>0</v>
      </c>
      <c r="F68">
        <v>0</v>
      </c>
      <c r="G68">
        <v>0.38834101651594616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480</v>
      </c>
      <c r="B69" t="s">
        <v>146</v>
      </c>
      <c r="C69">
        <v>2050</v>
      </c>
      <c r="D69">
        <v>0.55313913288505379</v>
      </c>
      <c r="E69">
        <v>0</v>
      </c>
      <c r="F69">
        <v>0</v>
      </c>
      <c r="G69">
        <v>0.38834101651594616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07421875" defaultRowHeight="14.6"/>
  <cols>
    <col min="1" max="1" width="9.07421875" style="4"/>
    <col min="2" max="2" width="15.4609375" style="4" bestFit="1" customWidth="1"/>
    <col min="3" max="3" width="13.4609375" style="4" bestFit="1" customWidth="1"/>
    <col min="4" max="5" width="9.07421875" style="4"/>
    <col min="6" max="7" width="13.4609375" style="4" bestFit="1" customWidth="1"/>
    <col min="8" max="8" width="14.07421875" style="4" bestFit="1" customWidth="1"/>
    <col min="9" max="16384" width="9.074218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34" zoomScaleNormal="100" workbookViewId="0">
      <selection activeCell="N52" sqref="N52"/>
    </sheetView>
  </sheetViews>
  <sheetFormatPr defaultColWidth="9.07421875" defaultRowHeight="14.6"/>
  <cols>
    <col min="1" max="16384" width="9.074218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07421875" defaultRowHeight="14.6"/>
  <cols>
    <col min="1" max="16384" width="9.074218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07421875" defaultRowHeight="14.6"/>
  <cols>
    <col min="1" max="1" width="43.69140625" style="4" bestFit="1" customWidth="1"/>
    <col min="2" max="4" width="9.07421875" style="4"/>
    <col min="5" max="5" width="14.69140625" style="4" bestFit="1" customWidth="1"/>
    <col min="6" max="6" width="15.07421875" style="4" bestFit="1" customWidth="1"/>
    <col min="7" max="7" width="10.4609375" style="4" bestFit="1" customWidth="1"/>
    <col min="8" max="16384" width="9.074218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07421875" defaultRowHeight="14.6"/>
  <cols>
    <col min="1" max="16384" width="9.074218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07421875" defaultRowHeight="14.6"/>
  <cols>
    <col min="1" max="16384" width="9.074218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07421875" defaultRowHeight="14.6"/>
  <cols>
    <col min="1" max="16384" width="9.074218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07421875" defaultRowHeight="14.6"/>
  <cols>
    <col min="1" max="2" width="9.07421875" style="4"/>
    <col min="3" max="10" width="16.84375" style="4" customWidth="1"/>
    <col min="11" max="16384" width="9.074218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07421875" defaultRowHeight="14.6"/>
  <cols>
    <col min="1" max="16384" width="9.074218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2023-09-24T00:39:31Z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