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 codeName="DieseArbeitsmappe" autoCompressPictures="0"/>
  <xr:revisionPtr revIDLastSave="98" documentId="8_{2EB3E95A-BEFA-49B3-AA11-AFF1B14DD427}" xr6:coauthVersionLast="47" xr6:coauthVersionMax="47" xr10:uidLastSave="{9339BFBF-CE42-4B1F-AF41-561AC8C37281}"/>
  <bookViews>
    <workbookView xWindow="19095" yWindow="0" windowWidth="19410" windowHeight="20985" tabRatio="804" firstSheet="20" activeTab="21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RegionalCCSLimit" sheetId="89" r:id="rId40"/>
    <sheet name="Par_RegionalBaseYearProduction" sheetId="75" r:id="rId41"/>
    <sheet name="Par_BaseYearProduction" sheetId="74" r:id="rId42"/>
    <sheet name="Par_TagTechnologyToModalType" sheetId="65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definedNames>
    <definedName name="_xlnm._FilterDatabase" localSheetId="32" hidden="1">Par_CapacityFactor!$A$5:$O$24485</definedName>
    <definedName name="_xlnm._FilterDatabase" localSheetId="27" hidden="1">Par_CapitalCost!$A$5:$J$5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Par_InputActivityRatio!$A$5:$R$5</definedName>
    <definedName name="_xlnm._FilterDatabase" localSheetId="43" hidden="1">Par_ModalSplitByFuel!$A$5:$U$469</definedName>
    <definedName name="_xlnm._FilterDatabase" localSheetId="50" hidden="1">Par_OperationalLifeStorage!$A$5:$M$5</definedName>
    <definedName name="_xlnm._FilterDatabase" localSheetId="26" hidden="1">Par_OutputActivityRatio!$A$5:$S$234</definedName>
    <definedName name="_xlnm._FilterDatabase" localSheetId="40" hidden="1">Par_RegionalBaseYearProduction!$A$5:$D$991</definedName>
    <definedName name="_xlnm._FilterDatabase" localSheetId="39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Par_ResidualCapacity!$A$5:$J$1399</definedName>
    <definedName name="_xlnm._FilterDatabase" localSheetId="21" hidden="1">Par_SpecifiedAnnualDemand!$A$5:$BH$61</definedName>
    <definedName name="_xlnm._FilterDatabase" localSheetId="42" hidden="1">Par_TagTechnologyToModalType!$A$5:$T$5</definedName>
    <definedName name="_xlnm._FilterDatabase" localSheetId="36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Par_VariableCost!$A$5:$O$5</definedName>
    <definedName name="_xlnm._FilterDatabase" localSheetId="0" hidden="1">Sets!$B$2:$B$580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0">#REF!</definedName>
    <definedName name="Emissions" localSheetId="39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0">#REF!</definedName>
    <definedName name="Fuels" localSheetId="39">#REF!</definedName>
    <definedName name="Fuels" localSheetId="22">#REF!</definedName>
    <definedName name="Fuels" localSheetId="3">#REF!</definedName>
    <definedName name="Fuels" localSheetId="35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0">#REF!</definedName>
    <definedName name="Regions" localSheetId="39">#REF!</definedName>
    <definedName name="Regions" localSheetId="22">#REF!</definedName>
    <definedName name="Regions" localSheetId="3">#REF!</definedName>
    <definedName name="Regions" localSheetId="35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0">#REF!</definedName>
    <definedName name="Storages" localSheetId="39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3">#REF!</definedName>
    <definedName name="Technologies" localSheetId="40">#REF!:B</definedName>
    <definedName name="Technologies" localSheetId="39">#REF!:B</definedName>
    <definedName name="Technologies" localSheetId="3">#REF!:B</definedName>
    <definedName name="Technologies" localSheetId="35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0">#REF!</definedName>
    <definedName name="Timeslices" localSheetId="39">#REF!</definedName>
    <definedName name="Timeslices" localSheetId="42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0">#REF!</definedName>
    <definedName name="Years" localSheetId="39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1" l="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6" i="21"/>
  <c r="C24" i="47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C7" i="21" l="1"/>
  <c r="C6" i="21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tc={E2F12CA3-4881-48EB-8F44-59140E9E4E48}</author>
    <author>tc={3F016CE0-A873-49D6-8CD0-5B09BD62E174}</author>
    <author>tc={0201B00D-01FF-4213-94DF-2A7FDE52F56A}</author>
    <author>tc={42B6BA52-C6C1-4BEF-B147-5E5746F2D303}</author>
  </authors>
  <commentList>
    <comment ref="B17" authorId="0" shapeId="0" xr:uid="{E2F12CA3-4881-48EB-8F44-59140E9E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22" authorId="1" shapeId="0" xr:uid="{3F016CE0-A873-49D6-8CD0-5B09BD62E17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26" authorId="2" shapeId="0" xr:uid="{0201B00D-01FF-4213-94DF-2A7FDE52F56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31" authorId="3" shapeId="0" xr:uid="{42B6BA52-C6C1-4BEF-B147-5E5746F2D30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</text>
    </comment>
  </commentList>
</comments>
</file>

<file path=xl/sharedStrings.xml><?xml version="1.0" encoding="utf-8"?>
<sst xmlns="http://schemas.openxmlformats.org/spreadsheetml/2006/main" count="5751" uniqueCount="502">
  <si>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</si>
  <si>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</si>
  <si>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</si>
  <si>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</si>
  <si>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</si>
  <si>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</si>
  <si>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</si>
  <si>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</si>
  <si>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</si>
  <si>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</si>
  <si>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</si>
  <si>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</si>
  <si>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</si>
  <si>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</si>
  <si>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</si>
  <si>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</si>
  <si>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</si>
  <si>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</si>
  <si>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</si>
  <si>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</si>
  <si>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</si>
  <si>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</si>
  <si>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</si>
  <si>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</si>
  <si>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</si>
  <si>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</si>
  <si>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</si>
  <si>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</si>
  <si>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</si>
  <si>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</si>
  <si>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</si>
  <si>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</si>
  <si>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</si>
  <si>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</si>
  <si>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</si>
  <si>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</si>
  <si>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</si>
  <si>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</si>
  <si>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</si>
  <si>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</si>
  <si>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</si>
  <si>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</si>
  <si>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</si>
  <si>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</si>
  <si>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</si>
  <si>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</si>
  <si>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</si>
  <si>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</si>
  <si>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</si>
  <si>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</si>
  <si>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</si>
  <si>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</si>
  <si>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</si>
  <si>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</si>
  <si>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</si>
  <si>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</si>
  <si>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</si>
  <si>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</si>
  <si>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</si>
  <si>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</si>
  <si>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</si>
  <si>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</si>
  <si>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</si>
  <si>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</si>
  <si>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</si>
  <si>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</si>
  <si>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</si>
  <si>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</si>
  <si>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</si>
  <si>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</si>
  <si>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</si>
  <si>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</si>
  <si>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</si>
  <si>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</si>
  <si>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</si>
  <si>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</si>
  <si>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</si>
  <si>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</si>
  <si>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</si>
  <si>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</si>
  <si>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</si>
  <si>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</si>
  <si>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</si>
  <si>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</si>
  <si>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</si>
  <si>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</si>
  <si>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</si>
  <si>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</si>
  <si>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</si>
  <si>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</si>
  <si>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</si>
  <si>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</si>
  <si>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</si>
  <si>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</si>
  <si>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</si>
  <si>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</si>
  <si>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</si>
  <si>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</si>
  <si>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</si>
  <si>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</si>
  <si>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</si>
  <si>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</si>
  <si>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</si>
  <si>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</si>
  <si>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</si>
  <si>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</si>
  <si>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</si>
  <si>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</si>
  <si>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</si>
  <si>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</si>
  <si>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</si>
  <si>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</si>
  <si>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</si>
  <si>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</si>
  <si>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</si>
  <si>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</si>
  <si>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</si>
  <si>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</si>
  <si>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</si>
  <si>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</si>
  <si>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</si>
  <si>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</si>
  <si>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</si>
  <si>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</si>
  <si>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</si>
  <si>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</si>
  <si>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</si>
  <si>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</si>
  <si>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</si>
  <si>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</si>
  <si>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</si>
  <si>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</si>
  <si>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</si>
  <si>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</si>
  <si>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</si>
  <si>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</si>
  <si>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</si>
  <si>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</si>
  <si>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</si>
  <si>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</si>
  <si>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</si>
  <si>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</si>
  <si>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</si>
  <si>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</si>
  <si>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</si>
  <si>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</si>
  <si>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</si>
  <si>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</si>
  <si>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</si>
  <si>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</si>
  <si>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</si>
  <si>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</si>
  <si>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</si>
  <si>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</si>
  <si>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</si>
  <si>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</si>
  <si>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</si>
  <si>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</si>
  <si>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</si>
  <si>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</si>
  <si>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</si>
  <si>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</si>
  <si>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</si>
  <si>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</si>
  <si>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</si>
  <si>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</si>
  <si>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</si>
  <si>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</si>
  <si>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</si>
  <si>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</si>
  <si>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</si>
  <si>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</si>
  <si>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</si>
  <si>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</si>
  <si>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</si>
  <si>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</si>
  <si>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</si>
  <si>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</si>
  <si>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</si>
  <si>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</si>
  <si>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</si>
  <si>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</si>
  <si>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</si>
  <si>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</si>
  <si>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</si>
  <si>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</si>
  <si>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</si>
  <si>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</si>
  <si>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</si>
  <si>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</si>
  <si>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</si>
  <si>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</si>
  <si>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</si>
  <si>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</si>
  <si>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</si>
  <si>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</si>
  <si>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</si>
  <si>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</si>
  <si>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</si>
  <si>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</si>
  <si>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</si>
  <si>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</si>
  <si>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</si>
  <si>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</si>
  <si>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</si>
  <si>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</si>
  <si>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</si>
  <si>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</si>
  <si>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</si>
  <si>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</si>
  <si>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</si>
  <si>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</si>
  <si>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</si>
  <si>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</si>
  <si>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</si>
  <si>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</si>
  <si>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</si>
  <si>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</si>
  <si>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</si>
  <si>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</si>
  <si>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</si>
  <si>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</si>
  <si>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</si>
  <si>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</si>
  <si>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</si>
  <si>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</si>
  <si>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</si>
  <si>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</si>
  <si>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</si>
  <si>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</si>
  <si>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</si>
  <si>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</si>
  <si>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</si>
  <si>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</si>
  <si>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</si>
  <si>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</si>
  <si>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</si>
  <si>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</si>
  <si>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</si>
  <si>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</si>
  <si>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</si>
  <si>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</si>
  <si>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</si>
  <si>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</si>
  <si>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</si>
  <si>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</si>
  <si>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</si>
  <si>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</si>
  <si>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</si>
  <si>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</si>
  <si>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</si>
  <si>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</si>
  <si>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</si>
  <si>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</si>
  <si>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</si>
  <si>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</si>
  <si>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</si>
  <si>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</si>
  <si>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</si>
  <si>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</si>
  <si>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</si>
  <si>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</si>
  <si>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</si>
  <si>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</si>
  <si>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</si>
  <si>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</si>
  <si>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</si>
  <si>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</si>
  <si>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</si>
  <si>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</si>
  <si>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</si>
  <si>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</si>
  <si>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</si>
  <si>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</si>
  <si>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</si>
  <si>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</si>
  <si>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</si>
  <si>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GR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</si>
  <si>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</si>
  <si>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</si>
  <si>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</si>
  <si>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</si>
  <si>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</si>
  <si>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</si>
  <si>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</si>
  <si>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</si>
  <si>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</si>
  <si>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</si>
  <si>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</si>
  <si>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</si>
  <si>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</si>
  <si>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</si>
  <si>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</si>
  <si>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</si>
  <si>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</si>
  <si>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</si>
  <si>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</si>
  <si>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</si>
  <si>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</si>
  <si>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</si>
  <si>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</si>
  <si>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</si>
  <si>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</si>
  <si>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</si>
  <si>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</si>
  <si>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</si>
  <si>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</si>
  <si>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</si>
  <si>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</si>
  <si>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</si>
  <si>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</si>
  <si>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</si>
  <si>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</si>
  <si>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</si>
  <si>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</si>
  <si>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</si>
  <si>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</si>
  <si>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</si>
  <si>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</si>
  <si>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</si>
  <si>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</si>
  <si>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</si>
  <si>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</si>
  <si>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</si>
  <si>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</si>
  <si>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</si>
  <si>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</si>
  <si>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</si>
  <si>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</si>
  <si>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</si>
  <si>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</si>
  <si>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</si>
  <si>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</si>
  <si>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</si>
  <si>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</si>
  <si>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</si>
  <si>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</si>
  <si>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</si>
  <si>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</si>
  <si>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</si>
  <si>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</si>
  <si>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</si>
  <si>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</si>
  <si>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</si>
  <si>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</si>
  <si>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</si>
  <si>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</si>
  <si>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</si>
  <si>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</si>
  <si>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</si>
  <si>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</si>
  <si>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</si>
  <si>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</si>
  <si>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</si>
  <si>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</si>
  <si>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</si>
  <si>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</si>
  <si>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</si>
  <si>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</si>
  <si>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</si>
  <si>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</si>
  <si>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</si>
  <si>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</si>
  <si>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</si>
  <si>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</si>
  <si>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</si>
  <si>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</si>
  <si>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</si>
  <si>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</si>
  <si>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</si>
  <si>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</si>
  <si>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</si>
  <si>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</si>
  <si>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</si>
  <si>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</si>
  <si>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</si>
  <si>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</si>
  <si>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</si>
  <si>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</si>
  <si>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</si>
  <si>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</si>
  <si>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</si>
  <si>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</si>
  <si>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</si>
  <si>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</si>
  <si>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</si>
  <si>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</si>
  <si>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</si>
  <si>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</si>
  <si>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</si>
  <si>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</si>
  <si>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</si>
  <si>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</si>
  <si>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</si>
  <si>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</si>
  <si>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</si>
  <si>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</si>
  <si>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</si>
  <si>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</si>
  <si>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</si>
  <si>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</si>
  <si>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</si>
  <si>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</si>
  <si>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</si>
  <si>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</si>
  <si>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</si>
  <si>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</si>
  <si>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</si>
  <si>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</si>
  <si>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</si>
  <si>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</si>
  <si>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</si>
  <si>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</si>
  <si>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</si>
  <si>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</si>
  <si>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</si>
  <si>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</si>
  <si>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</si>
  <si>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</si>
  <si>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</si>
  <si>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</si>
  <si>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</si>
  <si>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</si>
  <si>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</si>
  <si>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</si>
  <si>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</si>
  <si>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</si>
  <si>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</si>
  <si>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</si>
  <si>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</si>
  <si>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</si>
  <si>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</si>
  <si>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</si>
  <si>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</si>
  <si>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</si>
  <si>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</si>
  <si>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</si>
  <si>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</si>
  <si>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</si>
  <si>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</si>
  <si>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</si>
  <si>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</si>
  <si>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</si>
  <si>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</si>
  <si>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</si>
  <si>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</si>
  <si>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</si>
  <si>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</si>
  <si>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</si>
  <si>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</si>
  <si>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</si>
  <si>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</si>
  <si>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</si>
  <si>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</si>
  <si>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</si>
  <si>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</si>
  <si>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</si>
  <si>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</si>
  <si>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</si>
  <si>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</si>
  <si>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</si>
  <si>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</si>
  <si>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</si>
  <si>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</si>
  <si>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</si>
  <si>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</si>
  <si>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</si>
  <si>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</si>
  <si>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</si>
  <si>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</si>
  <si>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</si>
  <si>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</si>
  <si>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</si>
  <si>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</si>
  <si>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</si>
  <si>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</si>
  <si>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</si>
  <si>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EUROSTAT</t>
  </si>
  <si>
    <t>Unit: GW for Power; PJ for Gas</t>
  </si>
  <si>
    <t>MarieGalante</t>
  </si>
  <si>
    <t>LaDesirade</t>
  </si>
  <si>
    <t>MinorIslands</t>
  </si>
  <si>
    <t>most likely just 0 for guadeloupe</t>
  </si>
  <si>
    <t>RES_Wind_Avg</t>
  </si>
  <si>
    <t>CapExcellence</t>
  </si>
  <si>
    <t>GrandeTerreNorth</t>
  </si>
  <si>
    <t>RivieraDuLevant</t>
  </si>
  <si>
    <t>GrandSud</t>
  </si>
  <si>
    <t>BasseTerreNorth</t>
  </si>
  <si>
    <t>s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</si>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</sst>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00"/>
  </numFmts>
  <fonts count="3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0" fillId="0" borderId="11" xfId="0" applyBorder="1"/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11" fillId="37" borderId="0" xfId="0" applyFont="1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0" fillId="38" borderId="0" xfId="0" applyFill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9" borderId="0" xfId="0" applyFill="1" applyAlignment="1">
      <alignment horizontal="center"/>
    </xf>
    <xf numFmtId="166" fontId="0" fillId="0" borderId="0" xfId="0" applyNumberFormat="1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3-07-25T10:34:26.90" personId="{00000000-0000-0000-0000-000000000000}" id="{E2F12CA3-4881-48EB-8F44-59140E9E4E48}">
    <text>Sourced from Biogas</text>
  </threadedComment>
  <threadedComment ref="B22" dT="2023-07-25T10:34:21.09" personId="{00000000-0000-0000-0000-000000000000}" id="{3F016CE0-A873-49D6-8CD0-5B09BD62E174}">
    <text>Sourced from Biogas</text>
  </threadedComment>
  <threadedComment ref="B26" dT="2023-07-25T10:34:09.45" personId="{00000000-0000-0000-0000-000000000000}" id="{0201B00D-01FF-4213-94DF-2A7FDE52F56A}">
    <text>Sourced from Biogas</text>
  </threadedComment>
  <threadedComment ref="B31" dT="2023-07-25T10:31:18.93" personId="{00000000-0000-0000-0000-000000000000}" id="{42B6BA52-C6C1-4BEF-B147-5E5746F2D303}">
    <text>Sourced from Bagasse - residue from sugar production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8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N145"/>
  <sheetViews>
    <sheetView topLeftCell="A122" workbookViewId="0">
      <selection activeCell="C132" sqref="C132"/>
    </sheetView>
  </sheetViews>
  <sheetFormatPr defaultColWidth="9.140625" defaultRowHeight="15"/>
  <cols>
    <col min="1" max="1" width="18.5703125" customWidth="1"/>
    <col min="2" max="2" width="28.42578125" bestFit="1" customWidth="1"/>
    <col min="3" max="3" width="25.140625" bestFit="1" customWidth="1"/>
    <col min="6" max="6" width="19.5703125" bestFit="1" customWidth="1"/>
    <col min="7" max="7" width="18.85546875" bestFit="1" customWidth="1"/>
    <col min="10" max="10" width="15" customWidth="1"/>
    <col min="11" max="11" width="16.140625" bestFit="1" customWidth="1"/>
    <col min="12" max="13" width="22.4257812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323</v>
      </c>
    </row>
    <row r="2" spans="1:14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479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480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284</v>
      </c>
    </row>
    <row r="4" spans="1:14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481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318</v>
      </c>
    </row>
    <row r="5" spans="1:14">
      <c r="B5" t="s">
        <v>436</v>
      </c>
      <c r="C5" t="s">
        <v>151</v>
      </c>
      <c r="D5">
        <v>2030</v>
      </c>
      <c r="E5" t="s">
        <v>65</v>
      </c>
      <c r="F5">
        <v>4</v>
      </c>
      <c r="G5" t="s">
        <v>488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319</v>
      </c>
    </row>
    <row r="6" spans="1:14">
      <c r="B6" t="s">
        <v>437</v>
      </c>
      <c r="C6" t="s">
        <v>140</v>
      </c>
      <c r="D6">
        <v>2035</v>
      </c>
      <c r="E6" t="s">
        <v>69</v>
      </c>
      <c r="G6" t="s">
        <v>487</v>
      </c>
      <c r="K6" t="s">
        <v>248</v>
      </c>
      <c r="L6" t="s">
        <v>44</v>
      </c>
      <c r="M6" t="s">
        <v>112</v>
      </c>
      <c r="N6" t="s">
        <v>320</v>
      </c>
    </row>
    <row r="7" spans="1:14">
      <c r="B7" t="s">
        <v>104</v>
      </c>
      <c r="C7" t="s">
        <v>197</v>
      </c>
      <c r="D7">
        <v>2040</v>
      </c>
      <c r="E7" t="s">
        <v>70</v>
      </c>
      <c r="G7" t="s">
        <v>484</v>
      </c>
      <c r="K7" t="s">
        <v>246</v>
      </c>
      <c r="L7" t="s">
        <v>45</v>
      </c>
      <c r="M7" t="s">
        <v>113</v>
      </c>
      <c r="N7" t="s">
        <v>321</v>
      </c>
    </row>
    <row r="8" spans="1:14">
      <c r="B8" t="s">
        <v>438</v>
      </c>
      <c r="C8" t="s">
        <v>139</v>
      </c>
      <c r="D8">
        <v>2045</v>
      </c>
      <c r="E8" t="s">
        <v>71</v>
      </c>
      <c r="G8" t="s">
        <v>485</v>
      </c>
      <c r="K8" t="s">
        <v>192</v>
      </c>
      <c r="L8" t="s">
        <v>48</v>
      </c>
      <c r="M8" t="s">
        <v>156</v>
      </c>
      <c r="N8" t="s">
        <v>322</v>
      </c>
    </row>
    <row r="9" spans="1:14">
      <c r="B9" t="s">
        <v>105</v>
      </c>
      <c r="C9" t="s">
        <v>138</v>
      </c>
      <c r="D9">
        <v>2050</v>
      </c>
      <c r="E9" t="s">
        <v>68</v>
      </c>
      <c r="G9" t="s">
        <v>486</v>
      </c>
      <c r="K9" t="s">
        <v>150</v>
      </c>
      <c r="L9" t="s">
        <v>49</v>
      </c>
      <c r="M9" t="s">
        <v>190</v>
      </c>
      <c r="N9" t="s">
        <v>435</v>
      </c>
    </row>
    <row r="10" spans="1:14">
      <c r="B10" t="s">
        <v>439</v>
      </c>
      <c r="C10" t="s">
        <v>24</v>
      </c>
      <c r="E10" t="s">
        <v>73</v>
      </c>
      <c r="L10" t="s">
        <v>50</v>
      </c>
      <c r="M10" t="s">
        <v>114</v>
      </c>
    </row>
    <row r="11" spans="1:14">
      <c r="B11" t="s">
        <v>440</v>
      </c>
      <c r="C11" t="s">
        <v>145</v>
      </c>
      <c r="E11" t="s">
        <v>74</v>
      </c>
      <c r="L11" t="s">
        <v>40</v>
      </c>
      <c r="M11" t="s">
        <v>115</v>
      </c>
    </row>
    <row r="12" spans="1:14">
      <c r="B12" t="s">
        <v>441</v>
      </c>
      <c r="C12" t="s">
        <v>146</v>
      </c>
      <c r="E12" t="s">
        <v>75</v>
      </c>
      <c r="L12" t="s">
        <v>41</v>
      </c>
      <c r="M12" t="s">
        <v>116</v>
      </c>
    </row>
    <row r="13" spans="1:14">
      <c r="B13" t="s">
        <v>442</v>
      </c>
      <c r="C13" t="s">
        <v>152</v>
      </c>
      <c r="E13" t="s">
        <v>72</v>
      </c>
      <c r="L13" t="s">
        <v>46</v>
      </c>
      <c r="M13" t="s">
        <v>117</v>
      </c>
    </row>
    <row r="14" spans="1:14">
      <c r="B14" t="s">
        <v>443</v>
      </c>
      <c r="C14" t="s">
        <v>198</v>
      </c>
      <c r="E14" t="s">
        <v>77</v>
      </c>
      <c r="L14" t="s">
        <v>51</v>
      </c>
      <c r="M14" t="s">
        <v>118</v>
      </c>
    </row>
    <row r="15" spans="1:14">
      <c r="B15" t="s">
        <v>444</v>
      </c>
      <c r="C15" t="s">
        <v>199</v>
      </c>
      <c r="E15" t="s">
        <v>78</v>
      </c>
      <c r="L15" t="s">
        <v>47</v>
      </c>
      <c r="M15" t="s">
        <v>119</v>
      </c>
    </row>
    <row r="16" spans="1:14">
      <c r="B16" t="s">
        <v>445</v>
      </c>
      <c r="C16" t="s">
        <v>271</v>
      </c>
      <c r="E16" t="s">
        <v>79</v>
      </c>
      <c r="L16" t="s">
        <v>52</v>
      </c>
      <c r="M16" t="s">
        <v>120</v>
      </c>
    </row>
    <row r="17" spans="2:13">
      <c r="B17" t="s">
        <v>446</v>
      </c>
      <c r="C17" t="s">
        <v>207</v>
      </c>
      <c r="E17" t="s">
        <v>76</v>
      </c>
      <c r="L17" t="s">
        <v>42</v>
      </c>
      <c r="M17" t="s">
        <v>155</v>
      </c>
    </row>
    <row r="18" spans="2:13">
      <c r="B18" t="s">
        <v>135</v>
      </c>
      <c r="C18" t="s">
        <v>208</v>
      </c>
      <c r="L18" t="s">
        <v>499</v>
      </c>
      <c r="M18" t="s">
        <v>174</v>
      </c>
    </row>
    <row r="19" spans="2:13">
      <c r="B19" t="s">
        <v>136</v>
      </c>
      <c r="C19" t="s">
        <v>209</v>
      </c>
      <c r="L19" t="s">
        <v>500</v>
      </c>
      <c r="M19" t="s">
        <v>175</v>
      </c>
    </row>
    <row r="20" spans="2:13">
      <c r="B20" t="s">
        <v>191</v>
      </c>
      <c r="C20" t="s">
        <v>270</v>
      </c>
      <c r="L20" t="s">
        <v>493</v>
      </c>
      <c r="M20" t="s">
        <v>107</v>
      </c>
    </row>
    <row r="21" spans="2:13">
      <c r="B21" t="s">
        <v>147</v>
      </c>
      <c r="C21" t="s">
        <v>299</v>
      </c>
      <c r="L21" t="s">
        <v>494</v>
      </c>
      <c r="M21" t="s">
        <v>154</v>
      </c>
    </row>
    <row r="22" spans="2:13">
      <c r="B22" t="s">
        <v>148</v>
      </c>
      <c r="C22" t="s">
        <v>312</v>
      </c>
      <c r="L22" t="s">
        <v>495</v>
      </c>
      <c r="M22" t="s">
        <v>104</v>
      </c>
    </row>
    <row r="23" spans="2:13">
      <c r="B23" t="s">
        <v>245</v>
      </c>
      <c r="C23" t="s">
        <v>313</v>
      </c>
      <c r="M23" t="s">
        <v>105</v>
      </c>
    </row>
    <row r="24" spans="2:13">
      <c r="B24" t="s">
        <v>247</v>
      </c>
      <c r="C24" t="s">
        <v>315</v>
      </c>
      <c r="M24" t="s">
        <v>106</v>
      </c>
    </row>
    <row r="25" spans="2:13">
      <c r="B25" t="s">
        <v>134</v>
      </c>
      <c r="C25" t="s">
        <v>314</v>
      </c>
    </row>
    <row r="26" spans="2:13">
      <c r="B26" t="s">
        <v>137</v>
      </c>
      <c r="C26" t="s">
        <v>266</v>
      </c>
    </row>
    <row r="27" spans="2:13">
      <c r="B27" s="2" t="s">
        <v>130</v>
      </c>
      <c r="C27" t="s">
        <v>299</v>
      </c>
    </row>
    <row r="28" spans="2:13">
      <c r="B28" s="2" t="s">
        <v>131</v>
      </c>
      <c r="C28" t="s">
        <v>328</v>
      </c>
    </row>
    <row r="29" spans="2:13">
      <c r="B29" s="2" t="s">
        <v>125</v>
      </c>
      <c r="C29" t="s">
        <v>334</v>
      </c>
    </row>
    <row r="30" spans="2:13">
      <c r="B30" s="2" t="s">
        <v>57</v>
      </c>
      <c r="C30" t="s">
        <v>335</v>
      </c>
    </row>
    <row r="31" spans="2:13">
      <c r="B31" s="2" t="s">
        <v>126</v>
      </c>
      <c r="C31" t="s">
        <v>434</v>
      </c>
    </row>
    <row r="32" spans="2:13">
      <c r="B32" s="2" t="s">
        <v>316</v>
      </c>
    </row>
    <row r="33" spans="2:2">
      <c r="B33" s="2" t="s">
        <v>176</v>
      </c>
    </row>
    <row r="34" spans="2:2">
      <c r="B34" s="2" t="s">
        <v>127</v>
      </c>
    </row>
    <row r="35" spans="2:2">
      <c r="B35" s="2" t="s">
        <v>496</v>
      </c>
    </row>
    <row r="36" spans="2:2">
      <c r="B36" s="2" t="s">
        <v>497</v>
      </c>
    </row>
    <row r="37" spans="2:2">
      <c r="B37" s="2" t="s">
        <v>498</v>
      </c>
    </row>
    <row r="38" spans="2:2">
      <c r="B38" t="s">
        <v>447</v>
      </c>
    </row>
    <row r="39" spans="2:2">
      <c r="B39" t="s">
        <v>448</v>
      </c>
    </row>
    <row r="40" spans="2:2">
      <c r="B40" t="s">
        <v>238</v>
      </c>
    </row>
    <row r="41" spans="2:2">
      <c r="B41" t="s">
        <v>249</v>
      </c>
    </row>
    <row r="42" spans="2:2">
      <c r="B42" t="s">
        <v>243</v>
      </c>
    </row>
    <row r="43" spans="2:2">
      <c r="B43" t="s">
        <v>239</v>
      </c>
    </row>
    <row r="44" spans="2:2">
      <c r="B44" t="s">
        <v>250</v>
      </c>
    </row>
    <row r="45" spans="2:2">
      <c r="B45" t="s">
        <v>241</v>
      </c>
    </row>
    <row r="46" spans="2:2">
      <c r="B46" t="s">
        <v>242</v>
      </c>
    </row>
    <row r="47" spans="2:2">
      <c r="B47" t="s">
        <v>240</v>
      </c>
    </row>
    <row r="48" spans="2:2">
      <c r="B48" t="s">
        <v>212</v>
      </c>
    </row>
    <row r="49" spans="2:2">
      <c r="B49" t="s">
        <v>232</v>
      </c>
    </row>
    <row r="50" spans="2:2">
      <c r="B50" t="s">
        <v>234</v>
      </c>
    </row>
    <row r="51" spans="2:2">
      <c r="B51" t="s">
        <v>221</v>
      </c>
    </row>
    <row r="52" spans="2:2">
      <c r="B52" t="s">
        <v>217</v>
      </c>
    </row>
    <row r="53" spans="2:2">
      <c r="B53" t="s">
        <v>268</v>
      </c>
    </row>
    <row r="54" spans="2:2">
      <c r="B54" t="s">
        <v>214</v>
      </c>
    </row>
    <row r="55" spans="2:2">
      <c r="B55" t="s">
        <v>215</v>
      </c>
    </row>
    <row r="56" spans="2:2">
      <c r="B56" t="s">
        <v>222</v>
      </c>
    </row>
    <row r="57" spans="2:2">
      <c r="B57" t="s">
        <v>233</v>
      </c>
    </row>
    <row r="58" spans="2:2">
      <c r="B58" t="s">
        <v>201</v>
      </c>
    </row>
    <row r="59" spans="2:2">
      <c r="B59" t="s">
        <v>228</v>
      </c>
    </row>
    <row r="60" spans="2:2">
      <c r="B60" t="s">
        <v>219</v>
      </c>
    </row>
    <row r="61" spans="2:2">
      <c r="B61" t="s">
        <v>210</v>
      </c>
    </row>
    <row r="62" spans="2:2">
      <c r="B62" t="s">
        <v>267</v>
      </c>
    </row>
    <row r="63" spans="2:2">
      <c r="B63" t="s">
        <v>202</v>
      </c>
    </row>
    <row r="64" spans="2:2">
      <c r="B64" t="s">
        <v>230</v>
      </c>
    </row>
    <row r="65" spans="2:2">
      <c r="B65" t="s">
        <v>231</v>
      </c>
    </row>
    <row r="66" spans="2:2">
      <c r="B66" t="s">
        <v>203</v>
      </c>
    </row>
    <row r="67" spans="2:2">
      <c r="B67" t="s">
        <v>220</v>
      </c>
    </row>
    <row r="68" spans="2:2">
      <c r="B68" t="s">
        <v>229</v>
      </c>
    </row>
    <row r="69" spans="2:2">
      <c r="B69" t="s">
        <v>223</v>
      </c>
    </row>
    <row r="70" spans="2:2">
      <c r="B70" t="s">
        <v>236</v>
      </c>
    </row>
    <row r="71" spans="2:2">
      <c r="B71" t="s">
        <v>225</v>
      </c>
    </row>
    <row r="72" spans="2:2">
      <c r="B72" t="s">
        <v>258</v>
      </c>
    </row>
    <row r="73" spans="2:2">
      <c r="B73" t="s">
        <v>224</v>
      </c>
    </row>
    <row r="74" spans="2:2">
      <c r="B74" t="s">
        <v>259</v>
      </c>
    </row>
    <row r="75" spans="2:2">
      <c r="B75" t="s">
        <v>226</v>
      </c>
    </row>
    <row r="76" spans="2:2">
      <c r="B76" t="s">
        <v>235</v>
      </c>
    </row>
    <row r="77" spans="2:2">
      <c r="B77" t="s">
        <v>158</v>
      </c>
    </row>
    <row r="78" spans="2:2">
      <c r="B78" t="s">
        <v>194</v>
      </c>
    </row>
    <row r="79" spans="2:2">
      <c r="B79" t="s">
        <v>103</v>
      </c>
    </row>
    <row r="80" spans="2:2">
      <c r="B80" t="s">
        <v>251</v>
      </c>
    </row>
    <row r="81" spans="2:2">
      <c r="B81" t="s">
        <v>102</v>
      </c>
    </row>
    <row r="82" spans="2:2">
      <c r="B82" t="s">
        <v>252</v>
      </c>
    </row>
    <row r="83" spans="2:2">
      <c r="B83" t="s">
        <v>449</v>
      </c>
    </row>
    <row r="84" spans="2:2">
      <c r="B84" t="s">
        <v>450</v>
      </c>
    </row>
    <row r="85" spans="2:2">
      <c r="B85" t="s">
        <v>451</v>
      </c>
    </row>
    <row r="86" spans="2:2">
      <c r="B86" t="s">
        <v>253</v>
      </c>
    </row>
    <row r="87" spans="2:2">
      <c r="B87" t="s">
        <v>327</v>
      </c>
    </row>
    <row r="88" spans="2:2">
      <c r="B88" t="s">
        <v>23</v>
      </c>
    </row>
    <row r="89" spans="2:2">
      <c r="B89" t="s">
        <v>56</v>
      </c>
    </row>
    <row r="90" spans="2:2">
      <c r="B90" s="2" t="s">
        <v>132</v>
      </c>
    </row>
    <row r="91" spans="2:2">
      <c r="B91" s="2" t="s">
        <v>58</v>
      </c>
    </row>
    <row r="92" spans="2:2">
      <c r="B92" s="2" t="s">
        <v>133</v>
      </c>
    </row>
    <row r="93" spans="2:2">
      <c r="B93" s="2" t="s">
        <v>128</v>
      </c>
    </row>
    <row r="94" spans="2:2">
      <c r="B94" s="2" t="s">
        <v>129</v>
      </c>
    </row>
    <row r="95" spans="2:2">
      <c r="B95" s="2" t="s">
        <v>60</v>
      </c>
    </row>
    <row r="96" spans="2:2">
      <c r="B96" s="2" t="s">
        <v>123</v>
      </c>
    </row>
    <row r="97" spans="2:2">
      <c r="B97" s="2" t="s">
        <v>59</v>
      </c>
    </row>
    <row r="98" spans="2:2">
      <c r="B98" s="2" t="s">
        <v>317</v>
      </c>
    </row>
    <row r="99" spans="2:2">
      <c r="B99" s="2" t="s">
        <v>124</v>
      </c>
    </row>
    <row r="100" spans="2:2">
      <c r="B100" t="s">
        <v>86</v>
      </c>
    </row>
    <row r="101" spans="2:2">
      <c r="B101" t="s">
        <v>85</v>
      </c>
    </row>
    <row r="102" spans="2:2">
      <c r="B102" t="s">
        <v>84</v>
      </c>
    </row>
    <row r="103" spans="2:2">
      <c r="B103" t="s">
        <v>87</v>
      </c>
    </row>
    <row r="104" spans="2:2">
      <c r="B104" t="s">
        <v>88</v>
      </c>
    </row>
    <row r="105" spans="2:2">
      <c r="B105" t="s">
        <v>306</v>
      </c>
    </row>
    <row r="106" spans="2:2">
      <c r="B106" t="s">
        <v>96</v>
      </c>
    </row>
    <row r="107" spans="2:2">
      <c r="B107" t="s">
        <v>101</v>
      </c>
    </row>
    <row r="108" spans="2:2">
      <c r="B108" t="s">
        <v>301</v>
      </c>
    </row>
    <row r="109" spans="2:2">
      <c r="B109" t="s">
        <v>98</v>
      </c>
    </row>
    <row r="110" spans="2:2">
      <c r="B110" t="s">
        <v>99</v>
      </c>
    </row>
    <row r="111" spans="2:2">
      <c r="B111" t="s">
        <v>100</v>
      </c>
    </row>
    <row r="112" spans="2:2">
      <c r="B112" t="s">
        <v>304</v>
      </c>
    </row>
    <row r="113" spans="2:2">
      <c r="B113" t="s">
        <v>172</v>
      </c>
    </row>
    <row r="114" spans="2:2">
      <c r="B114" t="s">
        <v>173</v>
      </c>
    </row>
    <row r="115" spans="2:2">
      <c r="B115" t="s">
        <v>90</v>
      </c>
    </row>
    <row r="116" spans="2:2">
      <c r="B116" t="s">
        <v>89</v>
      </c>
    </row>
    <row r="117" spans="2:2">
      <c r="B117" t="s">
        <v>91</v>
      </c>
    </row>
    <row r="118" spans="2:2">
      <c r="B118" t="s">
        <v>460</v>
      </c>
    </row>
    <row r="119" spans="2:2">
      <c r="B119" t="s">
        <v>303</v>
      </c>
    </row>
    <row r="120" spans="2:2">
      <c r="B120" t="s">
        <v>305</v>
      </c>
    </row>
    <row r="121" spans="2:2">
      <c r="B121" t="s">
        <v>167</v>
      </c>
    </row>
    <row r="122" spans="2:2">
      <c r="B122" t="s">
        <v>166</v>
      </c>
    </row>
    <row r="123" spans="2:2">
      <c r="B123" t="s">
        <v>165</v>
      </c>
    </row>
    <row r="124" spans="2:2">
      <c r="B124" t="s">
        <v>93</v>
      </c>
    </row>
    <row r="125" spans="2:2">
      <c r="B125" t="s">
        <v>92</v>
      </c>
    </row>
    <row r="126" spans="2:2">
      <c r="B126" t="s">
        <v>94</v>
      </c>
    </row>
    <row r="127" spans="2:2">
      <c r="B127" t="s">
        <v>302</v>
      </c>
    </row>
    <row r="128" spans="2:2">
      <c r="B128" t="s">
        <v>269</v>
      </c>
    </row>
    <row r="129" spans="2:2">
      <c r="B129" s="2" t="s">
        <v>330</v>
      </c>
    </row>
    <row r="130" spans="2:2">
      <c r="B130" s="2" t="s">
        <v>329</v>
      </c>
    </row>
    <row r="131" spans="2:2">
      <c r="B131" t="s">
        <v>121</v>
      </c>
    </row>
    <row r="132" spans="2:2">
      <c r="B132" t="s">
        <v>122</v>
      </c>
    </row>
    <row r="133" spans="2:2">
      <c r="B133" s="2" t="s">
        <v>310</v>
      </c>
    </row>
    <row r="134" spans="2:2">
      <c r="B134" s="2" t="s">
        <v>311</v>
      </c>
    </row>
    <row r="135" spans="2:2">
      <c r="B135" t="s">
        <v>157</v>
      </c>
    </row>
    <row r="136" spans="2:2">
      <c r="B136" t="s">
        <v>300</v>
      </c>
    </row>
    <row r="137" spans="2:2">
      <c r="B137" t="s">
        <v>260</v>
      </c>
    </row>
    <row r="138" spans="2:2">
      <c r="B138" t="s">
        <v>261</v>
      </c>
    </row>
    <row r="139" spans="2:2">
      <c r="B139" t="s">
        <v>332</v>
      </c>
    </row>
    <row r="140" spans="2:2">
      <c r="B140" t="s">
        <v>333</v>
      </c>
    </row>
    <row r="141" spans="2:2">
      <c r="B141" t="s">
        <v>180</v>
      </c>
    </row>
    <row r="142" spans="2:2">
      <c r="B142" s="2" t="s">
        <v>331</v>
      </c>
    </row>
    <row r="143" spans="2:2">
      <c r="B143" t="s">
        <v>181</v>
      </c>
    </row>
    <row r="144" spans="2:2">
      <c r="B144" t="s">
        <v>309</v>
      </c>
    </row>
    <row r="145" spans="2:2">
      <c r="B145" t="s">
        <v>182</v>
      </c>
    </row>
  </sheetData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2578125" defaultRowHeight="15"/>
  <cols>
    <col min="7" max="7" width="13.4257812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361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2578125" defaultRowHeight="15"/>
  <cols>
    <col min="8" max="8" width="13.42578125" customWidth="1"/>
  </cols>
  <sheetData>
    <row r="1" spans="1:9">
      <c r="A1" t="s">
        <v>356</v>
      </c>
    </row>
    <row r="2" spans="1:9">
      <c r="A2" t="s">
        <v>2</v>
      </c>
    </row>
    <row r="3" spans="1:9">
      <c r="A3" t="s">
        <v>361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124" activePane="bottomRight" state="frozen"/>
      <selection pane="topRight" activeCell="B1" sqref="B1"/>
      <selection pane="bottomLeft" activeCell="A6" sqref="A6"/>
      <selection pane="bottomRight" activeCell="D139" sqref="D139"/>
    </sheetView>
  </sheetViews>
  <sheetFormatPr defaultColWidth="11.42578125" defaultRowHeight="15"/>
  <cols>
    <col min="1" max="1" width="40.42578125" bestFit="1" customWidth="1"/>
    <col min="5" max="5" width="14" bestFit="1" customWidth="1"/>
    <col min="8" max="8" width="14.5703125" bestFit="1" customWidth="1"/>
  </cols>
  <sheetData>
    <row r="1" spans="1:9">
      <c r="A1" t="s">
        <v>385</v>
      </c>
    </row>
    <row r="2" spans="1:9">
      <c r="A2" t="s">
        <v>357</v>
      </c>
    </row>
    <row r="3" spans="1:9">
      <c r="A3" t="s">
        <v>382</v>
      </c>
    </row>
    <row r="5" spans="1:9">
      <c r="A5" t="s">
        <v>26</v>
      </c>
      <c r="B5" t="s">
        <v>24</v>
      </c>
      <c r="C5" t="s">
        <v>284</v>
      </c>
      <c r="D5" t="s">
        <v>318</v>
      </c>
      <c r="E5" t="s">
        <v>319</v>
      </c>
      <c r="F5" t="s">
        <v>320</v>
      </c>
      <c r="G5" t="s">
        <v>321</v>
      </c>
      <c r="H5" t="s">
        <v>322</v>
      </c>
      <c r="I5" t="s">
        <v>435</v>
      </c>
    </row>
    <row r="6" spans="1:9">
      <c r="A6" t="s">
        <v>170</v>
      </c>
      <c r="F6">
        <v>1</v>
      </c>
    </row>
    <row r="7" spans="1:9">
      <c r="A7" t="s">
        <v>171</v>
      </c>
      <c r="F7">
        <v>1</v>
      </c>
    </row>
    <row r="8" spans="1:9">
      <c r="A8" t="s">
        <v>135</v>
      </c>
      <c r="G8">
        <v>1</v>
      </c>
    </row>
    <row r="9" spans="1:9">
      <c r="A9" t="s">
        <v>136</v>
      </c>
      <c r="G9">
        <v>1</v>
      </c>
    </row>
    <row r="10" spans="1:9">
      <c r="A10" t="s">
        <v>147</v>
      </c>
      <c r="G10">
        <v>1</v>
      </c>
    </row>
    <row r="11" spans="1:9">
      <c r="A11" t="s">
        <v>247</v>
      </c>
      <c r="G11">
        <v>1</v>
      </c>
    </row>
    <row r="12" spans="1:9">
      <c r="A12" t="s">
        <v>245</v>
      </c>
      <c r="G12">
        <v>1</v>
      </c>
    </row>
    <row r="13" spans="1:9">
      <c r="A13" t="s">
        <v>134</v>
      </c>
      <c r="G13">
        <v>1</v>
      </c>
    </row>
    <row r="14" spans="1:9">
      <c r="A14" t="s">
        <v>191</v>
      </c>
      <c r="G14">
        <v>1</v>
      </c>
    </row>
    <row r="15" spans="1:9">
      <c r="A15" s="2" t="s">
        <v>130</v>
      </c>
      <c r="E15">
        <v>1</v>
      </c>
    </row>
    <row r="16" spans="1:9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496</v>
      </c>
      <c r="E22">
        <v>1</v>
      </c>
    </row>
    <row r="23" spans="1:5">
      <c r="A23" s="2" t="s">
        <v>497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300</v>
      </c>
      <c r="H127">
        <v>1</v>
      </c>
    </row>
    <row r="128" spans="1:8">
      <c r="A128" t="s">
        <v>301</v>
      </c>
      <c r="F128">
        <v>1</v>
      </c>
    </row>
    <row r="129" spans="1:8">
      <c r="A129" t="s">
        <v>302</v>
      </c>
      <c r="F129">
        <v>1</v>
      </c>
    </row>
    <row r="130" spans="1:8">
      <c r="A130" t="s">
        <v>303</v>
      </c>
      <c r="F130">
        <v>1</v>
      </c>
    </row>
    <row r="131" spans="1:8">
      <c r="A131" t="s">
        <v>304</v>
      </c>
      <c r="F131">
        <v>1</v>
      </c>
    </row>
    <row r="132" spans="1:8">
      <c r="A132" t="s">
        <v>305</v>
      </c>
      <c r="F132">
        <v>1</v>
      </c>
    </row>
    <row r="133" spans="1:8">
      <c r="A133" t="s">
        <v>306</v>
      </c>
      <c r="F133">
        <v>1</v>
      </c>
    </row>
    <row r="134" spans="1:8">
      <c r="A134" s="2" t="s">
        <v>310</v>
      </c>
      <c r="H134">
        <v>1</v>
      </c>
    </row>
    <row r="135" spans="1:8">
      <c r="A135" s="2" t="s">
        <v>311</v>
      </c>
      <c r="H135">
        <v>1</v>
      </c>
    </row>
    <row r="136" spans="1:8">
      <c r="A136" t="s">
        <v>309</v>
      </c>
      <c r="F136">
        <v>1</v>
      </c>
    </row>
    <row r="137" spans="1:8">
      <c r="A137" s="2" t="s">
        <v>316</v>
      </c>
      <c r="E137">
        <v>1</v>
      </c>
    </row>
    <row r="138" spans="1:8">
      <c r="A138" s="2" t="s">
        <v>498</v>
      </c>
      <c r="E138">
        <v>1</v>
      </c>
    </row>
    <row r="139" spans="1:8">
      <c r="A139" s="2" t="s">
        <v>317</v>
      </c>
      <c r="E139">
        <v>1</v>
      </c>
    </row>
    <row r="140" spans="1:8">
      <c r="A140" t="s">
        <v>327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329</v>
      </c>
      <c r="H142">
        <v>1</v>
      </c>
    </row>
    <row r="143" spans="1:8">
      <c r="A143" t="s">
        <v>330</v>
      </c>
      <c r="H143">
        <v>1</v>
      </c>
    </row>
    <row r="144" spans="1:8">
      <c r="A144" t="s">
        <v>331</v>
      </c>
      <c r="F144">
        <v>1</v>
      </c>
    </row>
    <row r="145" spans="1:9">
      <c r="A145" t="s">
        <v>332</v>
      </c>
      <c r="F145">
        <v>1</v>
      </c>
    </row>
    <row r="146" spans="1:9">
      <c r="A146" t="s">
        <v>333</v>
      </c>
      <c r="F146">
        <v>1</v>
      </c>
    </row>
    <row r="147" spans="1:9">
      <c r="A147" t="s">
        <v>436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442</v>
      </c>
      <c r="I150">
        <v>1</v>
      </c>
    </row>
    <row r="151" spans="1:9">
      <c r="A151" t="s">
        <v>440</v>
      </c>
      <c r="I151">
        <v>1</v>
      </c>
    </row>
    <row r="152" spans="1:9">
      <c r="A152" t="s">
        <v>444</v>
      </c>
      <c r="I152">
        <v>1</v>
      </c>
    </row>
    <row r="153" spans="1:9">
      <c r="A153" t="s">
        <v>437</v>
      </c>
      <c r="I153">
        <v>1</v>
      </c>
    </row>
    <row r="154" spans="1:9">
      <c r="A154" t="s">
        <v>438</v>
      </c>
      <c r="I154">
        <v>1</v>
      </c>
    </row>
    <row r="155" spans="1:9">
      <c r="A155" t="s">
        <v>439</v>
      </c>
      <c r="I155">
        <v>1</v>
      </c>
    </row>
    <row r="156" spans="1:9">
      <c r="A156" t="s">
        <v>443</v>
      </c>
      <c r="I156">
        <v>1</v>
      </c>
    </row>
    <row r="157" spans="1:9">
      <c r="A157" t="s">
        <v>441</v>
      </c>
      <c r="I157">
        <v>1</v>
      </c>
    </row>
    <row r="158" spans="1:9">
      <c r="A158" t="s">
        <v>445</v>
      </c>
      <c r="I158">
        <v>1</v>
      </c>
    </row>
    <row r="159" spans="1:9">
      <c r="A159" t="s">
        <v>447</v>
      </c>
      <c r="C159">
        <v>1</v>
      </c>
    </row>
    <row r="160" spans="1:9">
      <c r="A160" t="s">
        <v>448</v>
      </c>
      <c r="D160">
        <v>1</v>
      </c>
    </row>
    <row r="161" spans="1:9">
      <c r="A161" t="s">
        <v>446</v>
      </c>
      <c r="I161">
        <v>1</v>
      </c>
    </row>
    <row r="162" spans="1:9">
      <c r="A162" t="s">
        <v>475</v>
      </c>
      <c r="B162">
        <v>1</v>
      </c>
    </row>
    <row r="163" spans="1:9">
      <c r="A163" t="s">
        <v>449</v>
      </c>
      <c r="B163">
        <v>1</v>
      </c>
    </row>
    <row r="164" spans="1:9">
      <c r="A164" t="s">
        <v>451</v>
      </c>
      <c r="B164">
        <v>1</v>
      </c>
    </row>
    <row r="165" spans="1:9">
      <c r="A165" t="s">
        <v>450</v>
      </c>
      <c r="B165">
        <v>1</v>
      </c>
    </row>
    <row r="166" spans="1:9">
      <c r="A166" t="s">
        <v>236</v>
      </c>
      <c r="C166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N1" workbookViewId="0">
      <selection activeCell="I37" sqref="I37"/>
    </sheetView>
  </sheetViews>
  <sheetFormatPr defaultColWidth="11.42578125" defaultRowHeight="15"/>
  <cols>
    <col min="1" max="1" width="17" customWidth="1"/>
    <col min="2" max="2" width="16.42578125" bestFit="1" customWidth="1"/>
    <col min="3" max="3" width="14.42578125" bestFit="1" customWidth="1"/>
    <col min="4" max="4" width="7.570312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2578125" bestFit="1" customWidth="1"/>
    <col min="10" max="10" width="8.42578125" bestFit="1" customWidth="1"/>
    <col min="11" max="11" width="6.42578125" bestFit="1" customWidth="1"/>
    <col min="12" max="12" width="6" bestFit="1" customWidth="1"/>
    <col min="13" max="13" width="13.42578125" bestFit="1" customWidth="1"/>
    <col min="14" max="14" width="11.42578125" bestFit="1" customWidth="1"/>
    <col min="15" max="15" width="16.42578125" bestFit="1" customWidth="1"/>
    <col min="16" max="16" width="14.42578125" bestFit="1" customWidth="1"/>
    <col min="17" max="17" width="18" bestFit="1" customWidth="1"/>
    <col min="18" max="18" width="7.85546875" bestFit="1" customWidth="1"/>
    <col min="19" max="19" width="14.42578125" bestFit="1" customWidth="1"/>
    <col min="20" max="20" width="11" bestFit="1" customWidth="1"/>
    <col min="21" max="21" width="16" bestFit="1" customWidth="1"/>
    <col min="22" max="22" width="14.140625" bestFit="1" customWidth="1"/>
    <col min="23" max="23" width="17.42578125" bestFit="1" customWidth="1"/>
    <col min="24" max="24" width="7.42578125" bestFit="1" customWidth="1"/>
    <col min="25" max="25" width="14" bestFit="1" customWidth="1"/>
    <col min="26" max="26" width="12.85546875" bestFit="1" customWidth="1"/>
    <col min="27" max="28" width="11" bestFit="1" customWidth="1"/>
    <col min="29" max="29" width="14" bestFit="1" customWidth="1"/>
    <col min="30" max="30" width="12.42578125" bestFit="1" customWidth="1"/>
    <col min="31" max="31" width="5.5703125" bestFit="1" customWidth="1"/>
    <col min="32" max="32" width="8.5703125" bestFit="1" customWidth="1"/>
    <col min="33" max="33" width="5.5703125" bestFit="1" customWidth="1"/>
    <col min="34" max="34" width="7.42578125" bestFit="1" customWidth="1"/>
    <col min="35" max="35" width="14.42578125" bestFit="1" customWidth="1"/>
    <col min="36" max="36" width="13.85546875" bestFit="1" customWidth="1"/>
    <col min="37" max="38" width="14.42578125" bestFit="1" customWidth="1"/>
    <col min="39" max="39" width="9.42578125" bestFit="1" customWidth="1"/>
    <col min="40" max="40" width="13.85546875" bestFit="1" customWidth="1"/>
    <col min="41" max="41" width="16.42578125" bestFit="1" customWidth="1"/>
    <col min="42" max="42" width="15.42578125" bestFit="1" customWidth="1"/>
    <col min="43" max="43" width="16.42578125" bestFit="1" customWidth="1"/>
    <col min="44" max="44" width="20.42578125" bestFit="1" customWidth="1"/>
    <col min="45" max="45" width="19.42578125" bestFit="1" customWidth="1"/>
    <col min="46" max="46" width="20.42578125" bestFit="1" customWidth="1"/>
    <col min="47" max="47" width="20.140625" bestFit="1" customWidth="1"/>
    <col min="48" max="48" width="19.42578125" bestFit="1" customWidth="1"/>
    <col min="49" max="49" width="20.140625" bestFit="1" customWidth="1"/>
    <col min="50" max="50" width="11.42578125" bestFit="1" customWidth="1"/>
    <col min="51" max="51" width="9.5703125" bestFit="1" customWidth="1"/>
    <col min="52" max="52" width="14.140625" bestFit="1" customWidth="1"/>
    <col min="56" max="56" width="12.42578125" bestFit="1" customWidth="1"/>
    <col min="57" max="57" width="14.140625" bestFit="1" customWidth="1"/>
    <col min="58" max="58" width="12.42578125" bestFit="1" customWidth="1"/>
    <col min="59" max="59" width="11.5703125" bestFit="1" customWidth="1"/>
    <col min="60" max="60" width="11.85546875" bestFit="1" customWidth="1"/>
    <col min="61" max="61" width="13.5703125" bestFit="1" customWidth="1"/>
    <col min="62" max="62" width="12" bestFit="1" customWidth="1"/>
    <col min="63" max="63" width="11.42578125" bestFit="1" customWidth="1"/>
    <col min="64" max="64" width="12.5703125" bestFit="1" customWidth="1"/>
    <col min="65" max="65" width="11.5703125" bestFit="1" customWidth="1"/>
    <col min="66" max="66" width="13" bestFit="1" customWidth="1"/>
    <col min="67" max="67" width="11.42578125" bestFit="1" customWidth="1"/>
    <col min="68" max="68" width="13.5703125" bestFit="1" customWidth="1"/>
    <col min="69" max="69" width="15.42578125" bestFit="1" customWidth="1"/>
    <col min="70" max="70" width="14" bestFit="1" customWidth="1"/>
    <col min="71" max="71" width="13.140625" bestFit="1" customWidth="1"/>
    <col min="72" max="72" width="13.42578125" bestFit="1" customWidth="1"/>
    <col min="73" max="73" width="15.140625" bestFit="1" customWidth="1"/>
  </cols>
  <sheetData>
    <row r="1" spans="1:167">
      <c r="A1" t="s">
        <v>358</v>
      </c>
    </row>
    <row r="2" spans="1:167">
      <c r="A2" t="s">
        <v>359</v>
      </c>
    </row>
    <row r="3" spans="1:167">
      <c r="A3" t="s">
        <v>362</v>
      </c>
    </row>
    <row r="5" spans="1:167" ht="75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496</v>
      </c>
      <c r="T5" s="2" t="s">
        <v>497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300</v>
      </c>
      <c r="EA5" t="s">
        <v>301</v>
      </c>
      <c r="EB5" t="s">
        <v>302</v>
      </c>
      <c r="EC5" t="s">
        <v>303</v>
      </c>
      <c r="ED5" t="s">
        <v>304</v>
      </c>
      <c r="EE5" t="s">
        <v>305</v>
      </c>
      <c r="EF5" t="s">
        <v>306</v>
      </c>
      <c r="EG5" s="2" t="s">
        <v>310</v>
      </c>
      <c r="EH5" s="2" t="s">
        <v>311</v>
      </c>
      <c r="EI5" s="2" t="s">
        <v>316</v>
      </c>
      <c r="EJ5" s="2" t="s">
        <v>498</v>
      </c>
      <c r="EK5" s="2" t="s">
        <v>317</v>
      </c>
      <c r="EL5" t="s">
        <v>327</v>
      </c>
      <c r="EM5" s="2" t="s">
        <v>265</v>
      </c>
      <c r="EN5" s="2" t="s">
        <v>329</v>
      </c>
      <c r="EO5" s="2" t="s">
        <v>330</v>
      </c>
      <c r="EP5" s="2" t="s">
        <v>331</v>
      </c>
      <c r="EQ5" t="s">
        <v>332</v>
      </c>
      <c r="ER5" t="s">
        <v>333</v>
      </c>
      <c r="ES5" t="s">
        <v>436</v>
      </c>
      <c r="ET5" t="s">
        <v>104</v>
      </c>
      <c r="EU5" t="s">
        <v>105</v>
      </c>
      <c r="EV5" t="s">
        <v>442</v>
      </c>
      <c r="EW5" t="s">
        <v>440</v>
      </c>
      <c r="EX5" t="s">
        <v>444</v>
      </c>
      <c r="EY5" t="s">
        <v>445</v>
      </c>
      <c r="EZ5" t="s">
        <v>437</v>
      </c>
      <c r="FA5" t="s">
        <v>438</v>
      </c>
      <c r="FB5" t="s">
        <v>439</v>
      </c>
      <c r="FC5" t="s">
        <v>443</v>
      </c>
      <c r="FD5" t="s">
        <v>441</v>
      </c>
      <c r="FE5" t="s">
        <v>447</v>
      </c>
      <c r="FF5" t="s">
        <v>448</v>
      </c>
      <c r="FG5" t="s">
        <v>446</v>
      </c>
      <c r="FH5" s="6" t="s">
        <v>449</v>
      </c>
      <c r="FI5" s="6" t="s">
        <v>451</v>
      </c>
      <c r="FJ5" s="6" t="s">
        <v>450</v>
      </c>
      <c r="FK5" t="s">
        <v>460</v>
      </c>
    </row>
    <row r="6" spans="1:167">
      <c r="A6" s="11" t="s">
        <v>485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2578125" defaultRowHeight="15"/>
  <sheetData>
    <row r="1" spans="1:5">
      <c r="A1" t="s">
        <v>14</v>
      </c>
    </row>
    <row r="2" spans="1:5">
      <c r="A2" t="s">
        <v>15</v>
      </c>
    </row>
    <row r="3" spans="1:5">
      <c r="A3" t="s">
        <v>382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2578125" defaultRowHeight="15"/>
  <sheetData>
    <row r="1" spans="1:2">
      <c r="A1" t="s">
        <v>16</v>
      </c>
    </row>
    <row r="2" spans="1:2">
      <c r="A2" t="s">
        <v>17</v>
      </c>
    </row>
    <row r="3" spans="1:2">
      <c r="A3" t="s">
        <v>382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2578125" defaultRowHeight="15"/>
  <sheetData>
    <row r="1" spans="1:5">
      <c r="A1" t="s">
        <v>18</v>
      </c>
    </row>
    <row r="2" spans="1:5">
      <c r="A2" t="s">
        <v>19</v>
      </c>
    </row>
    <row r="3" spans="1:5">
      <c r="A3" t="s">
        <v>382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8" activePane="bottomLeft" state="frozen"/>
      <selection pane="bottomLeft" activeCell="O26" sqref="O26"/>
    </sheetView>
  </sheetViews>
  <sheetFormatPr defaultColWidth="11.42578125" defaultRowHeight="15"/>
  <cols>
    <col min="2" max="2" width="15" bestFit="1" customWidth="1"/>
    <col min="3" max="3" width="15.28515625" style="51" bestFit="1" customWidth="1"/>
    <col min="4" max="4" width="14.140625" style="51" bestFit="1" customWidth="1"/>
    <col min="5" max="5" width="16.7109375" style="51" bestFit="1" customWidth="1"/>
    <col min="6" max="6" width="17" style="51" customWidth="1"/>
    <col min="7" max="7" width="12.85546875" style="51" customWidth="1"/>
    <col min="8" max="8" width="16.140625" style="51" bestFit="1" customWidth="1"/>
    <col min="9" max="9" width="19.85546875" style="51" bestFit="1" customWidth="1"/>
    <col min="10" max="10" width="17.85546875" style="51" bestFit="1" customWidth="1"/>
  </cols>
  <sheetData>
    <row r="1" spans="1:32">
      <c r="A1" t="s">
        <v>366</v>
      </c>
    </row>
    <row r="2" spans="1:32">
      <c r="A2" t="s">
        <v>53</v>
      </c>
    </row>
    <row r="3" spans="1:32">
      <c r="A3" t="s">
        <v>360</v>
      </c>
    </row>
    <row r="5" spans="1:32">
      <c r="B5" s="31"/>
      <c r="C5" s="50" t="s">
        <v>479</v>
      </c>
      <c r="D5" s="50" t="s">
        <v>480</v>
      </c>
      <c r="E5" s="50" t="s">
        <v>481</v>
      </c>
      <c r="F5" s="50" t="s">
        <v>488</v>
      </c>
      <c r="G5" s="50" t="s">
        <v>487</v>
      </c>
      <c r="H5" s="50" t="s">
        <v>484</v>
      </c>
      <c r="I5" s="50" t="s">
        <v>485</v>
      </c>
      <c r="J5" s="50" t="s">
        <v>486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9" t="s">
        <v>479</v>
      </c>
      <c r="C6" s="50">
        <v>0</v>
      </c>
      <c r="D6" s="50">
        <v>59</v>
      </c>
      <c r="E6" s="50">
        <v>40.299999999999997</v>
      </c>
      <c r="F6" s="50">
        <v>70</v>
      </c>
      <c r="G6" s="50">
        <v>57</v>
      </c>
      <c r="H6" s="50">
        <v>47</v>
      </c>
      <c r="I6" s="50">
        <v>59.4</v>
      </c>
      <c r="J6" s="50">
        <v>56</v>
      </c>
    </row>
    <row r="7" spans="1:32" ht="15" customHeight="1">
      <c r="A7" t="s">
        <v>270</v>
      </c>
      <c r="B7" s="49" t="s">
        <v>480</v>
      </c>
      <c r="C7" s="50">
        <v>59</v>
      </c>
      <c r="D7" s="50">
        <v>0</v>
      </c>
      <c r="E7" s="50">
        <v>75.7</v>
      </c>
      <c r="F7" s="50">
        <v>81.900000000000006</v>
      </c>
      <c r="G7" s="50">
        <v>92.7</v>
      </c>
      <c r="H7" s="50">
        <v>62</v>
      </c>
      <c r="I7" s="50">
        <v>51.3</v>
      </c>
      <c r="J7" s="50">
        <v>40.9</v>
      </c>
    </row>
    <row r="8" spans="1:32" ht="15" customHeight="1">
      <c r="A8" t="s">
        <v>270</v>
      </c>
      <c r="B8" s="49" t="s">
        <v>481</v>
      </c>
      <c r="C8" s="50">
        <v>40.299999999999997</v>
      </c>
      <c r="D8" s="50">
        <v>75.7</v>
      </c>
      <c r="E8" s="50">
        <v>0</v>
      </c>
      <c r="F8" s="50">
        <v>85.3</v>
      </c>
      <c r="G8" s="50">
        <v>25.7</v>
      </c>
      <c r="H8" s="50">
        <v>44.5</v>
      </c>
      <c r="I8" s="50">
        <v>92.7</v>
      </c>
      <c r="J8" s="50">
        <v>68.2</v>
      </c>
    </row>
    <row r="9" spans="1:32" ht="15" customHeight="1">
      <c r="A9" t="s">
        <v>270</v>
      </c>
      <c r="B9" s="49" t="s">
        <v>488</v>
      </c>
      <c r="C9" s="50">
        <v>70</v>
      </c>
      <c r="D9" s="50">
        <v>81.900000000000006</v>
      </c>
      <c r="E9" s="50">
        <v>85.3</v>
      </c>
      <c r="F9" s="50">
        <v>0</v>
      </c>
      <c r="G9" s="50">
        <v>45</v>
      </c>
      <c r="H9" s="50">
        <v>21.6</v>
      </c>
      <c r="I9" s="50">
        <v>40.6</v>
      </c>
      <c r="J9" s="50">
        <v>42.1</v>
      </c>
    </row>
    <row r="10" spans="1:32" ht="15" customHeight="1">
      <c r="A10" t="s">
        <v>270</v>
      </c>
      <c r="B10" s="49" t="s">
        <v>487</v>
      </c>
      <c r="C10" s="50">
        <v>57</v>
      </c>
      <c r="D10" s="50">
        <v>92.7</v>
      </c>
      <c r="E10" s="50">
        <v>25.7</v>
      </c>
      <c r="F10" s="50">
        <v>45</v>
      </c>
      <c r="G10" s="50">
        <v>0</v>
      </c>
      <c r="H10" s="50">
        <v>58.7</v>
      </c>
      <c r="I10" s="50">
        <v>78.2</v>
      </c>
      <c r="J10" s="50">
        <v>67.3</v>
      </c>
    </row>
    <row r="11" spans="1:32" ht="15" customHeight="1">
      <c r="A11" t="s">
        <v>270</v>
      </c>
      <c r="B11" s="49" t="s">
        <v>484</v>
      </c>
      <c r="C11" s="50">
        <v>47</v>
      </c>
      <c r="D11" s="50">
        <v>62</v>
      </c>
      <c r="E11" s="50">
        <v>44.5</v>
      </c>
      <c r="F11" s="50">
        <v>21.6</v>
      </c>
      <c r="G11" s="50">
        <v>58.7</v>
      </c>
      <c r="H11" s="50">
        <v>0</v>
      </c>
      <c r="I11" s="50">
        <v>19.5</v>
      </c>
      <c r="J11" s="50">
        <v>19.7</v>
      </c>
    </row>
    <row r="12" spans="1:32" ht="15" customHeight="1">
      <c r="A12" t="s">
        <v>270</v>
      </c>
      <c r="B12" s="49" t="s">
        <v>485</v>
      </c>
      <c r="C12" s="50">
        <v>59.4</v>
      </c>
      <c r="D12" s="50">
        <v>51.3</v>
      </c>
      <c r="E12" s="50">
        <v>92.7</v>
      </c>
      <c r="F12" s="50">
        <v>40.6</v>
      </c>
      <c r="G12" s="50">
        <v>78.2</v>
      </c>
      <c r="H12" s="50">
        <v>19.5</v>
      </c>
      <c r="I12" s="50">
        <v>0</v>
      </c>
      <c r="J12" s="50">
        <v>24.5</v>
      </c>
    </row>
    <row r="13" spans="1:32" ht="15" customHeight="1">
      <c r="A13" t="s">
        <v>270</v>
      </c>
      <c r="B13" s="49" t="s">
        <v>486</v>
      </c>
      <c r="C13" s="50">
        <v>56</v>
      </c>
      <c r="D13" s="50">
        <v>40.9</v>
      </c>
      <c r="E13" s="50">
        <v>68.2</v>
      </c>
      <c r="F13" s="50">
        <v>42.1</v>
      </c>
      <c r="G13" s="50">
        <v>67.3</v>
      </c>
      <c r="H13" s="50">
        <v>19.7</v>
      </c>
      <c r="I13" s="50">
        <v>24.5</v>
      </c>
      <c r="J13" s="50">
        <v>0</v>
      </c>
    </row>
    <row r="14" spans="1:32" ht="15" customHeight="1">
      <c r="A14" t="s">
        <v>141</v>
      </c>
      <c r="B14" s="49" t="s">
        <v>479</v>
      </c>
      <c r="C14" s="50">
        <v>0</v>
      </c>
      <c r="D14" s="50">
        <v>59</v>
      </c>
      <c r="E14" s="50">
        <v>40.299999999999997</v>
      </c>
      <c r="F14" s="50">
        <v>70</v>
      </c>
      <c r="G14" s="50">
        <v>57</v>
      </c>
      <c r="H14" s="50">
        <v>47</v>
      </c>
      <c r="I14" s="50">
        <v>59.4</v>
      </c>
      <c r="J14" s="50">
        <v>56</v>
      </c>
    </row>
    <row r="15" spans="1:32" ht="15" customHeight="1">
      <c r="A15" t="s">
        <v>141</v>
      </c>
      <c r="B15" s="49" t="s">
        <v>480</v>
      </c>
      <c r="C15" s="50">
        <v>59</v>
      </c>
      <c r="D15" s="50">
        <v>0</v>
      </c>
      <c r="E15" s="50">
        <v>75.7</v>
      </c>
      <c r="F15" s="50">
        <v>81.900000000000006</v>
      </c>
      <c r="G15" s="50">
        <v>92.7</v>
      </c>
      <c r="H15" s="50">
        <v>62</v>
      </c>
      <c r="I15" s="50">
        <v>51.3</v>
      </c>
      <c r="J15" s="50">
        <v>40.9</v>
      </c>
    </row>
    <row r="16" spans="1:32" ht="15" customHeight="1">
      <c r="A16" t="s">
        <v>141</v>
      </c>
      <c r="B16" s="49" t="s">
        <v>481</v>
      </c>
      <c r="C16" s="50">
        <v>40.299999999999997</v>
      </c>
      <c r="D16" s="50">
        <v>75.7</v>
      </c>
      <c r="E16" s="50">
        <v>0</v>
      </c>
      <c r="F16" s="50">
        <v>85.3</v>
      </c>
      <c r="G16" s="50">
        <v>25.7</v>
      </c>
      <c r="H16" s="50">
        <v>44.5</v>
      </c>
      <c r="I16" s="50">
        <v>92.7</v>
      </c>
      <c r="J16" s="50">
        <v>68.2</v>
      </c>
    </row>
    <row r="17" spans="1:10">
      <c r="A17" t="s">
        <v>141</v>
      </c>
      <c r="B17" s="49" t="s">
        <v>488</v>
      </c>
      <c r="C17" s="50">
        <v>70</v>
      </c>
      <c r="D17" s="50">
        <v>81.900000000000006</v>
      </c>
      <c r="E17" s="50">
        <v>85.3</v>
      </c>
      <c r="F17" s="50">
        <v>0</v>
      </c>
      <c r="G17" s="50">
        <v>45</v>
      </c>
      <c r="H17" s="50">
        <v>21.6</v>
      </c>
      <c r="I17" s="50">
        <v>40.6</v>
      </c>
      <c r="J17" s="50">
        <v>42.1</v>
      </c>
    </row>
    <row r="18" spans="1:10" ht="15" customHeight="1">
      <c r="A18" t="s">
        <v>141</v>
      </c>
      <c r="B18" s="49" t="s">
        <v>487</v>
      </c>
      <c r="C18" s="50">
        <v>57</v>
      </c>
      <c r="D18" s="50">
        <v>92.7</v>
      </c>
      <c r="E18" s="50">
        <v>25.7</v>
      </c>
      <c r="F18" s="50">
        <v>45</v>
      </c>
      <c r="G18" s="50">
        <v>0</v>
      </c>
      <c r="H18" s="50">
        <v>58.7</v>
      </c>
      <c r="I18" s="50">
        <v>78.2</v>
      </c>
      <c r="J18" s="50">
        <v>67.3</v>
      </c>
    </row>
    <row r="19" spans="1:10" ht="15" customHeight="1">
      <c r="A19" t="s">
        <v>141</v>
      </c>
      <c r="B19" s="49" t="s">
        <v>484</v>
      </c>
      <c r="C19" s="50">
        <v>47</v>
      </c>
      <c r="D19" s="50">
        <v>62</v>
      </c>
      <c r="E19" s="50">
        <v>44.5</v>
      </c>
      <c r="F19" s="50">
        <v>21.6</v>
      </c>
      <c r="G19" s="50">
        <v>58.7</v>
      </c>
      <c r="H19" s="50">
        <v>0</v>
      </c>
      <c r="I19" s="50">
        <v>19.5</v>
      </c>
      <c r="J19" s="50">
        <v>19.7</v>
      </c>
    </row>
    <row r="20" spans="1:10" ht="15" customHeight="1">
      <c r="A20" t="s">
        <v>141</v>
      </c>
      <c r="B20" s="49" t="s">
        <v>485</v>
      </c>
      <c r="C20" s="50">
        <v>59.4</v>
      </c>
      <c r="D20" s="50">
        <v>51.3</v>
      </c>
      <c r="E20" s="50">
        <v>92.7</v>
      </c>
      <c r="F20" s="50">
        <v>40.6</v>
      </c>
      <c r="G20" s="50">
        <v>78.2</v>
      </c>
      <c r="H20" s="50">
        <v>19.5</v>
      </c>
      <c r="I20" s="50">
        <v>0</v>
      </c>
      <c r="J20" s="50">
        <v>24.5</v>
      </c>
    </row>
    <row r="21" spans="1:10" ht="15" customHeight="1">
      <c r="A21" t="s">
        <v>141</v>
      </c>
      <c r="B21" s="49" t="s">
        <v>486</v>
      </c>
      <c r="C21" s="50">
        <v>56</v>
      </c>
      <c r="D21" s="50">
        <v>40.9</v>
      </c>
      <c r="E21" s="50">
        <v>68.2</v>
      </c>
      <c r="F21" s="50">
        <v>42.1</v>
      </c>
      <c r="G21" s="50">
        <v>67.3</v>
      </c>
      <c r="H21" s="50">
        <v>19.7</v>
      </c>
      <c r="I21" s="50">
        <v>24.5</v>
      </c>
      <c r="J21" s="50">
        <v>0</v>
      </c>
    </row>
    <row r="22" spans="1:10" ht="15" customHeight="1">
      <c r="A22" t="s">
        <v>313</v>
      </c>
      <c r="B22" s="49" t="s">
        <v>479</v>
      </c>
      <c r="C22" s="50">
        <v>0</v>
      </c>
      <c r="D22" s="50">
        <v>59</v>
      </c>
      <c r="E22" s="50">
        <v>40.299999999999997</v>
      </c>
      <c r="F22" s="50">
        <v>70</v>
      </c>
      <c r="G22" s="50">
        <v>57</v>
      </c>
      <c r="H22" s="50">
        <v>47</v>
      </c>
      <c r="I22" s="50">
        <v>59.4</v>
      </c>
      <c r="J22" s="50">
        <v>56</v>
      </c>
    </row>
    <row r="23" spans="1:10" ht="15" customHeight="1">
      <c r="A23" t="s">
        <v>313</v>
      </c>
      <c r="B23" s="49" t="s">
        <v>480</v>
      </c>
      <c r="C23" s="50">
        <v>59</v>
      </c>
      <c r="D23" s="50">
        <v>0</v>
      </c>
      <c r="E23" s="50">
        <v>75.7</v>
      </c>
      <c r="F23" s="50">
        <v>81.900000000000006</v>
      </c>
      <c r="G23" s="50">
        <v>92.7</v>
      </c>
      <c r="H23" s="50">
        <v>62</v>
      </c>
      <c r="I23" s="50">
        <v>51.3</v>
      </c>
      <c r="J23" s="50">
        <v>40.9</v>
      </c>
    </row>
    <row r="24" spans="1:10" ht="15" customHeight="1">
      <c r="A24" t="s">
        <v>313</v>
      </c>
      <c r="B24" s="49" t="s">
        <v>481</v>
      </c>
      <c r="C24" s="50">
        <v>40.299999999999997</v>
      </c>
      <c r="D24" s="50">
        <v>75.7</v>
      </c>
      <c r="E24" s="50">
        <v>0</v>
      </c>
      <c r="F24" s="50">
        <v>85.3</v>
      </c>
      <c r="G24" s="50">
        <v>25.7</v>
      </c>
      <c r="H24" s="50">
        <v>44.5</v>
      </c>
      <c r="I24" s="50">
        <v>92.7</v>
      </c>
      <c r="J24" s="50">
        <v>68.2</v>
      </c>
    </row>
    <row r="25" spans="1:10" ht="15" customHeight="1">
      <c r="A25" t="s">
        <v>313</v>
      </c>
      <c r="B25" s="49" t="s">
        <v>488</v>
      </c>
      <c r="C25" s="50">
        <v>70</v>
      </c>
      <c r="D25" s="50">
        <v>81.900000000000006</v>
      </c>
      <c r="E25" s="50">
        <v>85.3</v>
      </c>
      <c r="F25" s="50">
        <v>0</v>
      </c>
      <c r="G25" s="50">
        <v>45</v>
      </c>
      <c r="H25" s="50">
        <v>21.6</v>
      </c>
      <c r="I25" s="50">
        <v>40.6</v>
      </c>
      <c r="J25" s="50">
        <v>42.1</v>
      </c>
    </row>
    <row r="26" spans="1:10" ht="15" customHeight="1">
      <c r="A26" t="s">
        <v>313</v>
      </c>
      <c r="B26" s="49" t="s">
        <v>487</v>
      </c>
      <c r="C26" s="50">
        <v>57</v>
      </c>
      <c r="D26" s="50">
        <v>92.7</v>
      </c>
      <c r="E26" s="50">
        <v>25.7</v>
      </c>
      <c r="F26" s="50">
        <v>45</v>
      </c>
      <c r="G26" s="50">
        <v>0</v>
      </c>
      <c r="H26" s="50">
        <v>58.7</v>
      </c>
      <c r="I26" s="50">
        <v>78.2</v>
      </c>
      <c r="J26" s="50">
        <v>67.3</v>
      </c>
    </row>
    <row r="27" spans="1:10" ht="15" customHeight="1">
      <c r="A27" t="s">
        <v>313</v>
      </c>
      <c r="B27" s="49" t="s">
        <v>484</v>
      </c>
      <c r="C27" s="50">
        <v>47</v>
      </c>
      <c r="D27" s="50">
        <v>62</v>
      </c>
      <c r="E27" s="50">
        <v>44.5</v>
      </c>
      <c r="F27" s="50">
        <v>21.6</v>
      </c>
      <c r="G27" s="50">
        <v>58.7</v>
      </c>
      <c r="H27" s="50">
        <v>0</v>
      </c>
      <c r="I27" s="50">
        <v>19.5</v>
      </c>
      <c r="J27" s="50">
        <v>19.7</v>
      </c>
    </row>
    <row r="28" spans="1:10" ht="15" customHeight="1">
      <c r="A28" t="s">
        <v>313</v>
      </c>
      <c r="B28" s="49" t="s">
        <v>485</v>
      </c>
      <c r="C28" s="50">
        <v>59.4</v>
      </c>
      <c r="D28" s="50">
        <v>51.3</v>
      </c>
      <c r="E28" s="50">
        <v>92.7</v>
      </c>
      <c r="F28" s="50">
        <v>40.6</v>
      </c>
      <c r="G28" s="50">
        <v>78.2</v>
      </c>
      <c r="H28" s="50">
        <v>19.5</v>
      </c>
      <c r="I28" s="50">
        <v>0</v>
      </c>
      <c r="J28" s="50">
        <v>24.5</v>
      </c>
    </row>
    <row r="29" spans="1:10" ht="15" customHeight="1">
      <c r="A29" t="s">
        <v>313</v>
      </c>
      <c r="B29" s="49" t="s">
        <v>486</v>
      </c>
      <c r="C29" s="50">
        <v>56</v>
      </c>
      <c r="D29" s="50">
        <v>40.9</v>
      </c>
      <c r="E29" s="50">
        <v>68.2</v>
      </c>
      <c r="F29" s="50">
        <v>42.1</v>
      </c>
      <c r="G29" s="50">
        <v>67.3</v>
      </c>
      <c r="H29" s="50">
        <v>19.7</v>
      </c>
      <c r="I29" s="50">
        <v>24.5</v>
      </c>
      <c r="J29" s="50">
        <v>0</v>
      </c>
    </row>
    <row r="30" spans="1:10" ht="15" customHeight="1">
      <c r="A30" t="s">
        <v>312</v>
      </c>
      <c r="B30" s="49" t="s">
        <v>479</v>
      </c>
      <c r="C30" s="50">
        <v>0</v>
      </c>
      <c r="D30" s="50">
        <v>59</v>
      </c>
      <c r="E30" s="50">
        <v>40.299999999999997</v>
      </c>
      <c r="F30" s="50">
        <v>70</v>
      </c>
      <c r="G30" s="50">
        <v>57</v>
      </c>
      <c r="H30" s="50">
        <v>47</v>
      </c>
      <c r="I30" s="50">
        <v>59.4</v>
      </c>
      <c r="J30" s="50">
        <v>56</v>
      </c>
    </row>
    <row r="31" spans="1:10" ht="15" customHeight="1">
      <c r="A31" t="s">
        <v>312</v>
      </c>
      <c r="B31" s="49" t="s">
        <v>480</v>
      </c>
      <c r="C31" s="50">
        <v>59</v>
      </c>
      <c r="D31" s="50">
        <v>0</v>
      </c>
      <c r="E31" s="50">
        <v>75.7</v>
      </c>
      <c r="F31" s="50">
        <v>81.900000000000006</v>
      </c>
      <c r="G31" s="50">
        <v>92.7</v>
      </c>
      <c r="H31" s="50">
        <v>62</v>
      </c>
      <c r="I31" s="50">
        <v>51.3</v>
      </c>
      <c r="J31" s="50">
        <v>40.9</v>
      </c>
    </row>
    <row r="32" spans="1:10" ht="15" customHeight="1">
      <c r="A32" t="s">
        <v>312</v>
      </c>
      <c r="B32" s="49" t="s">
        <v>481</v>
      </c>
      <c r="C32" s="50">
        <v>40.299999999999997</v>
      </c>
      <c r="D32" s="50">
        <v>75.7</v>
      </c>
      <c r="E32" s="50">
        <v>0</v>
      </c>
      <c r="F32" s="50">
        <v>85.3</v>
      </c>
      <c r="G32" s="50">
        <v>25.7</v>
      </c>
      <c r="H32" s="50">
        <v>44.5</v>
      </c>
      <c r="I32" s="50">
        <v>92.7</v>
      </c>
      <c r="J32" s="50">
        <v>68.2</v>
      </c>
    </row>
    <row r="33" spans="1:10" ht="15" customHeight="1">
      <c r="A33" t="s">
        <v>312</v>
      </c>
      <c r="B33" s="49" t="s">
        <v>488</v>
      </c>
      <c r="C33" s="50">
        <v>70</v>
      </c>
      <c r="D33" s="50">
        <v>81.900000000000006</v>
      </c>
      <c r="E33" s="50">
        <v>85.3</v>
      </c>
      <c r="F33" s="50">
        <v>0</v>
      </c>
      <c r="G33" s="50">
        <v>45</v>
      </c>
      <c r="H33" s="50">
        <v>21.6</v>
      </c>
      <c r="I33" s="50">
        <v>40.6</v>
      </c>
      <c r="J33" s="50">
        <v>42.1</v>
      </c>
    </row>
    <row r="34" spans="1:10" ht="15" customHeight="1">
      <c r="A34" t="s">
        <v>312</v>
      </c>
      <c r="B34" s="49" t="s">
        <v>487</v>
      </c>
      <c r="C34" s="50">
        <v>57</v>
      </c>
      <c r="D34" s="50">
        <v>92.7</v>
      </c>
      <c r="E34" s="50">
        <v>25.7</v>
      </c>
      <c r="F34" s="50">
        <v>45</v>
      </c>
      <c r="G34" s="50">
        <v>0</v>
      </c>
      <c r="H34" s="50">
        <v>58.7</v>
      </c>
      <c r="I34" s="50">
        <v>78.2</v>
      </c>
      <c r="J34" s="50">
        <v>67.3</v>
      </c>
    </row>
    <row r="35" spans="1:10" ht="15" customHeight="1">
      <c r="A35" t="s">
        <v>312</v>
      </c>
      <c r="B35" s="49" t="s">
        <v>484</v>
      </c>
      <c r="C35" s="50">
        <v>47</v>
      </c>
      <c r="D35" s="50">
        <v>62</v>
      </c>
      <c r="E35" s="50">
        <v>44.5</v>
      </c>
      <c r="F35" s="50">
        <v>21.6</v>
      </c>
      <c r="G35" s="50">
        <v>58.7</v>
      </c>
      <c r="H35" s="50">
        <v>0</v>
      </c>
      <c r="I35" s="50">
        <v>19.5</v>
      </c>
      <c r="J35" s="50">
        <v>19.7</v>
      </c>
    </row>
    <row r="36" spans="1:10" ht="15" customHeight="1">
      <c r="A36" t="s">
        <v>312</v>
      </c>
      <c r="B36" s="49" t="s">
        <v>485</v>
      </c>
      <c r="C36" s="50">
        <v>59.4</v>
      </c>
      <c r="D36" s="50">
        <v>51.3</v>
      </c>
      <c r="E36" s="50">
        <v>92.7</v>
      </c>
      <c r="F36" s="50">
        <v>40.6</v>
      </c>
      <c r="G36" s="50">
        <v>78.2</v>
      </c>
      <c r="H36" s="50">
        <v>19.5</v>
      </c>
      <c r="I36" s="50">
        <v>0</v>
      </c>
      <c r="J36" s="50">
        <v>24.5</v>
      </c>
    </row>
    <row r="37" spans="1:10" ht="15" customHeight="1">
      <c r="A37" t="s">
        <v>312</v>
      </c>
      <c r="B37" s="49" t="s">
        <v>486</v>
      </c>
      <c r="C37" s="50">
        <v>56</v>
      </c>
      <c r="D37" s="50">
        <v>40.9</v>
      </c>
      <c r="E37" s="50">
        <v>68.2</v>
      </c>
      <c r="F37" s="50">
        <v>42.1</v>
      </c>
      <c r="G37" s="50">
        <v>67.3</v>
      </c>
      <c r="H37" s="50">
        <v>19.7</v>
      </c>
      <c r="I37" s="50">
        <v>24.5</v>
      </c>
      <c r="J37" s="50">
        <v>0</v>
      </c>
    </row>
    <row r="38" spans="1:10" ht="15" customHeight="1">
      <c r="A38" t="s">
        <v>138</v>
      </c>
      <c r="B38" s="49" t="s">
        <v>479</v>
      </c>
      <c r="C38" s="50">
        <v>0</v>
      </c>
      <c r="D38" s="50">
        <v>59</v>
      </c>
      <c r="E38" s="50">
        <v>40.299999999999997</v>
      </c>
      <c r="F38" s="50">
        <v>70</v>
      </c>
      <c r="G38" s="50">
        <v>57</v>
      </c>
      <c r="H38" s="50">
        <v>47</v>
      </c>
      <c r="I38" s="50">
        <v>59.4</v>
      </c>
      <c r="J38" s="50">
        <v>56</v>
      </c>
    </row>
    <row r="39" spans="1:10" ht="15" customHeight="1">
      <c r="A39" t="s">
        <v>138</v>
      </c>
      <c r="B39" s="49" t="s">
        <v>480</v>
      </c>
      <c r="C39" s="50">
        <v>59</v>
      </c>
      <c r="D39" s="50">
        <v>0</v>
      </c>
      <c r="E39" s="50">
        <v>75.7</v>
      </c>
      <c r="F39" s="50">
        <v>81.900000000000006</v>
      </c>
      <c r="G39" s="50">
        <v>92.7</v>
      </c>
      <c r="H39" s="50">
        <v>62</v>
      </c>
      <c r="I39" s="50">
        <v>51.3</v>
      </c>
      <c r="J39" s="50">
        <v>40.9</v>
      </c>
    </row>
    <row r="40" spans="1:10" ht="15" customHeight="1">
      <c r="A40" t="s">
        <v>138</v>
      </c>
      <c r="B40" s="49" t="s">
        <v>481</v>
      </c>
      <c r="C40" s="50">
        <v>40.299999999999997</v>
      </c>
      <c r="D40" s="50">
        <v>75.7</v>
      </c>
      <c r="E40" s="50">
        <v>0</v>
      </c>
      <c r="F40" s="50">
        <v>85.3</v>
      </c>
      <c r="G40" s="50">
        <v>25.7</v>
      </c>
      <c r="H40" s="50">
        <v>44.5</v>
      </c>
      <c r="I40" s="50">
        <v>92.7</v>
      </c>
      <c r="J40" s="50">
        <v>68.2</v>
      </c>
    </row>
    <row r="41" spans="1:10" ht="15" customHeight="1">
      <c r="A41" t="s">
        <v>138</v>
      </c>
      <c r="B41" s="49" t="s">
        <v>488</v>
      </c>
      <c r="C41" s="50">
        <v>70</v>
      </c>
      <c r="D41" s="50">
        <v>81.900000000000006</v>
      </c>
      <c r="E41" s="50">
        <v>85.3</v>
      </c>
      <c r="F41" s="50">
        <v>0</v>
      </c>
      <c r="G41" s="50">
        <v>45</v>
      </c>
      <c r="H41" s="50">
        <v>21.6</v>
      </c>
      <c r="I41" s="50">
        <v>40.6</v>
      </c>
      <c r="J41" s="50">
        <v>42.1</v>
      </c>
    </row>
    <row r="42" spans="1:10" ht="15" customHeight="1">
      <c r="A42" t="s">
        <v>138</v>
      </c>
      <c r="B42" s="49" t="s">
        <v>487</v>
      </c>
      <c r="C42" s="50">
        <v>57</v>
      </c>
      <c r="D42" s="50">
        <v>92.7</v>
      </c>
      <c r="E42" s="50">
        <v>25.7</v>
      </c>
      <c r="F42" s="50">
        <v>45</v>
      </c>
      <c r="G42" s="50">
        <v>0</v>
      </c>
      <c r="H42" s="50">
        <v>58.7</v>
      </c>
      <c r="I42" s="50">
        <v>78.2</v>
      </c>
      <c r="J42" s="50">
        <v>67.3</v>
      </c>
    </row>
    <row r="43" spans="1:10" ht="15" customHeight="1">
      <c r="A43" t="s">
        <v>138</v>
      </c>
      <c r="B43" s="49" t="s">
        <v>484</v>
      </c>
      <c r="C43" s="50">
        <v>47</v>
      </c>
      <c r="D43" s="50">
        <v>62</v>
      </c>
      <c r="E43" s="50">
        <v>44.5</v>
      </c>
      <c r="F43" s="50">
        <v>21.6</v>
      </c>
      <c r="G43" s="50">
        <v>58.7</v>
      </c>
      <c r="H43" s="50">
        <v>0</v>
      </c>
      <c r="I43" s="50">
        <v>19.5</v>
      </c>
      <c r="J43" s="50">
        <v>19.7</v>
      </c>
    </row>
    <row r="44" spans="1:10">
      <c r="A44" t="s">
        <v>138</v>
      </c>
      <c r="B44" s="49" t="s">
        <v>485</v>
      </c>
      <c r="C44" s="50">
        <v>59.4</v>
      </c>
      <c r="D44" s="50">
        <v>51.3</v>
      </c>
      <c r="E44" s="50">
        <v>92.7</v>
      </c>
      <c r="F44" s="50">
        <v>40.6</v>
      </c>
      <c r="G44" s="50">
        <v>78.2</v>
      </c>
      <c r="H44" s="50">
        <v>19.5</v>
      </c>
      <c r="I44" s="50">
        <v>0</v>
      </c>
      <c r="J44" s="50">
        <v>24.5</v>
      </c>
    </row>
    <row r="45" spans="1:10" ht="15" customHeight="1">
      <c r="A45" t="s">
        <v>138</v>
      </c>
      <c r="B45" s="49" t="s">
        <v>486</v>
      </c>
      <c r="C45" s="50">
        <v>56</v>
      </c>
      <c r="D45" s="50">
        <v>40.9</v>
      </c>
      <c r="E45" s="50">
        <v>68.2</v>
      </c>
      <c r="F45" s="50">
        <v>42.1</v>
      </c>
      <c r="G45" s="50">
        <v>67.3</v>
      </c>
      <c r="H45" s="50">
        <v>19.7</v>
      </c>
      <c r="I45" s="50">
        <v>24.5</v>
      </c>
      <c r="J45" s="50">
        <v>0</v>
      </c>
    </row>
    <row r="46" spans="1:10" ht="15" customHeight="1">
      <c r="A46" t="s">
        <v>24</v>
      </c>
      <c r="B46" s="49" t="s">
        <v>479</v>
      </c>
      <c r="C46" s="50">
        <v>0</v>
      </c>
      <c r="D46" s="50">
        <v>0</v>
      </c>
      <c r="E46" s="50">
        <v>0</v>
      </c>
      <c r="F46" s="50">
        <v>0</v>
      </c>
      <c r="G46" s="50">
        <v>32.6</v>
      </c>
      <c r="H46" s="50">
        <v>0</v>
      </c>
      <c r="I46" s="50">
        <v>0</v>
      </c>
      <c r="J46" s="50">
        <v>0</v>
      </c>
    </row>
    <row r="47" spans="1:10" ht="15" customHeight="1">
      <c r="A47" t="s">
        <v>24</v>
      </c>
      <c r="B47" s="49" t="s">
        <v>480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31.5</v>
      </c>
    </row>
    <row r="48" spans="1:10" ht="15" customHeight="1">
      <c r="A48" t="s">
        <v>24</v>
      </c>
      <c r="B48" s="49" t="s">
        <v>481</v>
      </c>
      <c r="C48" s="50">
        <v>0</v>
      </c>
      <c r="D48" s="50">
        <v>0</v>
      </c>
      <c r="E48" s="50">
        <v>0</v>
      </c>
      <c r="F48" s="50">
        <v>0</v>
      </c>
      <c r="G48" s="50">
        <v>24.1</v>
      </c>
      <c r="H48" s="50">
        <v>0</v>
      </c>
      <c r="I48" s="50">
        <v>0</v>
      </c>
      <c r="J48" s="50">
        <v>0</v>
      </c>
    </row>
    <row r="49" spans="1:10" ht="15" customHeight="1">
      <c r="A49" t="s">
        <v>24</v>
      </c>
      <c r="B49" s="49" t="s">
        <v>488</v>
      </c>
      <c r="C49" s="50">
        <v>0</v>
      </c>
      <c r="D49" s="50">
        <v>0</v>
      </c>
      <c r="E49" s="50">
        <v>0</v>
      </c>
      <c r="F49" s="50">
        <v>0</v>
      </c>
      <c r="G49" s="50">
        <v>33.799999999999997</v>
      </c>
      <c r="H49" s="50">
        <v>16</v>
      </c>
      <c r="I49" s="50">
        <v>0</v>
      </c>
      <c r="J49" s="50">
        <v>0</v>
      </c>
    </row>
    <row r="50" spans="1:10" ht="15" customHeight="1">
      <c r="A50" t="s">
        <v>24</v>
      </c>
      <c r="B50" s="49" t="s">
        <v>487</v>
      </c>
      <c r="C50" s="50">
        <v>32.6</v>
      </c>
      <c r="D50" s="50">
        <v>0</v>
      </c>
      <c r="E50" s="50">
        <v>24.1</v>
      </c>
      <c r="F50" s="50">
        <v>33.799999999999997</v>
      </c>
      <c r="G50" s="50">
        <v>0</v>
      </c>
      <c r="H50" s="50">
        <v>0</v>
      </c>
      <c r="I50" s="50">
        <v>0</v>
      </c>
      <c r="J50" s="50">
        <v>0</v>
      </c>
    </row>
    <row r="51" spans="1:10" ht="15" customHeight="1">
      <c r="A51" t="s">
        <v>24</v>
      </c>
      <c r="B51" s="49" t="s">
        <v>484</v>
      </c>
      <c r="C51" s="50">
        <v>0</v>
      </c>
      <c r="D51" s="50">
        <v>0</v>
      </c>
      <c r="E51" s="50">
        <v>0</v>
      </c>
      <c r="F51" s="50">
        <v>16</v>
      </c>
      <c r="G51" s="50">
        <v>0</v>
      </c>
      <c r="H51" s="50">
        <v>0</v>
      </c>
      <c r="I51" s="50">
        <v>15.1</v>
      </c>
      <c r="J51" s="50">
        <v>18.7</v>
      </c>
    </row>
    <row r="52" spans="1:10" ht="15" customHeight="1">
      <c r="A52" t="s">
        <v>24</v>
      </c>
      <c r="B52" s="49" t="s">
        <v>485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15.1</v>
      </c>
      <c r="I52" s="50">
        <v>0</v>
      </c>
      <c r="J52" s="50">
        <v>8.8800000000000008</v>
      </c>
    </row>
    <row r="53" spans="1:10" ht="15" customHeight="1">
      <c r="A53" t="s">
        <v>24</v>
      </c>
      <c r="B53" s="49" t="s">
        <v>486</v>
      </c>
      <c r="C53" s="50">
        <v>0</v>
      </c>
      <c r="D53" s="50">
        <v>31.5</v>
      </c>
      <c r="E53" s="50">
        <v>0</v>
      </c>
      <c r="F53" s="50">
        <v>0</v>
      </c>
      <c r="G53" s="50">
        <v>0</v>
      </c>
      <c r="H53" s="50">
        <v>18.7</v>
      </c>
      <c r="I53" s="50">
        <v>8.8800000000000008</v>
      </c>
      <c r="J53" s="50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autoFilter ref="A5:AE423" xr:uid="{00000000-0009-0000-0000-000008000000}"/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C25" sqref="C25"/>
    </sheetView>
  </sheetViews>
  <sheetFormatPr defaultColWidth="11.42578125" defaultRowHeight="15"/>
  <cols>
    <col min="2" max="2" width="17.5703125" bestFit="1" customWidth="1"/>
    <col min="3" max="4" width="14.42578125" customWidth="1"/>
    <col min="5" max="5" width="12.85546875" customWidth="1"/>
    <col min="6" max="6" width="18.42578125" customWidth="1"/>
    <col min="7" max="7" width="15.42578125" customWidth="1"/>
    <col min="8" max="8" width="13.85546875" bestFit="1" customWidth="1"/>
    <col min="9" max="9" width="17.5703125" bestFit="1" customWidth="1"/>
    <col min="10" max="10" width="15.5703125" bestFit="1" customWidth="1"/>
    <col min="11" max="11" width="15.85546875" customWidth="1"/>
    <col min="12" max="12" width="16" customWidth="1"/>
    <col min="14" max="14" width="15.42578125" customWidth="1"/>
    <col min="15" max="15" width="21.85546875" customWidth="1"/>
    <col min="22" max="22" width="11.85546875" customWidth="1"/>
  </cols>
  <sheetData>
    <row r="1" spans="1:38">
      <c r="A1" t="s">
        <v>368</v>
      </c>
    </row>
    <row r="2" spans="1:38">
      <c r="A2" t="s">
        <v>364</v>
      </c>
    </row>
    <row r="3" spans="1:38">
      <c r="A3" t="s">
        <v>363</v>
      </c>
    </row>
    <row r="4" spans="1:38">
      <c r="C4" s="47"/>
      <c r="D4" s="47"/>
      <c r="E4" s="47"/>
      <c r="F4" s="47"/>
      <c r="G4" s="47"/>
      <c r="H4" s="47"/>
      <c r="I4" s="47"/>
      <c r="J4" s="47"/>
    </row>
    <row r="5" spans="1:38">
      <c r="B5" s="31"/>
      <c r="C5" s="52" t="s">
        <v>479</v>
      </c>
      <c r="D5" s="52" t="s">
        <v>480</v>
      </c>
      <c r="E5" s="52" t="s">
        <v>481</v>
      </c>
      <c r="F5" s="52" t="s">
        <v>488</v>
      </c>
      <c r="G5" s="52" t="s">
        <v>487</v>
      </c>
      <c r="H5" s="52" t="s">
        <v>484</v>
      </c>
      <c r="I5" s="52" t="s">
        <v>485</v>
      </c>
      <c r="J5" s="52" t="s">
        <v>486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433</v>
      </c>
      <c r="B6" s="49" t="s">
        <v>479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8">
      <c r="A7" t="s">
        <v>433</v>
      </c>
      <c r="B7" s="49" t="s">
        <v>480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8">
      <c r="A8" t="s">
        <v>433</v>
      </c>
      <c r="B8" s="49" t="s">
        <v>481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8">
      <c r="A9" t="s">
        <v>433</v>
      </c>
      <c r="B9" s="49" t="s">
        <v>488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8">
      <c r="A10" t="s">
        <v>433</v>
      </c>
      <c r="B10" s="49" t="s">
        <v>487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8">
      <c r="A11" t="s">
        <v>433</v>
      </c>
      <c r="B11" s="49" t="s">
        <v>484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8">
      <c r="A12" t="s">
        <v>433</v>
      </c>
      <c r="B12" s="49" t="s">
        <v>485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8">
      <c r="A13" t="s">
        <v>433</v>
      </c>
      <c r="B13" s="49" t="s">
        <v>486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8">
      <c r="A14" s="49" t="s">
        <v>141</v>
      </c>
      <c r="B14" s="49" t="s">
        <v>479</v>
      </c>
      <c r="C14" s="49">
        <f>ROUND(IF(C6&gt;0, ((0.0014*C6+13.97)/1.15)*(10^12)/(1000*29308)/1000000, 0),3)</f>
        <v>0</v>
      </c>
      <c r="D14" s="49">
        <f t="shared" ref="D14:J14" si="0">ROUND(IF(D6&gt;0, ((0.0014*D6+13.97)/1.15)*(10^12)/(1000*29308)/1000000, 0),3)</f>
        <v>0.41699999999999998</v>
      </c>
      <c r="E14" s="49">
        <f t="shared" si="0"/>
        <v>0.41599999999999998</v>
      </c>
      <c r="F14" s="49">
        <f t="shared" si="0"/>
        <v>0.41699999999999998</v>
      </c>
      <c r="G14" s="49">
        <f t="shared" si="0"/>
        <v>0.41699999999999998</v>
      </c>
      <c r="H14" s="49">
        <f t="shared" si="0"/>
        <v>0.41599999999999998</v>
      </c>
      <c r="I14" s="49">
        <f t="shared" si="0"/>
        <v>0.41699999999999998</v>
      </c>
      <c r="J14" s="49">
        <f t="shared" si="0"/>
        <v>0.41699999999999998</v>
      </c>
    </row>
    <row r="15" spans="1:38">
      <c r="A15" t="s">
        <v>141</v>
      </c>
      <c r="B15" s="49" t="s">
        <v>480</v>
      </c>
      <c r="C15" s="49">
        <f t="shared" ref="C15:J15" si="1">ROUND(IF(C7&gt;0, ((0.0014*C7+13.97)/1.15)*(10^12)/(1000*29308)/1000000, 0),3)</f>
        <v>0.41699999999999998</v>
      </c>
      <c r="D15" s="49">
        <f t="shared" si="1"/>
        <v>0</v>
      </c>
      <c r="E15" s="49">
        <f t="shared" si="1"/>
        <v>0.41799999999999998</v>
      </c>
      <c r="F15" s="49">
        <f t="shared" si="1"/>
        <v>0.41799999999999998</v>
      </c>
      <c r="G15" s="49">
        <f t="shared" si="1"/>
        <v>0.41799999999999998</v>
      </c>
      <c r="H15" s="49">
        <f t="shared" si="1"/>
        <v>0.41699999999999998</v>
      </c>
      <c r="I15" s="49">
        <f t="shared" si="1"/>
        <v>0.41699999999999998</v>
      </c>
      <c r="J15" s="49">
        <f t="shared" si="1"/>
        <v>0.41599999999999998</v>
      </c>
    </row>
    <row r="16" spans="1:38">
      <c r="A16" t="s">
        <v>141</v>
      </c>
      <c r="B16" s="49" t="s">
        <v>481</v>
      </c>
      <c r="C16" s="49">
        <f t="shared" ref="C16:J16" si="2">ROUND(IF(C8&gt;0, ((0.0014*C8+13.97)/1.15)*(10^12)/(1000*29308)/1000000, 0),3)</f>
        <v>0.41599999999999998</v>
      </c>
      <c r="D16" s="49">
        <f t="shared" si="2"/>
        <v>0.41799999999999998</v>
      </c>
      <c r="E16" s="49">
        <f t="shared" si="2"/>
        <v>0</v>
      </c>
      <c r="F16" s="49">
        <f t="shared" si="2"/>
        <v>0.41799999999999998</v>
      </c>
      <c r="G16" s="49">
        <f t="shared" si="2"/>
        <v>0.41599999999999998</v>
      </c>
      <c r="H16" s="49">
        <f t="shared" si="2"/>
        <v>0.41599999999999998</v>
      </c>
      <c r="I16" s="49">
        <f t="shared" si="2"/>
        <v>0.41799999999999998</v>
      </c>
      <c r="J16" s="49">
        <f t="shared" si="2"/>
        <v>0.41699999999999998</v>
      </c>
    </row>
    <row r="17" spans="1:10">
      <c r="A17" t="s">
        <v>141</v>
      </c>
      <c r="B17" s="49" t="s">
        <v>488</v>
      </c>
      <c r="C17" s="49">
        <f t="shared" ref="C17:J17" si="3">ROUND(IF(C9&gt;0, ((0.0014*C9+13.97)/1.15)*(10^12)/(1000*29308)/1000000, 0),3)</f>
        <v>0.41699999999999998</v>
      </c>
      <c r="D17" s="49">
        <f t="shared" si="3"/>
        <v>0.41799999999999998</v>
      </c>
      <c r="E17" s="49">
        <f t="shared" si="3"/>
        <v>0.41799999999999998</v>
      </c>
      <c r="F17" s="49">
        <f t="shared" si="3"/>
        <v>0</v>
      </c>
      <c r="G17" s="49">
        <f t="shared" si="3"/>
        <v>0.41599999999999998</v>
      </c>
      <c r="H17" s="49">
        <f t="shared" si="3"/>
        <v>0.41499999999999998</v>
      </c>
      <c r="I17" s="49">
        <f t="shared" si="3"/>
        <v>0.41599999999999998</v>
      </c>
      <c r="J17" s="49">
        <f t="shared" si="3"/>
        <v>0.41599999999999998</v>
      </c>
    </row>
    <row r="18" spans="1:10">
      <c r="A18" t="s">
        <v>141</v>
      </c>
      <c r="B18" s="49" t="s">
        <v>487</v>
      </c>
      <c r="C18" s="49">
        <f t="shared" ref="C18:J18" si="4">ROUND(IF(C10&gt;0, ((0.0014*C10+13.97)/1.15)*(10^12)/(1000*29308)/1000000, 0),3)</f>
        <v>0.41699999999999998</v>
      </c>
      <c r="D18" s="49">
        <f t="shared" si="4"/>
        <v>0.41799999999999998</v>
      </c>
      <c r="E18" s="49">
        <f t="shared" si="4"/>
        <v>0.41599999999999998</v>
      </c>
      <c r="F18" s="49">
        <f t="shared" si="4"/>
        <v>0.41599999999999998</v>
      </c>
      <c r="G18" s="49">
        <f t="shared" si="4"/>
        <v>0</v>
      </c>
      <c r="H18" s="49">
        <f t="shared" si="4"/>
        <v>0.41699999999999998</v>
      </c>
      <c r="I18" s="49">
        <f t="shared" si="4"/>
        <v>0.41799999999999998</v>
      </c>
      <c r="J18" s="49">
        <f t="shared" si="4"/>
        <v>0.41699999999999998</v>
      </c>
    </row>
    <row r="19" spans="1:10">
      <c r="A19" t="s">
        <v>141</v>
      </c>
      <c r="B19" s="49" t="s">
        <v>484</v>
      </c>
      <c r="C19" s="49">
        <f t="shared" ref="C19:J19" si="5">ROUND(IF(C11&gt;0, ((0.0014*C11+13.97)/1.15)*(10^12)/(1000*29308)/1000000, 0),3)</f>
        <v>0.41599999999999998</v>
      </c>
      <c r="D19" s="49">
        <f t="shared" si="5"/>
        <v>0.41699999999999998</v>
      </c>
      <c r="E19" s="49">
        <f t="shared" si="5"/>
        <v>0.41599999999999998</v>
      </c>
      <c r="F19" s="49">
        <f t="shared" si="5"/>
        <v>0.41499999999999998</v>
      </c>
      <c r="G19" s="49">
        <f t="shared" si="5"/>
        <v>0.41699999999999998</v>
      </c>
      <c r="H19" s="49">
        <f t="shared" si="5"/>
        <v>0</v>
      </c>
      <c r="I19" s="49">
        <f t="shared" si="5"/>
        <v>0.41499999999999998</v>
      </c>
      <c r="J19" s="49">
        <f t="shared" si="5"/>
        <v>0.41499999999999998</v>
      </c>
    </row>
    <row r="20" spans="1:10">
      <c r="A20" t="s">
        <v>141</v>
      </c>
      <c r="B20" s="49" t="s">
        <v>485</v>
      </c>
      <c r="C20" s="49">
        <f t="shared" ref="C20:J20" si="6">ROUND(IF(C12&gt;0, ((0.0014*C12+13.97)/1.15)*(10^12)/(1000*29308)/1000000, 0),3)</f>
        <v>0.41699999999999998</v>
      </c>
      <c r="D20" s="49">
        <f t="shared" si="6"/>
        <v>0.41699999999999998</v>
      </c>
      <c r="E20" s="49">
        <f t="shared" si="6"/>
        <v>0.41799999999999998</v>
      </c>
      <c r="F20" s="49">
        <f t="shared" si="6"/>
        <v>0.41599999999999998</v>
      </c>
      <c r="G20" s="49">
        <f t="shared" si="6"/>
        <v>0.41799999999999998</v>
      </c>
      <c r="H20" s="49">
        <f t="shared" si="6"/>
        <v>0.41499999999999998</v>
      </c>
      <c r="I20" s="49">
        <f t="shared" si="6"/>
        <v>0</v>
      </c>
      <c r="J20" s="49">
        <f t="shared" si="6"/>
        <v>0.41599999999999998</v>
      </c>
    </row>
    <row r="21" spans="1:10">
      <c r="A21" t="s">
        <v>141</v>
      </c>
      <c r="B21" s="49" t="s">
        <v>486</v>
      </c>
      <c r="C21" s="49">
        <f t="shared" ref="C21:J21" si="7">ROUND(IF(C13&gt;0, ((0.0014*C13+13.97)/1.15)*(10^12)/(1000*29308)/1000000, 0),3)</f>
        <v>0.41699999999999998</v>
      </c>
      <c r="D21" s="49">
        <f t="shared" si="7"/>
        <v>0.41599999999999998</v>
      </c>
      <c r="E21" s="49">
        <f t="shared" si="7"/>
        <v>0.41699999999999998</v>
      </c>
      <c r="F21" s="49">
        <f t="shared" si="7"/>
        <v>0.41599999999999998</v>
      </c>
      <c r="G21" s="49">
        <f t="shared" si="7"/>
        <v>0.41699999999999998</v>
      </c>
      <c r="H21" s="49">
        <f t="shared" si="7"/>
        <v>0.41499999999999998</v>
      </c>
      <c r="I21" s="49">
        <f t="shared" si="7"/>
        <v>0.41599999999999998</v>
      </c>
      <c r="J21" s="49">
        <f t="shared" si="7"/>
        <v>0</v>
      </c>
    </row>
    <row r="22" spans="1:10">
      <c r="A22" s="49" t="s">
        <v>138</v>
      </c>
      <c r="B22" s="49" t="s">
        <v>479</v>
      </c>
      <c r="C22" s="49">
        <f t="shared" ref="C22:C29" si="8">ROUND((EXP(7.032824+1*0.622482)*((C6/1.852)^ 0.40303))/(1.15*0.0059)/1000000,3)</f>
        <v>0</v>
      </c>
      <c r="D22" s="49">
        <f t="shared" ref="D22:J22" si="9">ROUND((EXP(7.032824+1*0.622482)*((D6/1.852)^ 0.40303))/(1.15*0.0059)/1000000,3)</f>
        <v>1.256</v>
      </c>
      <c r="E22" s="49">
        <f t="shared" si="9"/>
        <v>1.077</v>
      </c>
      <c r="F22" s="49">
        <f t="shared" si="9"/>
        <v>1.345</v>
      </c>
      <c r="G22" s="49">
        <f t="shared" si="9"/>
        <v>1.2390000000000001</v>
      </c>
      <c r="H22" s="49">
        <f t="shared" si="9"/>
        <v>1.1459999999999999</v>
      </c>
      <c r="I22" s="49">
        <f t="shared" si="9"/>
        <v>1.2589999999999999</v>
      </c>
      <c r="J22" s="49">
        <f t="shared" si="9"/>
        <v>1.23</v>
      </c>
    </row>
    <row r="23" spans="1:10">
      <c r="A23" t="s">
        <v>138</v>
      </c>
      <c r="B23" s="49" t="s">
        <v>480</v>
      </c>
      <c r="C23" s="49">
        <f t="shared" si="8"/>
        <v>1.256</v>
      </c>
      <c r="D23" s="49">
        <f t="shared" ref="D23:J28" si="10">ROUND((EXP(7.032824+1*0.622482)*((D7/1.852)^ 0.40303))/(1.15*0.0059)/1000000,3)</f>
        <v>0</v>
      </c>
      <c r="E23" s="49">
        <f t="shared" si="10"/>
        <v>1.389</v>
      </c>
      <c r="F23" s="49">
        <f t="shared" si="10"/>
        <v>1.4330000000000001</v>
      </c>
      <c r="G23" s="49">
        <f t="shared" si="10"/>
        <v>1.5069999999999999</v>
      </c>
      <c r="H23" s="49">
        <f t="shared" si="10"/>
        <v>1.2809999999999999</v>
      </c>
      <c r="I23" s="49">
        <f t="shared" si="10"/>
        <v>1.1870000000000001</v>
      </c>
      <c r="J23" s="49">
        <f t="shared" si="10"/>
        <v>1.083</v>
      </c>
    </row>
    <row r="24" spans="1:10">
      <c r="A24" t="s">
        <v>138</v>
      </c>
      <c r="B24" s="49" t="s">
        <v>481</v>
      </c>
      <c r="C24" s="49">
        <f>ROUND((EXP(7.032824+1*0.622482)*((C8/1.852)^ 0.40303))/(1.15*0.0059)/1000000,3)</f>
        <v>1.077</v>
      </c>
      <c r="D24" s="49">
        <f t="shared" si="10"/>
        <v>1.389</v>
      </c>
      <c r="E24" s="49">
        <f t="shared" si="10"/>
        <v>0</v>
      </c>
      <c r="F24" s="49">
        <f t="shared" si="10"/>
        <v>1.4570000000000001</v>
      </c>
      <c r="G24" s="49">
        <f t="shared" si="10"/>
        <v>0.89800000000000002</v>
      </c>
      <c r="H24" s="49">
        <f t="shared" si="10"/>
        <v>1.121</v>
      </c>
      <c r="I24" s="49">
        <f t="shared" si="10"/>
        <v>1.5069999999999999</v>
      </c>
      <c r="J24" s="49">
        <f t="shared" si="10"/>
        <v>1.331</v>
      </c>
    </row>
    <row r="25" spans="1:10">
      <c r="A25" t="s">
        <v>138</v>
      </c>
      <c r="B25" s="49" t="s">
        <v>488</v>
      </c>
      <c r="C25" s="49">
        <f t="shared" si="8"/>
        <v>1.345</v>
      </c>
      <c r="D25" s="49">
        <f t="shared" si="10"/>
        <v>1.4330000000000001</v>
      </c>
      <c r="E25" s="49">
        <f t="shared" si="10"/>
        <v>1.4570000000000001</v>
      </c>
      <c r="F25" s="49">
        <f t="shared" si="10"/>
        <v>0</v>
      </c>
      <c r="G25" s="49">
        <f t="shared" si="10"/>
        <v>1.1259999999999999</v>
      </c>
      <c r="H25" s="49">
        <f t="shared" si="10"/>
        <v>0.83799999999999997</v>
      </c>
      <c r="I25" s="49">
        <f t="shared" si="10"/>
        <v>1.08</v>
      </c>
      <c r="J25" s="49">
        <f t="shared" si="10"/>
        <v>1.0960000000000001</v>
      </c>
    </row>
    <row r="26" spans="1:10">
      <c r="A26" t="s">
        <v>138</v>
      </c>
      <c r="B26" s="49" t="s">
        <v>487</v>
      </c>
      <c r="C26" s="49">
        <f t="shared" si="8"/>
        <v>1.2390000000000001</v>
      </c>
      <c r="D26" s="49">
        <f t="shared" si="10"/>
        <v>1.5069999999999999</v>
      </c>
      <c r="E26" s="49">
        <f t="shared" si="10"/>
        <v>0.89800000000000002</v>
      </c>
      <c r="F26" s="49">
        <f t="shared" si="10"/>
        <v>1.1259999999999999</v>
      </c>
      <c r="G26" s="49">
        <f t="shared" si="10"/>
        <v>0</v>
      </c>
      <c r="H26" s="49">
        <f t="shared" si="10"/>
        <v>1.2529999999999999</v>
      </c>
      <c r="I26" s="49">
        <f t="shared" si="10"/>
        <v>1.407</v>
      </c>
      <c r="J26" s="49">
        <f t="shared" si="10"/>
        <v>1.3240000000000001</v>
      </c>
    </row>
    <row r="27" spans="1:10">
      <c r="A27" t="s">
        <v>138</v>
      </c>
      <c r="B27" s="49" t="s">
        <v>484</v>
      </c>
      <c r="C27" s="49">
        <f t="shared" si="8"/>
        <v>1.1459999999999999</v>
      </c>
      <c r="D27" s="49">
        <f t="shared" si="10"/>
        <v>1.2809999999999999</v>
      </c>
      <c r="E27" s="49">
        <f t="shared" si="10"/>
        <v>1.121</v>
      </c>
      <c r="F27" s="49">
        <f t="shared" si="10"/>
        <v>0.83799999999999997</v>
      </c>
      <c r="G27" s="49">
        <f t="shared" si="10"/>
        <v>1.2529999999999999</v>
      </c>
      <c r="H27" s="49">
        <f t="shared" si="10"/>
        <v>0</v>
      </c>
      <c r="I27" s="49">
        <f t="shared" si="10"/>
        <v>0.80400000000000005</v>
      </c>
      <c r="J27" s="49">
        <f t="shared" si="10"/>
        <v>0.80700000000000005</v>
      </c>
    </row>
    <row r="28" spans="1:10">
      <c r="A28" t="s">
        <v>138</v>
      </c>
      <c r="B28" s="49" t="s">
        <v>485</v>
      </c>
      <c r="C28" s="49">
        <f t="shared" si="8"/>
        <v>1.2589999999999999</v>
      </c>
      <c r="D28" s="49">
        <f t="shared" si="10"/>
        <v>1.1870000000000001</v>
      </c>
      <c r="E28" s="49">
        <f t="shared" si="10"/>
        <v>1.5069999999999999</v>
      </c>
      <c r="F28" s="49">
        <f t="shared" si="10"/>
        <v>1.08</v>
      </c>
      <c r="G28" s="49">
        <f t="shared" si="10"/>
        <v>1.407</v>
      </c>
      <c r="H28" s="49">
        <f t="shared" si="10"/>
        <v>0.80400000000000005</v>
      </c>
      <c r="I28" s="49">
        <f t="shared" si="10"/>
        <v>0</v>
      </c>
      <c r="J28" s="49">
        <f t="shared" si="10"/>
        <v>0.88100000000000001</v>
      </c>
    </row>
    <row r="29" spans="1:10">
      <c r="A29" t="s">
        <v>138</v>
      </c>
      <c r="B29" s="49" t="s">
        <v>486</v>
      </c>
      <c r="C29" s="49">
        <f t="shared" si="8"/>
        <v>1.23</v>
      </c>
      <c r="D29" s="49">
        <f t="shared" ref="D29:J29" si="11">ROUND((EXP(7.032824+1*0.622482)*((D13/1.852)^ 0.40303))/(1.15*0.0059)/1000000,3)</f>
        <v>1.083</v>
      </c>
      <c r="E29" s="49">
        <f t="shared" si="11"/>
        <v>1.331</v>
      </c>
      <c r="F29" s="49">
        <f t="shared" si="11"/>
        <v>1.0960000000000001</v>
      </c>
      <c r="G29" s="49">
        <f t="shared" si="11"/>
        <v>1.3240000000000001</v>
      </c>
      <c r="H29" s="49">
        <f t="shared" si="11"/>
        <v>0.80700000000000005</v>
      </c>
      <c r="I29" s="49">
        <f t="shared" si="11"/>
        <v>0.88100000000000001</v>
      </c>
      <c r="J29" s="49">
        <f t="shared" si="11"/>
        <v>0</v>
      </c>
    </row>
    <row r="30" spans="1:10">
      <c r="A30" s="49" t="s">
        <v>24</v>
      </c>
      <c r="B30" s="49" t="s">
        <v>479</v>
      </c>
      <c r="C30" s="49">
        <f>IF(C6&gt;0,0.01,0)</f>
        <v>0</v>
      </c>
      <c r="D30" s="49">
        <f t="shared" ref="D30:J30" si="12">IF(D6&gt;0,0.01,0)</f>
        <v>0.01</v>
      </c>
      <c r="E30" s="49">
        <f t="shared" si="12"/>
        <v>0.01</v>
      </c>
      <c r="F30" s="49">
        <f t="shared" si="12"/>
        <v>0.01</v>
      </c>
      <c r="G30" s="49">
        <f t="shared" si="12"/>
        <v>0.01</v>
      </c>
      <c r="H30" s="49">
        <f t="shared" si="12"/>
        <v>0.01</v>
      </c>
      <c r="I30" s="49">
        <f t="shared" si="12"/>
        <v>0.01</v>
      </c>
      <c r="J30" s="49">
        <f t="shared" si="12"/>
        <v>0.01</v>
      </c>
    </row>
    <row r="31" spans="1:10">
      <c r="A31" t="s">
        <v>24</v>
      </c>
      <c r="B31" s="49" t="s">
        <v>480</v>
      </c>
      <c r="C31" s="49">
        <f t="shared" ref="C31:J37" si="13">IF(C7&gt;0,0.01,0)</f>
        <v>0.01</v>
      </c>
      <c r="D31" s="49">
        <f t="shared" si="13"/>
        <v>0</v>
      </c>
      <c r="E31" s="49">
        <f t="shared" si="13"/>
        <v>0.01</v>
      </c>
      <c r="F31" s="49">
        <f t="shared" si="13"/>
        <v>0.01</v>
      </c>
      <c r="G31" s="49">
        <f t="shared" si="13"/>
        <v>0.01</v>
      </c>
      <c r="H31" s="49">
        <f t="shared" si="13"/>
        <v>0.01</v>
      </c>
      <c r="I31" s="49">
        <f t="shared" si="13"/>
        <v>0.01</v>
      </c>
      <c r="J31" s="49">
        <f t="shared" si="13"/>
        <v>0.01</v>
      </c>
    </row>
    <row r="32" spans="1:10">
      <c r="A32" t="s">
        <v>24</v>
      </c>
      <c r="B32" s="49" t="s">
        <v>481</v>
      </c>
      <c r="C32" s="49">
        <f t="shared" si="13"/>
        <v>0.01</v>
      </c>
      <c r="D32" s="49">
        <f t="shared" si="13"/>
        <v>0.01</v>
      </c>
      <c r="E32" s="49">
        <f t="shared" si="13"/>
        <v>0</v>
      </c>
      <c r="F32" s="49">
        <f t="shared" si="13"/>
        <v>0.01</v>
      </c>
      <c r="G32" s="49">
        <f t="shared" si="13"/>
        <v>0.01</v>
      </c>
      <c r="H32" s="49">
        <f t="shared" si="13"/>
        <v>0.01</v>
      </c>
      <c r="I32" s="49">
        <f t="shared" si="13"/>
        <v>0.01</v>
      </c>
      <c r="J32" s="49">
        <f t="shared" si="13"/>
        <v>0.01</v>
      </c>
    </row>
    <row r="33" spans="1:10">
      <c r="A33" t="s">
        <v>24</v>
      </c>
      <c r="B33" s="49" t="s">
        <v>488</v>
      </c>
      <c r="C33" s="49">
        <f t="shared" si="13"/>
        <v>0.01</v>
      </c>
      <c r="D33" s="49">
        <f t="shared" si="13"/>
        <v>0.01</v>
      </c>
      <c r="E33" s="49">
        <f t="shared" si="13"/>
        <v>0.01</v>
      </c>
      <c r="F33" s="49">
        <f t="shared" si="13"/>
        <v>0</v>
      </c>
      <c r="G33" s="49">
        <f t="shared" si="13"/>
        <v>0.01</v>
      </c>
      <c r="H33" s="49">
        <f t="shared" si="13"/>
        <v>0.01</v>
      </c>
      <c r="I33" s="49">
        <f t="shared" si="13"/>
        <v>0.01</v>
      </c>
      <c r="J33" s="49">
        <f t="shared" si="13"/>
        <v>0.01</v>
      </c>
    </row>
    <row r="34" spans="1:10">
      <c r="A34" t="s">
        <v>24</v>
      </c>
      <c r="B34" s="49" t="s">
        <v>487</v>
      </c>
      <c r="C34" s="49">
        <f t="shared" si="13"/>
        <v>0.01</v>
      </c>
      <c r="D34" s="49">
        <f t="shared" si="13"/>
        <v>0.01</v>
      </c>
      <c r="E34" s="49">
        <f t="shared" si="13"/>
        <v>0.01</v>
      </c>
      <c r="F34" s="49">
        <f t="shared" si="13"/>
        <v>0.01</v>
      </c>
      <c r="G34" s="49">
        <f t="shared" si="13"/>
        <v>0</v>
      </c>
      <c r="H34" s="49">
        <f t="shared" si="13"/>
        <v>0.01</v>
      </c>
      <c r="I34" s="49">
        <f t="shared" si="13"/>
        <v>0.01</v>
      </c>
      <c r="J34" s="49">
        <f t="shared" si="13"/>
        <v>0.01</v>
      </c>
    </row>
    <row r="35" spans="1:10">
      <c r="A35" t="s">
        <v>24</v>
      </c>
      <c r="B35" s="49" t="s">
        <v>484</v>
      </c>
      <c r="C35" s="49">
        <f t="shared" si="13"/>
        <v>0.01</v>
      </c>
      <c r="D35" s="49">
        <f t="shared" si="13"/>
        <v>0.01</v>
      </c>
      <c r="E35" s="49">
        <f t="shared" si="13"/>
        <v>0.01</v>
      </c>
      <c r="F35" s="49">
        <f t="shared" si="13"/>
        <v>0.01</v>
      </c>
      <c r="G35" s="49">
        <f t="shared" si="13"/>
        <v>0.01</v>
      </c>
      <c r="H35" s="49">
        <f t="shared" si="13"/>
        <v>0</v>
      </c>
      <c r="I35" s="49">
        <f t="shared" si="13"/>
        <v>0.01</v>
      </c>
      <c r="J35" s="49">
        <f t="shared" si="13"/>
        <v>0.01</v>
      </c>
    </row>
    <row r="36" spans="1:10">
      <c r="A36" t="s">
        <v>24</v>
      </c>
      <c r="B36" s="49" t="s">
        <v>485</v>
      </c>
      <c r="C36" s="49">
        <f t="shared" si="13"/>
        <v>0.01</v>
      </c>
      <c r="D36" s="49">
        <f t="shared" si="13"/>
        <v>0.01</v>
      </c>
      <c r="E36" s="49">
        <f t="shared" si="13"/>
        <v>0.01</v>
      </c>
      <c r="F36" s="49">
        <f t="shared" si="13"/>
        <v>0.01</v>
      </c>
      <c r="G36" s="49">
        <f t="shared" si="13"/>
        <v>0.01</v>
      </c>
      <c r="H36" s="49">
        <f t="shared" si="13"/>
        <v>0.01</v>
      </c>
      <c r="I36" s="49">
        <f t="shared" si="13"/>
        <v>0</v>
      </c>
      <c r="J36" s="49">
        <f t="shared" si="13"/>
        <v>0.01</v>
      </c>
    </row>
    <row r="37" spans="1:10">
      <c r="A37" t="s">
        <v>24</v>
      </c>
      <c r="B37" s="49" t="s">
        <v>486</v>
      </c>
      <c r="C37" s="49">
        <f t="shared" si="13"/>
        <v>0.01</v>
      </c>
      <c r="D37" s="49">
        <f t="shared" si="13"/>
        <v>0.01</v>
      </c>
      <c r="E37" s="49">
        <f t="shared" si="13"/>
        <v>0.01</v>
      </c>
      <c r="F37" s="49">
        <f t="shared" si="13"/>
        <v>0.01</v>
      </c>
      <c r="G37" s="49">
        <f t="shared" si="13"/>
        <v>0.01</v>
      </c>
      <c r="H37" s="49">
        <f t="shared" si="13"/>
        <v>0.01</v>
      </c>
      <c r="I37" s="49">
        <f t="shared" si="13"/>
        <v>0.01</v>
      </c>
      <c r="J37" s="49">
        <f t="shared" si="13"/>
        <v>0</v>
      </c>
    </row>
    <row r="38" spans="1:10">
      <c r="A38" s="49" t="s">
        <v>312</v>
      </c>
      <c r="B38" s="49" t="s">
        <v>479</v>
      </c>
      <c r="C38" s="49">
        <f t="shared" ref="C38:C45" si="14">ROUND((EXP(7.032824+1*0.622482)*((C6/1.852)^ 0.40303))/(1.15*0.0059)/1000000,3)</f>
        <v>0</v>
      </c>
      <c r="D38" s="49">
        <f t="shared" ref="D38:J38" si="15">ROUND((EXP(7.032824+1*0.622482)*((D6/1.852)^ 0.40303))/(1.15*0.0059)/1000000,3)</f>
        <v>1.256</v>
      </c>
      <c r="E38" s="49">
        <f t="shared" si="15"/>
        <v>1.077</v>
      </c>
      <c r="F38" s="49">
        <f t="shared" si="15"/>
        <v>1.345</v>
      </c>
      <c r="G38" s="49">
        <f t="shared" si="15"/>
        <v>1.2390000000000001</v>
      </c>
      <c r="H38" s="49">
        <f t="shared" si="15"/>
        <v>1.1459999999999999</v>
      </c>
      <c r="I38" s="49">
        <f t="shared" si="15"/>
        <v>1.2589999999999999</v>
      </c>
      <c r="J38" s="49">
        <f t="shared" si="15"/>
        <v>1.23</v>
      </c>
    </row>
    <row r="39" spans="1:10">
      <c r="A39" t="s">
        <v>312</v>
      </c>
      <c r="B39" s="49" t="s">
        <v>480</v>
      </c>
      <c r="C39" s="49">
        <f t="shared" si="14"/>
        <v>1.256</v>
      </c>
      <c r="D39" s="49">
        <f t="shared" ref="D39:J45" si="16">ROUND((EXP(7.032824+1*0.622482)*((D7/1.852)^ 0.40303))/(1.15*0.0059)/1000000,3)</f>
        <v>0</v>
      </c>
      <c r="E39" s="49">
        <f t="shared" si="16"/>
        <v>1.389</v>
      </c>
      <c r="F39" s="49">
        <f t="shared" si="16"/>
        <v>1.4330000000000001</v>
      </c>
      <c r="G39" s="49">
        <f t="shared" si="16"/>
        <v>1.5069999999999999</v>
      </c>
      <c r="H39" s="49">
        <f t="shared" si="16"/>
        <v>1.2809999999999999</v>
      </c>
      <c r="I39" s="49">
        <f t="shared" si="16"/>
        <v>1.1870000000000001</v>
      </c>
      <c r="J39" s="49">
        <f t="shared" si="16"/>
        <v>1.083</v>
      </c>
    </row>
    <row r="40" spans="1:10">
      <c r="A40" t="s">
        <v>312</v>
      </c>
      <c r="B40" s="49" t="s">
        <v>481</v>
      </c>
      <c r="C40" s="49">
        <f t="shared" si="14"/>
        <v>1.077</v>
      </c>
      <c r="D40" s="49">
        <f t="shared" si="16"/>
        <v>1.389</v>
      </c>
      <c r="E40" s="49">
        <f t="shared" si="16"/>
        <v>0</v>
      </c>
      <c r="F40" s="49">
        <f t="shared" si="16"/>
        <v>1.4570000000000001</v>
      </c>
      <c r="G40" s="49">
        <f t="shared" si="16"/>
        <v>0.89800000000000002</v>
      </c>
      <c r="H40" s="49">
        <f t="shared" si="16"/>
        <v>1.121</v>
      </c>
      <c r="I40" s="49">
        <f t="shared" si="16"/>
        <v>1.5069999999999999</v>
      </c>
      <c r="J40" s="49">
        <f t="shared" si="16"/>
        <v>1.331</v>
      </c>
    </row>
    <row r="41" spans="1:10">
      <c r="A41" t="s">
        <v>312</v>
      </c>
      <c r="B41" s="49" t="s">
        <v>488</v>
      </c>
      <c r="C41" s="49">
        <f t="shared" si="14"/>
        <v>1.345</v>
      </c>
      <c r="D41" s="49">
        <f t="shared" si="16"/>
        <v>1.4330000000000001</v>
      </c>
      <c r="E41" s="49">
        <f t="shared" si="16"/>
        <v>1.4570000000000001</v>
      </c>
      <c r="F41" s="49">
        <f t="shared" si="16"/>
        <v>0</v>
      </c>
      <c r="G41" s="49">
        <f t="shared" si="16"/>
        <v>1.1259999999999999</v>
      </c>
      <c r="H41" s="49">
        <f t="shared" si="16"/>
        <v>0.83799999999999997</v>
      </c>
      <c r="I41" s="49">
        <f t="shared" si="16"/>
        <v>1.08</v>
      </c>
      <c r="J41" s="49">
        <f t="shared" si="16"/>
        <v>1.0960000000000001</v>
      </c>
    </row>
    <row r="42" spans="1:10">
      <c r="A42" t="s">
        <v>312</v>
      </c>
      <c r="B42" s="49" t="s">
        <v>487</v>
      </c>
      <c r="C42" s="49">
        <f t="shared" si="14"/>
        <v>1.2390000000000001</v>
      </c>
      <c r="D42" s="49">
        <f t="shared" si="16"/>
        <v>1.5069999999999999</v>
      </c>
      <c r="E42" s="49">
        <f t="shared" si="16"/>
        <v>0.89800000000000002</v>
      </c>
      <c r="F42" s="49">
        <f t="shared" si="16"/>
        <v>1.1259999999999999</v>
      </c>
      <c r="G42" s="49">
        <f t="shared" si="16"/>
        <v>0</v>
      </c>
      <c r="H42" s="49">
        <f t="shared" si="16"/>
        <v>1.2529999999999999</v>
      </c>
      <c r="I42" s="49">
        <f t="shared" si="16"/>
        <v>1.407</v>
      </c>
      <c r="J42" s="49">
        <f t="shared" si="16"/>
        <v>1.3240000000000001</v>
      </c>
    </row>
    <row r="43" spans="1:10">
      <c r="A43" t="s">
        <v>312</v>
      </c>
      <c r="B43" s="49" t="s">
        <v>484</v>
      </c>
      <c r="C43" s="49">
        <f t="shared" si="14"/>
        <v>1.1459999999999999</v>
      </c>
      <c r="D43" s="49">
        <f t="shared" si="16"/>
        <v>1.2809999999999999</v>
      </c>
      <c r="E43" s="49">
        <f t="shared" si="16"/>
        <v>1.121</v>
      </c>
      <c r="F43" s="49">
        <f t="shared" si="16"/>
        <v>0.83799999999999997</v>
      </c>
      <c r="G43" s="49">
        <f t="shared" si="16"/>
        <v>1.2529999999999999</v>
      </c>
      <c r="H43" s="49">
        <f t="shared" si="16"/>
        <v>0</v>
      </c>
      <c r="I43" s="49">
        <f t="shared" si="16"/>
        <v>0.80400000000000005</v>
      </c>
      <c r="J43" s="49">
        <f t="shared" si="16"/>
        <v>0.80700000000000005</v>
      </c>
    </row>
    <row r="44" spans="1:10">
      <c r="A44" t="s">
        <v>312</v>
      </c>
      <c r="B44" s="49" t="s">
        <v>485</v>
      </c>
      <c r="C44" s="49">
        <f t="shared" si="14"/>
        <v>1.2589999999999999</v>
      </c>
      <c r="D44" s="49">
        <f t="shared" si="16"/>
        <v>1.1870000000000001</v>
      </c>
      <c r="E44" s="49">
        <f t="shared" si="16"/>
        <v>1.5069999999999999</v>
      </c>
      <c r="F44" s="49">
        <f t="shared" si="16"/>
        <v>1.08</v>
      </c>
      <c r="G44" s="49">
        <f t="shared" si="16"/>
        <v>1.407</v>
      </c>
      <c r="H44" s="49">
        <f t="shared" si="16"/>
        <v>0.80400000000000005</v>
      </c>
      <c r="I44" s="49">
        <f t="shared" si="16"/>
        <v>0</v>
      </c>
      <c r="J44" s="49">
        <f t="shared" si="16"/>
        <v>0.88100000000000001</v>
      </c>
    </row>
    <row r="45" spans="1:10">
      <c r="A45" t="s">
        <v>312</v>
      </c>
      <c r="B45" s="49" t="s">
        <v>486</v>
      </c>
      <c r="C45" s="49">
        <f t="shared" si="14"/>
        <v>1.23</v>
      </c>
      <c r="D45" s="49">
        <f t="shared" si="16"/>
        <v>1.083</v>
      </c>
      <c r="E45" s="49">
        <f t="shared" si="16"/>
        <v>1.331</v>
      </c>
      <c r="F45" s="49">
        <f t="shared" si="16"/>
        <v>1.0960000000000001</v>
      </c>
      <c r="G45" s="49">
        <f t="shared" si="16"/>
        <v>1.3240000000000001</v>
      </c>
      <c r="H45" s="49">
        <f t="shared" si="16"/>
        <v>0.80700000000000005</v>
      </c>
      <c r="I45" s="49">
        <f t="shared" si="16"/>
        <v>0.88100000000000001</v>
      </c>
      <c r="J45" s="49">
        <f t="shared" si="16"/>
        <v>0</v>
      </c>
    </row>
    <row r="46" spans="1:10">
      <c r="A46" s="49" t="s">
        <v>313</v>
      </c>
      <c r="B46" s="49" t="s">
        <v>479</v>
      </c>
      <c r="C46" s="49">
        <f>ROUND((EXP(7.032824+1*0.622482)*((C6/1.852)^ 0.40303))/(1.15*0.0059)/1000000,3)</f>
        <v>0</v>
      </c>
      <c r="D46" s="49">
        <f t="shared" ref="D46:J46" si="17">ROUND((EXP(7.032824+1*0.622482)*((D6/1.852)^ 0.40303))/(1.15*0.0059)/1000000,3)</f>
        <v>1.256</v>
      </c>
      <c r="E46" s="49">
        <f t="shared" si="17"/>
        <v>1.077</v>
      </c>
      <c r="F46" s="49">
        <f t="shared" si="17"/>
        <v>1.345</v>
      </c>
      <c r="G46" s="49">
        <f t="shared" si="17"/>
        <v>1.2390000000000001</v>
      </c>
      <c r="H46" s="49">
        <f t="shared" si="17"/>
        <v>1.1459999999999999</v>
      </c>
      <c r="I46" s="49">
        <f t="shared" si="17"/>
        <v>1.2589999999999999</v>
      </c>
      <c r="J46" s="49">
        <f t="shared" si="17"/>
        <v>1.23</v>
      </c>
    </row>
    <row r="47" spans="1:10">
      <c r="A47" t="s">
        <v>313</v>
      </c>
      <c r="B47" s="49" t="s">
        <v>480</v>
      </c>
      <c r="C47" s="49">
        <f t="shared" ref="C47:J53" si="18">ROUND((EXP(7.032824+1*0.622482)*((C7/1.852)^ 0.40303))/(1.15*0.0059)/1000000,3)</f>
        <v>1.256</v>
      </c>
      <c r="D47" s="49">
        <f t="shared" si="18"/>
        <v>0</v>
      </c>
      <c r="E47" s="49">
        <f t="shared" si="18"/>
        <v>1.389</v>
      </c>
      <c r="F47" s="49">
        <f t="shared" si="18"/>
        <v>1.4330000000000001</v>
      </c>
      <c r="G47" s="49">
        <f t="shared" si="18"/>
        <v>1.5069999999999999</v>
      </c>
      <c r="H47" s="49">
        <f t="shared" si="18"/>
        <v>1.2809999999999999</v>
      </c>
      <c r="I47" s="49">
        <f t="shared" si="18"/>
        <v>1.1870000000000001</v>
      </c>
      <c r="J47" s="49">
        <f t="shared" si="18"/>
        <v>1.083</v>
      </c>
    </row>
    <row r="48" spans="1:10">
      <c r="A48" t="s">
        <v>313</v>
      </c>
      <c r="B48" s="49" t="s">
        <v>481</v>
      </c>
      <c r="C48" s="49">
        <f t="shared" si="18"/>
        <v>1.077</v>
      </c>
      <c r="D48" s="49">
        <f t="shared" si="18"/>
        <v>1.389</v>
      </c>
      <c r="E48" s="49">
        <f t="shared" si="18"/>
        <v>0</v>
      </c>
      <c r="F48" s="49">
        <f t="shared" si="18"/>
        <v>1.4570000000000001</v>
      </c>
      <c r="G48" s="49">
        <f t="shared" si="18"/>
        <v>0.89800000000000002</v>
      </c>
      <c r="H48" s="49">
        <f t="shared" si="18"/>
        <v>1.121</v>
      </c>
      <c r="I48" s="49">
        <f t="shared" si="18"/>
        <v>1.5069999999999999</v>
      </c>
      <c r="J48" s="49">
        <f t="shared" si="18"/>
        <v>1.331</v>
      </c>
    </row>
    <row r="49" spans="1:32">
      <c r="A49" t="s">
        <v>313</v>
      </c>
      <c r="B49" s="49" t="s">
        <v>488</v>
      </c>
      <c r="C49" s="49">
        <f t="shared" si="18"/>
        <v>1.345</v>
      </c>
      <c r="D49" s="49">
        <f t="shared" si="18"/>
        <v>1.4330000000000001</v>
      </c>
      <c r="E49" s="49">
        <f t="shared" si="18"/>
        <v>1.4570000000000001</v>
      </c>
      <c r="F49" s="49">
        <f t="shared" si="18"/>
        <v>0</v>
      </c>
      <c r="G49" s="49">
        <f t="shared" si="18"/>
        <v>1.1259999999999999</v>
      </c>
      <c r="H49" s="49">
        <f t="shared" si="18"/>
        <v>0.83799999999999997</v>
      </c>
      <c r="I49" s="49">
        <f t="shared" si="18"/>
        <v>1.08</v>
      </c>
      <c r="J49" s="49">
        <f t="shared" si="18"/>
        <v>1.0960000000000001</v>
      </c>
    </row>
    <row r="50" spans="1:32">
      <c r="A50" t="s">
        <v>313</v>
      </c>
      <c r="B50" s="49" t="s">
        <v>487</v>
      </c>
      <c r="C50" s="49">
        <f t="shared" si="18"/>
        <v>1.2390000000000001</v>
      </c>
      <c r="D50" s="49">
        <f t="shared" si="18"/>
        <v>1.5069999999999999</v>
      </c>
      <c r="E50" s="49">
        <f t="shared" si="18"/>
        <v>0.89800000000000002</v>
      </c>
      <c r="F50" s="49">
        <f t="shared" si="18"/>
        <v>1.1259999999999999</v>
      </c>
      <c r="G50" s="49">
        <f t="shared" si="18"/>
        <v>0</v>
      </c>
      <c r="H50" s="49">
        <f t="shared" si="18"/>
        <v>1.2529999999999999</v>
      </c>
      <c r="I50" s="49">
        <f t="shared" si="18"/>
        <v>1.407</v>
      </c>
      <c r="J50" s="49">
        <f t="shared" si="18"/>
        <v>1.3240000000000001</v>
      </c>
    </row>
    <row r="51" spans="1:32">
      <c r="A51" t="s">
        <v>313</v>
      </c>
      <c r="B51" s="49" t="s">
        <v>484</v>
      </c>
      <c r="C51" s="49">
        <f t="shared" si="18"/>
        <v>1.1459999999999999</v>
      </c>
      <c r="D51" s="49">
        <f t="shared" si="18"/>
        <v>1.2809999999999999</v>
      </c>
      <c r="E51" s="49">
        <f t="shared" si="18"/>
        <v>1.121</v>
      </c>
      <c r="F51" s="49">
        <f t="shared" si="18"/>
        <v>0.83799999999999997</v>
      </c>
      <c r="G51" s="49">
        <f t="shared" si="18"/>
        <v>1.2529999999999999</v>
      </c>
      <c r="H51" s="49">
        <f t="shared" si="18"/>
        <v>0</v>
      </c>
      <c r="I51" s="49">
        <f t="shared" si="18"/>
        <v>0.80400000000000005</v>
      </c>
      <c r="J51" s="49">
        <f t="shared" si="18"/>
        <v>0.80700000000000005</v>
      </c>
    </row>
    <row r="52" spans="1:32">
      <c r="A52" t="s">
        <v>313</v>
      </c>
      <c r="B52" s="49" t="s">
        <v>485</v>
      </c>
      <c r="C52" s="49">
        <f t="shared" si="18"/>
        <v>1.2589999999999999</v>
      </c>
      <c r="D52" s="49">
        <f t="shared" si="18"/>
        <v>1.1870000000000001</v>
      </c>
      <c r="E52" s="49">
        <f t="shared" si="18"/>
        <v>1.5069999999999999</v>
      </c>
      <c r="F52" s="49">
        <f t="shared" si="18"/>
        <v>1.08</v>
      </c>
      <c r="G52" s="49">
        <f t="shared" si="18"/>
        <v>1.407</v>
      </c>
      <c r="H52" s="49">
        <f t="shared" si="18"/>
        <v>0.80400000000000005</v>
      </c>
      <c r="I52" s="49">
        <f t="shared" si="18"/>
        <v>0</v>
      </c>
      <c r="J52" s="49">
        <f t="shared" si="18"/>
        <v>0.88100000000000001</v>
      </c>
    </row>
    <row r="53" spans="1:32">
      <c r="A53" t="s">
        <v>313</v>
      </c>
      <c r="B53" s="49" t="s">
        <v>486</v>
      </c>
      <c r="C53" s="49">
        <f t="shared" si="18"/>
        <v>1.23</v>
      </c>
      <c r="D53" s="49">
        <f t="shared" si="18"/>
        <v>1.083</v>
      </c>
      <c r="E53" s="49">
        <f t="shared" si="18"/>
        <v>1.331</v>
      </c>
      <c r="F53" s="49">
        <f t="shared" si="18"/>
        <v>1.0960000000000001</v>
      </c>
      <c r="G53" s="49">
        <f t="shared" si="18"/>
        <v>1.3240000000000001</v>
      </c>
      <c r="H53" s="49">
        <f t="shared" si="18"/>
        <v>0.80700000000000005</v>
      </c>
      <c r="I53" s="49">
        <f t="shared" si="18"/>
        <v>0.88100000000000001</v>
      </c>
      <c r="J53" s="49">
        <f t="shared" si="18"/>
        <v>0</v>
      </c>
    </row>
    <row r="54" spans="1:32">
      <c r="A54" s="49" t="s">
        <v>270</v>
      </c>
      <c r="B54" s="49" t="s">
        <v>479</v>
      </c>
      <c r="C54" s="49">
        <f>ROUND((EXP(7.032824+1*0.622482)*((C6/1.852)^ 0.40303))/(1.15*0.0059)/1000000,3)</f>
        <v>0</v>
      </c>
      <c r="D54" s="49">
        <f t="shared" ref="D54:J54" si="19">ROUND((EXP(7.032824+1*0.622482)*((D6/1.852)^ 0.40303))/(1.15*0.0059)/1000000,3)</f>
        <v>1.256</v>
      </c>
      <c r="E54" s="49">
        <f t="shared" si="19"/>
        <v>1.077</v>
      </c>
      <c r="F54" s="49">
        <f t="shared" si="19"/>
        <v>1.345</v>
      </c>
      <c r="G54" s="49">
        <f t="shared" si="19"/>
        <v>1.2390000000000001</v>
      </c>
      <c r="H54" s="49">
        <f t="shared" si="19"/>
        <v>1.1459999999999999</v>
      </c>
      <c r="I54" s="49">
        <f t="shared" si="19"/>
        <v>1.2589999999999999</v>
      </c>
      <c r="J54" s="49">
        <f t="shared" si="19"/>
        <v>1.23</v>
      </c>
    </row>
    <row r="55" spans="1:32">
      <c r="A55" t="s">
        <v>270</v>
      </c>
      <c r="B55" s="49" t="s">
        <v>480</v>
      </c>
      <c r="C55" s="49">
        <f t="shared" ref="C55:J61" si="20">ROUND((EXP(7.032824+1*0.622482)*((C7/1.852)^ 0.40303))/(1.15*0.0059)/1000000,3)</f>
        <v>1.256</v>
      </c>
      <c r="D55" s="49">
        <f t="shared" si="20"/>
        <v>0</v>
      </c>
      <c r="E55" s="49">
        <f t="shared" si="20"/>
        <v>1.389</v>
      </c>
      <c r="F55" s="49">
        <f t="shared" si="20"/>
        <v>1.4330000000000001</v>
      </c>
      <c r="G55" s="49">
        <f t="shared" si="20"/>
        <v>1.5069999999999999</v>
      </c>
      <c r="H55" s="49">
        <f t="shared" si="20"/>
        <v>1.2809999999999999</v>
      </c>
      <c r="I55" s="49">
        <f t="shared" si="20"/>
        <v>1.1870000000000001</v>
      </c>
      <c r="J55" s="49">
        <f t="shared" si="20"/>
        <v>1.083</v>
      </c>
    </row>
    <row r="56" spans="1:32">
      <c r="A56" t="s">
        <v>270</v>
      </c>
      <c r="B56" s="49" t="s">
        <v>481</v>
      </c>
      <c r="C56" s="49">
        <f t="shared" si="20"/>
        <v>1.077</v>
      </c>
      <c r="D56" s="49">
        <f t="shared" si="20"/>
        <v>1.389</v>
      </c>
      <c r="E56" s="49">
        <f t="shared" si="20"/>
        <v>0</v>
      </c>
      <c r="F56" s="49">
        <f t="shared" si="20"/>
        <v>1.4570000000000001</v>
      </c>
      <c r="G56" s="49">
        <f t="shared" si="20"/>
        <v>0.89800000000000002</v>
      </c>
      <c r="H56" s="49">
        <f t="shared" si="20"/>
        <v>1.121</v>
      </c>
      <c r="I56" s="49">
        <f t="shared" si="20"/>
        <v>1.5069999999999999</v>
      </c>
      <c r="J56" s="49">
        <f t="shared" si="20"/>
        <v>1.331</v>
      </c>
    </row>
    <row r="57" spans="1:32">
      <c r="A57" t="s">
        <v>270</v>
      </c>
      <c r="B57" s="49" t="s">
        <v>488</v>
      </c>
      <c r="C57" s="49">
        <f t="shared" si="20"/>
        <v>1.345</v>
      </c>
      <c r="D57" s="49">
        <f t="shared" si="20"/>
        <v>1.4330000000000001</v>
      </c>
      <c r="E57" s="49">
        <f t="shared" si="20"/>
        <v>1.4570000000000001</v>
      </c>
      <c r="F57" s="49">
        <f t="shared" si="20"/>
        <v>0</v>
      </c>
      <c r="G57" s="49">
        <f t="shared" si="20"/>
        <v>1.1259999999999999</v>
      </c>
      <c r="H57" s="49">
        <f t="shared" si="20"/>
        <v>0.83799999999999997</v>
      </c>
      <c r="I57" s="49">
        <f t="shared" si="20"/>
        <v>1.08</v>
      </c>
      <c r="J57" s="49">
        <f t="shared" si="20"/>
        <v>1.0960000000000001</v>
      </c>
    </row>
    <row r="58" spans="1:32">
      <c r="A58" t="s">
        <v>270</v>
      </c>
      <c r="B58" s="49" t="s">
        <v>487</v>
      </c>
      <c r="C58" s="49">
        <f t="shared" si="20"/>
        <v>1.2390000000000001</v>
      </c>
      <c r="D58" s="49">
        <f t="shared" si="20"/>
        <v>1.5069999999999999</v>
      </c>
      <c r="E58" s="49">
        <f t="shared" si="20"/>
        <v>0.89800000000000002</v>
      </c>
      <c r="F58" s="49">
        <f t="shared" si="20"/>
        <v>1.1259999999999999</v>
      </c>
      <c r="G58" s="49">
        <f t="shared" si="20"/>
        <v>0</v>
      </c>
      <c r="H58" s="49">
        <f t="shared" si="20"/>
        <v>1.2529999999999999</v>
      </c>
      <c r="I58" s="49">
        <f t="shared" si="20"/>
        <v>1.407</v>
      </c>
      <c r="J58" s="49">
        <f t="shared" si="20"/>
        <v>1.3240000000000001</v>
      </c>
    </row>
    <row r="59" spans="1:32">
      <c r="A59" t="s">
        <v>270</v>
      </c>
      <c r="B59" s="49" t="s">
        <v>484</v>
      </c>
      <c r="C59" s="49">
        <f t="shared" si="20"/>
        <v>1.1459999999999999</v>
      </c>
      <c r="D59" s="49">
        <f t="shared" si="20"/>
        <v>1.2809999999999999</v>
      </c>
      <c r="E59" s="49">
        <f t="shared" si="20"/>
        <v>1.121</v>
      </c>
      <c r="F59" s="49">
        <f t="shared" si="20"/>
        <v>0.83799999999999997</v>
      </c>
      <c r="G59" s="49">
        <f t="shared" si="20"/>
        <v>1.2529999999999999</v>
      </c>
      <c r="H59" s="49">
        <f t="shared" si="20"/>
        <v>0</v>
      </c>
      <c r="I59" s="49">
        <f t="shared" si="20"/>
        <v>0.80400000000000005</v>
      </c>
      <c r="J59" s="49">
        <f t="shared" si="20"/>
        <v>0.80700000000000005</v>
      </c>
    </row>
    <row r="60" spans="1:32">
      <c r="A60" t="s">
        <v>270</v>
      </c>
      <c r="B60" s="49" t="s">
        <v>485</v>
      </c>
      <c r="C60" s="49">
        <f t="shared" si="20"/>
        <v>1.2589999999999999</v>
      </c>
      <c r="D60" s="49">
        <f t="shared" si="20"/>
        <v>1.1870000000000001</v>
      </c>
      <c r="E60" s="49">
        <f t="shared" si="20"/>
        <v>1.5069999999999999</v>
      </c>
      <c r="F60" s="49">
        <f t="shared" si="20"/>
        <v>1.08</v>
      </c>
      <c r="G60" s="49">
        <f t="shared" si="20"/>
        <v>1.407</v>
      </c>
      <c r="H60" s="49">
        <f t="shared" si="20"/>
        <v>0.80400000000000005</v>
      </c>
      <c r="I60" s="49">
        <f t="shared" si="20"/>
        <v>0</v>
      </c>
      <c r="J60" s="49">
        <f t="shared" si="20"/>
        <v>0.88100000000000001</v>
      </c>
    </row>
    <row r="61" spans="1:32">
      <c r="A61" t="s">
        <v>270</v>
      </c>
      <c r="B61" s="49" t="s">
        <v>486</v>
      </c>
      <c r="C61" s="49">
        <f t="shared" si="20"/>
        <v>1.23</v>
      </c>
      <c r="D61" s="49">
        <f t="shared" si="20"/>
        <v>1.083</v>
      </c>
      <c r="E61" s="49">
        <f t="shared" si="20"/>
        <v>1.331</v>
      </c>
      <c r="F61" s="49">
        <f t="shared" si="20"/>
        <v>1.0960000000000001</v>
      </c>
      <c r="G61" s="49">
        <f t="shared" si="20"/>
        <v>1.3240000000000001</v>
      </c>
      <c r="H61" s="49">
        <f t="shared" si="20"/>
        <v>0.80700000000000005</v>
      </c>
      <c r="I61" s="49">
        <f t="shared" si="20"/>
        <v>0.88100000000000001</v>
      </c>
      <c r="J61" s="49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34"/>
  <sheetViews>
    <sheetView workbookViewId="0">
      <selection activeCell="I10" sqref="I10"/>
    </sheetView>
  </sheetViews>
  <sheetFormatPr defaultColWidth="11.42578125" defaultRowHeight="15"/>
  <cols>
    <col min="1" max="1" width="12.85546875" customWidth="1"/>
    <col min="2" max="2" width="17.5703125" bestFit="1" customWidth="1"/>
    <col min="3" max="3" width="15.42578125" bestFit="1" customWidth="1"/>
    <col min="4" max="4" width="13" bestFit="1" customWidth="1"/>
    <col min="5" max="5" width="14.7109375" bestFit="1" customWidth="1"/>
    <col min="6" max="6" width="18.28515625" bestFit="1" customWidth="1"/>
    <col min="7" max="7" width="11.85546875" bestFit="1" customWidth="1"/>
    <col min="8" max="8" width="16.140625" bestFit="1" customWidth="1"/>
    <col min="9" max="9" width="19.85546875" bestFit="1" customWidth="1"/>
    <col min="10" max="10" width="15.5703125" bestFit="1" customWidth="1"/>
  </cols>
  <sheetData>
    <row r="1" spans="1:10">
      <c r="A1" t="s">
        <v>367</v>
      </c>
    </row>
    <row r="2" spans="1:10">
      <c r="A2" t="s">
        <v>177</v>
      </c>
    </row>
    <row r="3" spans="1:10">
      <c r="A3" t="s">
        <v>478</v>
      </c>
    </row>
    <row r="5" spans="1:10">
      <c r="C5" s="52" t="s">
        <v>479</v>
      </c>
      <c r="D5" s="52" t="s">
        <v>480</v>
      </c>
      <c r="E5" s="52" t="s">
        <v>481</v>
      </c>
      <c r="F5" s="52" t="s">
        <v>488</v>
      </c>
      <c r="G5" s="52" t="s">
        <v>487</v>
      </c>
      <c r="H5" s="52" t="s">
        <v>484</v>
      </c>
      <c r="I5" s="52" t="s">
        <v>485</v>
      </c>
      <c r="J5" s="52" t="s">
        <v>486</v>
      </c>
    </row>
    <row r="6" spans="1:10">
      <c r="C6" s="55">
        <v>2018</v>
      </c>
      <c r="D6" s="51">
        <v>2018</v>
      </c>
      <c r="E6" s="51">
        <v>2018</v>
      </c>
      <c r="F6" s="51">
        <v>2018</v>
      </c>
      <c r="G6" s="51">
        <v>2018</v>
      </c>
      <c r="H6" s="51">
        <v>2018</v>
      </c>
      <c r="I6" s="51">
        <v>2018</v>
      </c>
      <c r="J6" s="51">
        <v>2018</v>
      </c>
    </row>
    <row r="7" spans="1:10">
      <c r="A7" t="s">
        <v>24</v>
      </c>
      <c r="B7" s="49" t="s">
        <v>479</v>
      </c>
      <c r="C7" s="54">
        <v>0</v>
      </c>
      <c r="D7" s="47">
        <v>0</v>
      </c>
      <c r="E7" s="47">
        <v>0</v>
      </c>
      <c r="F7" s="47">
        <v>0</v>
      </c>
      <c r="G7" s="47">
        <v>5.2999999999999999E-2</v>
      </c>
      <c r="H7" s="47">
        <v>0</v>
      </c>
      <c r="I7" s="47">
        <v>0</v>
      </c>
      <c r="J7" s="47">
        <v>0</v>
      </c>
    </row>
    <row r="8" spans="1:10">
      <c r="A8" t="s">
        <v>24</v>
      </c>
      <c r="B8" s="49" t="s">
        <v>480</v>
      </c>
      <c r="C8" s="54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5.2999999999999999E-2</v>
      </c>
    </row>
    <row r="9" spans="1:10">
      <c r="A9" t="s">
        <v>24</v>
      </c>
      <c r="B9" s="49" t="s">
        <v>481</v>
      </c>
      <c r="C9" s="54">
        <v>0</v>
      </c>
      <c r="D9" s="47">
        <v>0</v>
      </c>
      <c r="E9" s="47">
        <v>0</v>
      </c>
      <c r="F9" s="47">
        <v>0</v>
      </c>
      <c r="G9" s="47">
        <v>5.2999999999999999E-2</v>
      </c>
      <c r="H9" s="47">
        <v>0</v>
      </c>
      <c r="I9" s="47">
        <v>0</v>
      </c>
      <c r="J9" s="47">
        <v>0</v>
      </c>
    </row>
    <row r="10" spans="1:10">
      <c r="A10" t="s">
        <v>24</v>
      </c>
      <c r="B10" s="49" t="s">
        <v>488</v>
      </c>
      <c r="C10" s="54">
        <v>0</v>
      </c>
      <c r="D10" s="47">
        <v>0</v>
      </c>
      <c r="E10" s="47">
        <v>0</v>
      </c>
      <c r="F10" s="47">
        <v>0</v>
      </c>
      <c r="G10" s="56">
        <v>0.106</v>
      </c>
      <c r="H10" s="47">
        <v>0.20699999999999999</v>
      </c>
      <c r="I10" s="47">
        <v>0</v>
      </c>
      <c r="J10" s="47">
        <v>0</v>
      </c>
    </row>
    <row r="11" spans="1:10">
      <c r="A11" t="s">
        <v>24</v>
      </c>
      <c r="B11" s="49" t="s">
        <v>487</v>
      </c>
      <c r="C11" s="47">
        <v>5.2999999999999999E-2</v>
      </c>
      <c r="D11" s="47">
        <v>0</v>
      </c>
      <c r="E11" s="47">
        <v>5.2999999999999999E-2</v>
      </c>
      <c r="F11" s="47">
        <v>5.2999999999999999E-2</v>
      </c>
      <c r="G11" s="47">
        <v>0</v>
      </c>
      <c r="H11" s="47">
        <v>0</v>
      </c>
      <c r="I11" s="47">
        <v>0</v>
      </c>
      <c r="J11" s="47">
        <v>0</v>
      </c>
    </row>
    <row r="12" spans="1:10">
      <c r="A12" t="s">
        <v>24</v>
      </c>
      <c r="B12" s="49" t="s">
        <v>484</v>
      </c>
      <c r="C12" s="54">
        <v>0</v>
      </c>
      <c r="D12" s="47">
        <v>0</v>
      </c>
      <c r="E12" s="47">
        <v>0</v>
      </c>
      <c r="F12" s="47">
        <v>7.0999999999999994E-2</v>
      </c>
      <c r="G12" s="47">
        <v>0</v>
      </c>
      <c r="H12" s="47">
        <v>0</v>
      </c>
      <c r="I12" s="47">
        <v>7.0999999999999994E-2</v>
      </c>
      <c r="J12" s="47">
        <v>8.3000000000000004E-2</v>
      </c>
    </row>
    <row r="13" spans="1:10">
      <c r="A13" t="s">
        <v>24</v>
      </c>
      <c r="B13" s="49" t="s">
        <v>485</v>
      </c>
      <c r="C13" s="54">
        <v>0</v>
      </c>
      <c r="D13" s="47">
        <v>0</v>
      </c>
      <c r="E13" s="47">
        <v>0</v>
      </c>
      <c r="F13" s="47">
        <v>0</v>
      </c>
      <c r="G13" s="47">
        <v>0</v>
      </c>
      <c r="H13" s="47">
        <v>7.0999999999999994E-2</v>
      </c>
      <c r="I13" s="47">
        <v>0</v>
      </c>
      <c r="J13" s="47">
        <v>0.154</v>
      </c>
    </row>
    <row r="14" spans="1:10">
      <c r="A14" t="s">
        <v>24</v>
      </c>
      <c r="B14" s="49" t="s">
        <v>486</v>
      </c>
      <c r="C14" s="54">
        <v>0</v>
      </c>
      <c r="D14" s="47">
        <v>5.2999999999999999E-2</v>
      </c>
      <c r="E14" s="47">
        <v>0</v>
      </c>
      <c r="F14" s="47">
        <v>0</v>
      </c>
      <c r="G14" s="47">
        <v>0</v>
      </c>
      <c r="H14" s="47">
        <v>8.3000000000000004E-2</v>
      </c>
      <c r="I14" s="47">
        <v>0.154</v>
      </c>
      <c r="J14" s="47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autoFilter ref="B5:I34" xr:uid="{00000000-0009-0000-0000-00000A000000}"/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U54" sqref="U54"/>
    </sheetView>
  </sheetViews>
  <sheetFormatPr defaultColWidth="11.42578125" defaultRowHeight="15"/>
  <cols>
    <col min="1" max="1" width="7.85546875" customWidth="1"/>
    <col min="2" max="2" width="17.5703125" bestFit="1" customWidth="1"/>
    <col min="3" max="3" width="13.140625" bestFit="1" customWidth="1"/>
    <col min="4" max="4" width="10.7109375" bestFit="1" customWidth="1"/>
    <col min="5" max="5" width="12.42578125" bestFit="1" customWidth="1"/>
    <col min="6" max="6" width="16" bestFit="1" customWidth="1"/>
    <col min="7" max="7" width="9.5703125" bestFit="1" customWidth="1"/>
    <col min="8" max="8" width="13.85546875" bestFit="1" customWidth="1"/>
    <col min="9" max="9" width="17.5703125" bestFit="1" customWidth="1"/>
    <col min="10" max="10" width="15.5703125" bestFit="1" customWidth="1"/>
  </cols>
  <sheetData>
    <row r="1" spans="1:10">
      <c r="A1" t="s">
        <v>369</v>
      </c>
    </row>
    <row r="2" spans="1:10">
      <c r="A2" t="s">
        <v>370</v>
      </c>
    </row>
    <row r="3" spans="1:10">
      <c r="A3" t="s">
        <v>371</v>
      </c>
    </row>
    <row r="5" spans="1:10">
      <c r="C5" s="52" t="s">
        <v>479</v>
      </c>
      <c r="D5" s="52" t="s">
        <v>480</v>
      </c>
      <c r="E5" s="52" t="s">
        <v>481</v>
      </c>
      <c r="F5" s="52" t="s">
        <v>488</v>
      </c>
      <c r="G5" s="52" t="s">
        <v>487</v>
      </c>
      <c r="H5" s="52" t="s">
        <v>484</v>
      </c>
      <c r="I5" s="52" t="s">
        <v>485</v>
      </c>
      <c r="J5" s="52" t="s">
        <v>486</v>
      </c>
    </row>
    <row r="6" spans="1:10">
      <c r="A6" t="s">
        <v>24</v>
      </c>
      <c r="B6" s="49" t="s">
        <v>479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9" t="s">
        <v>480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9" t="s">
        <v>481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9" t="s">
        <v>488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9" t="s">
        <v>487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9" t="s">
        <v>484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9" t="s">
        <v>485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9" t="s">
        <v>486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D6" sqref="D6"/>
    </sheetView>
  </sheetViews>
  <sheetFormatPr defaultColWidth="11.42578125" defaultRowHeight="15"/>
  <cols>
    <col min="1" max="1" width="5" bestFit="1" customWidth="1"/>
    <col min="2" max="2" width="9" customWidth="1"/>
    <col min="3" max="3" width="17.5703125" bestFit="1" customWidth="1"/>
    <col min="4" max="4" width="13.140625" bestFit="1" customWidth="1"/>
    <col min="5" max="5" width="10.7109375" bestFit="1" customWidth="1"/>
    <col min="6" max="6" width="12.42578125" bestFit="1" customWidth="1"/>
    <col min="7" max="7" width="16" bestFit="1" customWidth="1"/>
    <col min="8" max="8" width="9.5703125" bestFit="1" customWidth="1"/>
    <col min="9" max="9" width="13.85546875" bestFit="1" customWidth="1"/>
    <col min="10" max="10" width="17.5703125" bestFit="1" customWidth="1"/>
    <col min="11" max="11" width="15.5703125" bestFit="1" customWidth="1"/>
  </cols>
  <sheetData>
    <row r="1" spans="1:11">
      <c r="A1" t="s">
        <v>374</v>
      </c>
    </row>
    <row r="2" spans="1:11">
      <c r="A2" t="s">
        <v>373</v>
      </c>
    </row>
    <row r="3" spans="1:11">
      <c r="A3" t="s">
        <v>372</v>
      </c>
    </row>
    <row r="5" spans="1:11">
      <c r="D5" s="49" t="s">
        <v>479</v>
      </c>
      <c r="E5" s="49" t="s">
        <v>480</v>
      </c>
      <c r="F5" s="49" t="s">
        <v>481</v>
      </c>
      <c r="G5" s="49" t="s">
        <v>488</v>
      </c>
      <c r="H5" s="49" t="s">
        <v>487</v>
      </c>
      <c r="I5" s="49" t="s">
        <v>484</v>
      </c>
      <c r="J5" s="49" t="s">
        <v>485</v>
      </c>
      <c r="K5" s="49" t="s">
        <v>486</v>
      </c>
    </row>
    <row r="6" spans="1:11">
      <c r="A6">
        <v>2018</v>
      </c>
      <c r="B6" t="s">
        <v>24</v>
      </c>
      <c r="C6" s="49" t="s">
        <v>479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9" t="s">
        <v>480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9" t="s">
        <v>481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9" t="s">
        <v>488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9" t="s">
        <v>487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9" t="s">
        <v>484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9" t="s">
        <v>485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9" t="s">
        <v>486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2578125" defaultRowHeight="15"/>
  <cols>
    <col min="1" max="1" width="24.42578125" customWidth="1"/>
  </cols>
  <sheetData>
    <row r="1" spans="1:11">
      <c r="A1" t="s">
        <v>375</v>
      </c>
    </row>
    <row r="2" spans="1:11">
      <c r="A2" t="s">
        <v>62</v>
      </c>
    </row>
    <row r="3" spans="1:11">
      <c r="A3" t="s">
        <v>378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topLeftCell="A16" workbookViewId="0">
      <selection activeCell="L33" sqref="L33"/>
    </sheetView>
  </sheetViews>
  <sheetFormatPr defaultColWidth="11.42578125" defaultRowHeight="15"/>
  <cols>
    <col min="1" max="1" width="25.42578125" customWidth="1"/>
    <col min="4" max="4" width="11.42578125" customWidth="1"/>
    <col min="9" max="10" width="11.42578125" customWidth="1"/>
  </cols>
  <sheetData>
    <row r="1" spans="1:14">
      <c r="A1" t="s">
        <v>376</v>
      </c>
    </row>
    <row r="2" spans="1:14">
      <c r="A2" t="s">
        <v>377</v>
      </c>
    </row>
    <row r="3" spans="1:14">
      <c r="A3" t="s">
        <v>378</v>
      </c>
    </row>
    <row r="4" spans="1:14">
      <c r="L4" s="59"/>
      <c r="M4" s="59"/>
      <c r="N4" s="59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2578125" defaultRowHeight="15"/>
  <cols>
    <col min="1" max="2" width="25.42578125" customWidth="1"/>
    <col min="5" max="5" width="11.42578125" customWidth="1"/>
    <col min="10" max="11" width="11.42578125" customWidth="1"/>
  </cols>
  <sheetData>
    <row r="1" spans="1:10">
      <c r="A1" t="s">
        <v>379</v>
      </c>
    </row>
    <row r="2" spans="1:10">
      <c r="A2" t="s">
        <v>336</v>
      </c>
    </row>
    <row r="3" spans="1:10">
      <c r="A3" t="s">
        <v>378</v>
      </c>
    </row>
    <row r="5" spans="1:10">
      <c r="A5" t="s">
        <v>25</v>
      </c>
      <c r="B5" t="s">
        <v>324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284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318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319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320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321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322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435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C13" sqref="C13:D13"/>
    </sheetView>
  </sheetViews>
  <sheetFormatPr defaultColWidth="11.42578125" defaultRowHeight="15"/>
  <cols>
    <col min="1" max="1" width="25.42578125" customWidth="1"/>
    <col min="4" max="4" width="11.42578125" customWidth="1"/>
    <col min="9" max="10" width="11.42578125" customWidth="1"/>
  </cols>
  <sheetData>
    <row r="1" spans="1:10">
      <c r="A1" t="s">
        <v>380</v>
      </c>
    </row>
    <row r="2" spans="1:10">
      <c r="A2" t="s">
        <v>63</v>
      </c>
    </row>
    <row r="3" spans="1:10">
      <c r="A3" t="s">
        <v>378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479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49" t="s">
        <v>480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49" t="s">
        <v>481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49" t="s">
        <v>488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49" t="s">
        <v>487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49" t="s">
        <v>484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49" t="s">
        <v>485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49" t="s">
        <v>486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zoomScale="90" zoomScaleNormal="90" zoomScalePageLayoutView="90" workbookViewId="0">
      <selection activeCell="Q85" sqref="Q85"/>
    </sheetView>
  </sheetViews>
  <sheetFormatPr defaultColWidth="11.42578125" defaultRowHeight="15"/>
  <cols>
    <col min="2" max="2" width="23.42578125" customWidth="1"/>
  </cols>
  <sheetData>
    <row r="1" spans="1:12">
      <c r="A1" t="s">
        <v>384</v>
      </c>
    </row>
    <row r="2" spans="1:12">
      <c r="A2" t="s">
        <v>7</v>
      </c>
    </row>
    <row r="3" spans="1:12">
      <c r="A3" t="s">
        <v>383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485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485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485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485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485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485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485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485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485</v>
      </c>
      <c r="B14" s="2" t="s">
        <v>497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485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485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485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485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485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485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485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485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485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485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485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485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485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485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485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485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485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485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485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485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485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485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485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485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485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485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485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485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485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485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485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485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485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485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485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485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485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485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485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485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485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485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485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485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485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485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485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485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485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485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485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485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485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485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485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485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485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485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485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485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485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485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485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485</v>
      </c>
      <c r="B78" s="2" t="s">
        <v>316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485</v>
      </c>
      <c r="B79" s="2" t="s">
        <v>498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485</v>
      </c>
      <c r="B80" s="2" t="s">
        <v>317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485</v>
      </c>
      <c r="B81" t="s">
        <v>329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485</v>
      </c>
      <c r="B82" t="s">
        <v>330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485</v>
      </c>
      <c r="B83" t="s">
        <v>333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485</v>
      </c>
      <c r="B84" t="s">
        <v>332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485</v>
      </c>
      <c r="B85" t="s">
        <v>436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485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485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485</v>
      </c>
      <c r="B88" t="s">
        <v>442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485</v>
      </c>
      <c r="B89" t="s">
        <v>440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485</v>
      </c>
      <c r="B90" t="s">
        <v>444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485</v>
      </c>
      <c r="B91" t="s">
        <v>445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485</v>
      </c>
      <c r="B92" t="s">
        <v>437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485</v>
      </c>
      <c r="B93" t="s">
        <v>438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485</v>
      </c>
      <c r="B94" t="s">
        <v>439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485</v>
      </c>
      <c r="B95" t="s">
        <v>443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485</v>
      </c>
      <c r="B96" t="s">
        <v>441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485</v>
      </c>
      <c r="B97" t="s">
        <v>436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485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485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485</v>
      </c>
      <c r="B100" t="s">
        <v>442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485</v>
      </c>
      <c r="B101" t="s">
        <v>440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485</v>
      </c>
      <c r="B102" t="s">
        <v>444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485</v>
      </c>
      <c r="B103" t="s">
        <v>445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485</v>
      </c>
      <c r="B104" t="s">
        <v>437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485</v>
      </c>
      <c r="B105" t="s">
        <v>438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485</v>
      </c>
      <c r="B106" t="s">
        <v>439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485</v>
      </c>
      <c r="B107" t="s">
        <v>443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485</v>
      </c>
      <c r="B108" t="s">
        <v>441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485</v>
      </c>
      <c r="B109" t="s">
        <v>446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485</v>
      </c>
      <c r="B110" t="s">
        <v>446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485</v>
      </c>
      <c r="B111" t="s">
        <v>449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485</v>
      </c>
      <c r="B112" t="s">
        <v>451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485</v>
      </c>
      <c r="B113" t="s">
        <v>450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zoomScale="90" zoomScaleNormal="90" zoomScalePageLayoutView="90" workbookViewId="0">
      <selection activeCell="N14" sqref="N14"/>
    </sheetView>
  </sheetViews>
  <sheetFormatPr defaultColWidth="11.42578125" defaultRowHeight="15"/>
  <cols>
    <col min="2" max="2" width="23.42578125" customWidth="1"/>
  </cols>
  <sheetData>
    <row r="1" spans="1:11">
      <c r="A1" t="s">
        <v>381</v>
      </c>
    </row>
    <row r="2" spans="1:11">
      <c r="A2" t="s">
        <v>337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485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485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485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485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485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485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485</v>
      </c>
      <c r="B12" s="2" t="s">
        <v>497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485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485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485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485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485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485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485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485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485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485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485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485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485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485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485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485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485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485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485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485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485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485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485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485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485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485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485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485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485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485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485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485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485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485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485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485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485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485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485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485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485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485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485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485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485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485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485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485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485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485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485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485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485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485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485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485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485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485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485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485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485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485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485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485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485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485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485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485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485</v>
      </c>
      <c r="B81" s="2" t="s">
        <v>316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485</v>
      </c>
      <c r="B82" s="2" t="s">
        <v>498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485</v>
      </c>
      <c r="B83" s="2" t="s">
        <v>317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485</v>
      </c>
      <c r="B84" t="s">
        <v>329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485</v>
      </c>
      <c r="B85" t="s">
        <v>330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485</v>
      </c>
      <c r="B86" t="s">
        <v>436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485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485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485</v>
      </c>
      <c r="B89" t="s">
        <v>442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485</v>
      </c>
      <c r="B90" t="s">
        <v>440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485</v>
      </c>
      <c r="B91" t="s">
        <v>444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485</v>
      </c>
      <c r="B92" t="s">
        <v>445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485</v>
      </c>
      <c r="B93" t="s">
        <v>437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485</v>
      </c>
      <c r="B94" t="s">
        <v>438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485</v>
      </c>
      <c r="B95" t="s">
        <v>439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485</v>
      </c>
      <c r="B96" t="s">
        <v>443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485</v>
      </c>
      <c r="B97" t="s">
        <v>441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485</v>
      </c>
      <c r="B98" t="s">
        <v>446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485</v>
      </c>
      <c r="B99" t="s">
        <v>449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485</v>
      </c>
      <c r="B100" t="s">
        <v>451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485</v>
      </c>
      <c r="B101" t="s">
        <v>450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F25" sqref="F25"/>
    </sheetView>
  </sheetViews>
  <sheetFormatPr defaultColWidth="11.42578125" defaultRowHeight="15"/>
  <cols>
    <col min="1" max="1" width="17.5703125" customWidth="1"/>
  </cols>
  <sheetData>
    <row r="1" spans="1:3">
      <c r="A1" t="s">
        <v>386</v>
      </c>
    </row>
    <row r="2" spans="1:3">
      <c r="A2" t="s">
        <v>338</v>
      </c>
    </row>
    <row r="3" spans="1:3">
      <c r="A3" t="s">
        <v>387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312</v>
      </c>
      <c r="B11" t="s">
        <v>0</v>
      </c>
      <c r="C11">
        <f>C7</f>
        <v>5.6099999999999997E-2</v>
      </c>
    </row>
    <row r="12" spans="1:3">
      <c r="A12" t="s">
        <v>334</v>
      </c>
      <c r="B12" t="s">
        <v>0</v>
      </c>
      <c r="C12">
        <v>1</v>
      </c>
    </row>
    <row r="13" spans="1:3">
      <c r="A13" t="s">
        <v>335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J37" sqref="J37"/>
    </sheetView>
  </sheetViews>
  <sheetFormatPr defaultColWidth="11.42578125" defaultRowHeight="15"/>
  <cols>
    <col min="1" max="1" width="42.42578125" customWidth="1"/>
    <col min="2" max="2" width="21.42578125" customWidth="1"/>
    <col min="3" max="3" width="17.42578125" customWidth="1"/>
    <col min="4" max="4" width="20.42578125" customWidth="1"/>
    <col min="5" max="5" width="17.42578125" customWidth="1"/>
    <col min="6" max="6" width="20.42578125" customWidth="1"/>
    <col min="7" max="7" width="17.42578125" customWidth="1"/>
    <col min="8" max="8" width="20.42578125" customWidth="1"/>
    <col min="9" max="9" width="17.42578125" customWidth="1"/>
    <col min="10" max="10" width="20.42578125" customWidth="1"/>
    <col min="11" max="11" width="5" customWidth="1"/>
    <col min="12" max="12" width="23.42578125" customWidth="1"/>
    <col min="13" max="14" width="16.42578125" customWidth="1"/>
    <col min="15" max="15" width="13.42578125" customWidth="1"/>
  </cols>
  <sheetData>
    <row r="1" spans="1:10">
      <c r="A1" t="s">
        <v>389</v>
      </c>
    </row>
    <row r="2" spans="1:10">
      <c r="A2" t="s">
        <v>8</v>
      </c>
      <c r="B2" s="24"/>
    </row>
    <row r="3" spans="1:10">
      <c r="A3" t="s">
        <v>388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479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9" t="s">
        <v>480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9" t="s">
        <v>481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9" t="s">
        <v>488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9" t="s">
        <v>487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9" t="s">
        <v>484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9" t="s">
        <v>485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9" t="s">
        <v>486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>
    <tabColor theme="5" tint="0.59999389629810485"/>
  </sheetPr>
  <dimension ref="A1:J61"/>
  <sheetViews>
    <sheetView tabSelected="1" zoomScale="90" zoomScaleNormal="90" zoomScalePageLayoutView="90" workbookViewId="0">
      <pane xSplit="2" ySplit="5" topLeftCell="C20" activePane="bottomRight" state="frozen"/>
      <selection pane="topRight" activeCell="C1" sqref="C1"/>
      <selection pane="bottomLeft" activeCell="A6" sqref="A6"/>
      <selection pane="bottomRight" activeCell="D63" sqref="D63"/>
    </sheetView>
  </sheetViews>
  <sheetFormatPr defaultColWidth="11.42578125" defaultRowHeight="15"/>
  <cols>
    <col min="1" max="1" width="17.42578125" customWidth="1"/>
    <col min="2" max="2" width="25.42578125" customWidth="1"/>
    <col min="3" max="3" width="21.42578125" customWidth="1"/>
    <col min="4" max="4" width="18.42578125" customWidth="1"/>
    <col min="6" max="13" width="13.42578125" customWidth="1"/>
  </cols>
  <sheetData>
    <row r="1" spans="1:10">
      <c r="A1" t="s">
        <v>392</v>
      </c>
    </row>
    <row r="2" spans="1:10">
      <c r="A2" t="s">
        <v>339</v>
      </c>
    </row>
    <row r="3" spans="1:10">
      <c r="A3" t="s">
        <v>391</v>
      </c>
    </row>
    <row r="5" spans="1:10">
      <c r="A5" t="s">
        <v>20</v>
      </c>
      <c r="B5" t="s">
        <v>21</v>
      </c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>
      <c r="A6" s="49" t="s">
        <v>479</v>
      </c>
      <c r="B6" s="49" t="s">
        <v>209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</row>
    <row r="7" spans="1:10">
      <c r="A7" s="49" t="s">
        <v>479</v>
      </c>
      <c r="B7" s="49" t="s">
        <v>207</v>
      </c>
      <c r="C7" s="58">
        <v>0.376776</v>
      </c>
      <c r="D7" s="58">
        <v>0.36</v>
      </c>
      <c r="E7" s="58">
        <v>0.34375628328077751</v>
      </c>
      <c r="F7" s="58">
        <v>0.34375628328077751</v>
      </c>
      <c r="G7" s="58">
        <v>0.34375628328077751</v>
      </c>
      <c r="H7" s="58">
        <v>0.34375628328077751</v>
      </c>
      <c r="I7" s="58">
        <v>0.34375628328077751</v>
      </c>
      <c r="J7" s="58">
        <v>0.34375628328077751</v>
      </c>
    </row>
    <row r="8" spans="1:10">
      <c r="A8" s="49" t="s">
        <v>479</v>
      </c>
      <c r="B8" s="49" t="s">
        <v>271</v>
      </c>
      <c r="C8" s="47">
        <v>8.114346449827026E-3</v>
      </c>
      <c r="D8" s="47">
        <v>1.256734145278088E-2</v>
      </c>
      <c r="E8" s="61">
        <v>1.5040024363583935E-2</v>
      </c>
      <c r="F8" s="61">
        <v>1.5040024363583935E-2</v>
      </c>
      <c r="G8" s="61">
        <v>1.5040024363583935E-2</v>
      </c>
      <c r="H8" s="61">
        <v>1.5040024363583935E-2</v>
      </c>
      <c r="I8" s="61">
        <v>1.5040024363583935E-2</v>
      </c>
      <c r="J8" s="61">
        <v>1.5040024363583935E-2</v>
      </c>
    </row>
    <row r="9" spans="1:10">
      <c r="A9" s="49" t="s">
        <v>479</v>
      </c>
      <c r="B9" s="49" t="s">
        <v>208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</row>
    <row r="10" spans="1:10">
      <c r="A10" s="49" t="s">
        <v>479</v>
      </c>
      <c r="B10" s="49" t="s">
        <v>145</v>
      </c>
      <c r="C10" s="47"/>
      <c r="D10" s="47"/>
      <c r="E10" s="47"/>
      <c r="F10" s="47"/>
      <c r="G10" s="47"/>
      <c r="H10" s="47"/>
      <c r="I10" s="47"/>
      <c r="J10" s="47"/>
    </row>
    <row r="11" spans="1:10">
      <c r="A11" s="49" t="s">
        <v>479</v>
      </c>
      <c r="B11" s="49" t="s">
        <v>24</v>
      </c>
      <c r="C11" s="47">
        <v>0.1165766738660907</v>
      </c>
      <c r="D11" s="52">
        <v>0.16557029639999865</v>
      </c>
      <c r="E11" s="60">
        <v>0.13647275703714637</v>
      </c>
      <c r="F11" s="60">
        <v>0.14070964313144907</v>
      </c>
      <c r="G11" s="60">
        <v>0.1447210325967957</v>
      </c>
      <c r="H11" s="60">
        <v>0.14850774836624264</v>
      </c>
      <c r="I11" s="60">
        <v>0.15207060802400235</v>
      </c>
      <c r="J11" s="60">
        <v>0.15541042385429868</v>
      </c>
    </row>
    <row r="12" spans="1:10">
      <c r="A12" s="49" t="s">
        <v>480</v>
      </c>
      <c r="B12" s="49" t="s">
        <v>209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</row>
    <row r="13" spans="1:10">
      <c r="A13" s="49" t="s">
        <v>480</v>
      </c>
      <c r="B13" s="49" t="s">
        <v>207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</row>
    <row r="14" spans="1:10">
      <c r="A14" s="49" t="s">
        <v>480</v>
      </c>
      <c r="B14" s="49" t="s">
        <v>271</v>
      </c>
      <c r="C14" s="47">
        <v>1.0905437931630502E-3</v>
      </c>
      <c r="D14" s="47">
        <v>1.6890129479476511E-3</v>
      </c>
      <c r="E14" s="61">
        <v>2.0213341049884746E-3</v>
      </c>
      <c r="F14" s="61">
        <v>2.0213341049884746E-3</v>
      </c>
      <c r="G14" s="61">
        <v>2.0213341049884746E-3</v>
      </c>
      <c r="H14" s="61">
        <v>2.0213341049884746E-3</v>
      </c>
      <c r="I14" s="61">
        <v>2.0213341049884746E-3</v>
      </c>
      <c r="J14" s="61">
        <v>2.0213341049884746E-3</v>
      </c>
    </row>
    <row r="15" spans="1:10">
      <c r="A15" s="49" t="s">
        <v>480</v>
      </c>
      <c r="B15" s="49" t="s">
        <v>208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</row>
    <row r="16" spans="1:10">
      <c r="A16" s="49" t="s">
        <v>480</v>
      </c>
      <c r="B16" s="49" t="s">
        <v>145</v>
      </c>
      <c r="C16" s="47"/>
      <c r="D16" s="47"/>
      <c r="E16" s="47"/>
      <c r="F16" s="47"/>
      <c r="G16" s="47"/>
      <c r="H16" s="47"/>
      <c r="I16" s="47"/>
      <c r="J16" s="47"/>
    </row>
    <row r="17" spans="1:10">
      <c r="A17" s="49" t="s">
        <v>480</v>
      </c>
      <c r="B17" s="49" t="s">
        <v>24</v>
      </c>
      <c r="C17" s="47">
        <v>1.5561555075593952E-2</v>
      </c>
      <c r="D17" s="52">
        <v>1.6726755599999865E-2</v>
      </c>
      <c r="E17" s="60">
        <v>1.6479165439262616E-2</v>
      </c>
      <c r="F17" s="60">
        <v>1.6990771919641122E-2</v>
      </c>
      <c r="G17" s="60">
        <v>1.7475149549842944E-2</v>
      </c>
      <c r="H17" s="60">
        <v>1.7932397699517211E-2</v>
      </c>
      <c r="I17" s="60">
        <v>1.8362615092436998E-2</v>
      </c>
      <c r="J17" s="60">
        <v>1.8765899812398665E-2</v>
      </c>
    </row>
    <row r="18" spans="1:10">
      <c r="A18" s="49" t="s">
        <v>481</v>
      </c>
      <c r="B18" s="49" t="s">
        <v>209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</row>
    <row r="19" spans="1:10">
      <c r="A19" s="49" t="s">
        <v>481</v>
      </c>
      <c r="B19" s="49" t="s">
        <v>207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</row>
    <row r="20" spans="1:10">
      <c r="A20" s="49" t="s">
        <v>481</v>
      </c>
      <c r="B20" s="49" t="s">
        <v>271</v>
      </c>
      <c r="C20" s="47">
        <v>1.9320597788091191E-3</v>
      </c>
      <c r="D20" s="47">
        <v>2.9923364866921722E-3</v>
      </c>
      <c r="E20" s="61">
        <v>3.5810926147735751E-3</v>
      </c>
      <c r="F20" s="61">
        <v>3.5810926147735751E-3</v>
      </c>
      <c r="G20" s="61">
        <v>3.5810926147735751E-3</v>
      </c>
      <c r="H20" s="61">
        <v>3.5810926147735751E-3</v>
      </c>
      <c r="I20" s="61">
        <v>3.5810926147735751E-3</v>
      </c>
      <c r="J20" s="61">
        <v>3.5810926147735751E-3</v>
      </c>
    </row>
    <row r="21" spans="1:10">
      <c r="A21" s="49" t="s">
        <v>481</v>
      </c>
      <c r="B21" s="49" t="s">
        <v>208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</row>
    <row r="22" spans="1:10">
      <c r="A22" s="49" t="s">
        <v>481</v>
      </c>
      <c r="B22" s="49" t="s">
        <v>145</v>
      </c>
      <c r="C22" s="47"/>
      <c r="D22" s="47"/>
      <c r="E22" s="47"/>
      <c r="F22" s="47"/>
      <c r="G22" s="47"/>
      <c r="H22" s="47"/>
      <c r="I22" s="47"/>
      <c r="J22" s="47"/>
    </row>
    <row r="23" spans="1:10">
      <c r="A23" s="49" t="s">
        <v>481</v>
      </c>
      <c r="B23" s="49" t="s">
        <v>24</v>
      </c>
      <c r="C23" s="47">
        <v>3.1504679625629951E-2</v>
      </c>
      <c r="D23" s="52">
        <v>4.9382233199999605E-2</v>
      </c>
      <c r="E23" s="60">
        <v>3.668438926455897E-2</v>
      </c>
      <c r="F23" s="60">
        <v>3.7823280147452842E-2</v>
      </c>
      <c r="G23" s="60">
        <v>3.8901556690209817E-2</v>
      </c>
      <c r="H23" s="60">
        <v>3.9919440100323854E-2</v>
      </c>
      <c r="I23" s="60">
        <v>4.0877150147499611E-2</v>
      </c>
      <c r="J23" s="60">
        <v>4.17749051767849E-2</v>
      </c>
    </row>
    <row r="24" spans="1:10">
      <c r="A24" s="49" t="s">
        <v>488</v>
      </c>
      <c r="B24" s="49" t="s">
        <v>209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</row>
    <row r="25" spans="1:10">
      <c r="A25" s="49" t="s">
        <v>488</v>
      </c>
      <c r="B25" s="49" t="s">
        <v>207</v>
      </c>
      <c r="C25" s="47">
        <v>4.1183999999999998E-2</v>
      </c>
      <c r="D25" s="47">
        <v>3.9600000000000003E-2</v>
      </c>
      <c r="E25" s="58">
        <v>3.7813191161267135E-2</v>
      </c>
      <c r="F25" s="58">
        <v>3.7813191161267135E-2</v>
      </c>
      <c r="G25" s="58">
        <v>3.7813191161267135E-2</v>
      </c>
      <c r="H25" s="58">
        <v>3.7813191161267135E-2</v>
      </c>
      <c r="I25" s="58">
        <v>3.7813191161267135E-2</v>
      </c>
      <c r="J25" s="58">
        <v>3.7813191161267135E-2</v>
      </c>
    </row>
    <row r="26" spans="1:10">
      <c r="A26" s="49" t="s">
        <v>488</v>
      </c>
      <c r="B26" s="49" t="s">
        <v>271</v>
      </c>
      <c r="C26" s="47">
        <v>5.894267353577777E-2</v>
      </c>
      <c r="D26" s="47">
        <v>9.1289262671265595E-2</v>
      </c>
      <c r="E26" s="61">
        <v>0.10925084990076672</v>
      </c>
      <c r="F26" s="61">
        <v>0.10925084990076672</v>
      </c>
      <c r="G26" s="61">
        <v>0.10925084990076672</v>
      </c>
      <c r="H26" s="61">
        <v>0.10925084990076672</v>
      </c>
      <c r="I26" s="61">
        <v>0.10925084990076672</v>
      </c>
      <c r="J26" s="61">
        <v>0.10925084990076672</v>
      </c>
    </row>
    <row r="27" spans="1:10">
      <c r="A27" s="49" t="s">
        <v>488</v>
      </c>
      <c r="B27" s="49" t="s">
        <v>208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</row>
    <row r="28" spans="1:10">
      <c r="A28" s="49" t="s">
        <v>488</v>
      </c>
      <c r="B28" s="49" t="s">
        <v>145</v>
      </c>
      <c r="C28" s="47"/>
      <c r="D28" s="47"/>
      <c r="E28" s="47"/>
      <c r="F28" s="47"/>
      <c r="G28" s="47"/>
      <c r="H28" s="47"/>
      <c r="I28" s="47"/>
      <c r="J28" s="47"/>
    </row>
    <row r="29" spans="1:10">
      <c r="A29" s="49" t="s">
        <v>488</v>
      </c>
      <c r="B29" s="49" t="s">
        <v>24</v>
      </c>
      <c r="C29" s="47">
        <v>0.78448164146868249</v>
      </c>
      <c r="D29" s="52">
        <v>1.0525630247999915</v>
      </c>
      <c r="E29" s="60">
        <v>0.92707576406688252</v>
      </c>
      <c r="F29" s="60">
        <v>0.95585743814173751</v>
      </c>
      <c r="G29" s="60">
        <v>0.98310728664112568</v>
      </c>
      <c r="H29" s="60">
        <v>1.0088308998477424</v>
      </c>
      <c r="I29" s="60">
        <v>1.033033831708946</v>
      </c>
      <c r="J29" s="60">
        <v>1.0557216001686385</v>
      </c>
    </row>
    <row r="30" spans="1:10">
      <c r="A30" s="49" t="s">
        <v>487</v>
      </c>
      <c r="B30" s="49" t="s">
        <v>209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</row>
    <row r="31" spans="1:10">
      <c r="A31" s="49" t="s">
        <v>487</v>
      </c>
      <c r="B31" s="49" t="s">
        <v>207</v>
      </c>
      <c r="C31" s="47">
        <v>8.7840000000000001E-3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</row>
    <row r="32" spans="1:10">
      <c r="A32" s="49" t="s">
        <v>487</v>
      </c>
      <c r="B32" s="49" t="s">
        <v>271</v>
      </c>
      <c r="C32" s="47">
        <v>5.783385247233825E-2</v>
      </c>
      <c r="D32" s="47">
        <v>8.9571942243743374E-2</v>
      </c>
      <c r="E32" s="61">
        <v>0.10719563868787342</v>
      </c>
      <c r="F32" s="61">
        <v>0.10719563868787342</v>
      </c>
      <c r="G32" s="61">
        <v>0.10719563868787342</v>
      </c>
      <c r="H32" s="61">
        <v>0.10719563868787342</v>
      </c>
      <c r="I32" s="61">
        <v>0.10719563868787342</v>
      </c>
      <c r="J32" s="61">
        <v>0.10719563868787342</v>
      </c>
    </row>
    <row r="33" spans="1:10">
      <c r="A33" s="49" t="s">
        <v>487</v>
      </c>
      <c r="B33" s="49" t="s">
        <v>208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</row>
    <row r="34" spans="1:10">
      <c r="A34" s="49" t="s">
        <v>487</v>
      </c>
      <c r="B34" s="49" t="s">
        <v>145</v>
      </c>
      <c r="C34" s="47"/>
      <c r="D34" s="47"/>
      <c r="E34" s="47"/>
      <c r="F34" s="47"/>
      <c r="G34" s="47"/>
      <c r="H34" s="47"/>
      <c r="I34" s="47"/>
      <c r="J34" s="47"/>
    </row>
    <row r="35" spans="1:10">
      <c r="A35" s="49" t="s">
        <v>487</v>
      </c>
      <c r="B35" s="49" t="s">
        <v>24</v>
      </c>
      <c r="C35" s="47">
        <v>0.77597192224622025</v>
      </c>
      <c r="D35" s="52">
        <v>1.2425354495999901</v>
      </c>
      <c r="E35" s="60">
        <v>0.85076199093711924</v>
      </c>
      <c r="F35" s="60">
        <v>0.87717445396064875</v>
      </c>
      <c r="G35" s="60">
        <v>0.90218118616166632</v>
      </c>
      <c r="H35" s="60">
        <v>0.92578731764951205</v>
      </c>
      <c r="I35" s="60">
        <v>0.94799794518919112</v>
      </c>
      <c r="J35" s="60">
        <v>0.96881813250593762</v>
      </c>
    </row>
    <row r="36" spans="1:10">
      <c r="A36" s="49" t="s">
        <v>484</v>
      </c>
      <c r="B36" s="49" t="s">
        <v>209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</row>
    <row r="37" spans="1:10">
      <c r="A37" s="49" t="s">
        <v>484</v>
      </c>
      <c r="B37" s="49" t="s">
        <v>207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</row>
    <row r="38" spans="1:10">
      <c r="A38" s="49" t="s">
        <v>484</v>
      </c>
      <c r="B38" s="49" t="s">
        <v>271</v>
      </c>
      <c r="C38" s="47">
        <v>7.5915403646270016E-2</v>
      </c>
      <c r="D38" s="47">
        <v>0.11757629589117428</v>
      </c>
      <c r="E38" s="61">
        <v>0.14070997922889389</v>
      </c>
      <c r="F38" s="61">
        <v>0.14070997922889389</v>
      </c>
      <c r="G38" s="61">
        <v>0.14070997922889389</v>
      </c>
      <c r="H38" s="61">
        <v>0.14070997922889389</v>
      </c>
      <c r="I38" s="61">
        <v>0.14070997922889389</v>
      </c>
      <c r="J38" s="61">
        <v>0.14070997922889389</v>
      </c>
    </row>
    <row r="39" spans="1:10">
      <c r="A39" s="49" t="s">
        <v>484</v>
      </c>
      <c r="B39" s="49" t="s">
        <v>208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</row>
    <row r="40" spans="1:10">
      <c r="A40" s="49" t="s">
        <v>484</v>
      </c>
      <c r="B40" s="49" t="s">
        <v>145</v>
      </c>
      <c r="C40" s="47"/>
      <c r="D40" s="47"/>
      <c r="E40" s="47"/>
      <c r="F40" s="47"/>
      <c r="G40" s="47"/>
      <c r="H40" s="47"/>
      <c r="I40" s="47"/>
      <c r="J40" s="47"/>
    </row>
    <row r="41" spans="1:10">
      <c r="A41" s="49" t="s">
        <v>484</v>
      </c>
      <c r="B41" s="49" t="s">
        <v>24</v>
      </c>
      <c r="C41" s="47">
        <v>2.0844240460763137</v>
      </c>
      <c r="D41" s="52">
        <v>2.6165994695999784</v>
      </c>
      <c r="E41" s="60">
        <v>2.4075117454868851</v>
      </c>
      <c r="F41" s="60">
        <v>2.482254523882923</v>
      </c>
      <c r="G41" s="60">
        <v>2.5530193231235194</v>
      </c>
      <c r="H41" s="60">
        <v>2.6198206605456287</v>
      </c>
      <c r="I41" s="60">
        <v>2.6826729591274114</v>
      </c>
      <c r="J41" s="60">
        <v>2.7415905483500937</v>
      </c>
    </row>
    <row r="42" spans="1:10">
      <c r="A42" s="49" t="s">
        <v>485</v>
      </c>
      <c r="B42" s="49" t="s">
        <v>209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</row>
    <row r="43" spans="1:10">
      <c r="A43" s="49" t="s">
        <v>485</v>
      </c>
      <c r="B43" s="49" t="s">
        <v>207</v>
      </c>
      <c r="C43" s="47">
        <v>4.3920000000000001E-3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</row>
    <row r="44" spans="1:10">
      <c r="A44" s="49" t="s">
        <v>485</v>
      </c>
      <c r="B44" s="49" t="s">
        <v>271</v>
      </c>
      <c r="C44" s="47">
        <v>4.354026556320606E-2</v>
      </c>
      <c r="D44" s="47">
        <v>6.7434313738136201E-2</v>
      </c>
      <c r="E44" s="61">
        <v>8.0702328760129921E-2</v>
      </c>
      <c r="F44" s="61">
        <v>8.0702328760129921E-2</v>
      </c>
      <c r="G44" s="61">
        <v>8.0702328760129921E-2</v>
      </c>
      <c r="H44" s="61">
        <v>8.0702328760129921E-2</v>
      </c>
      <c r="I44" s="61">
        <v>8.0702328760129921E-2</v>
      </c>
      <c r="J44" s="61">
        <v>8.0702328760129921E-2</v>
      </c>
    </row>
    <row r="45" spans="1:10">
      <c r="A45" s="49" t="s">
        <v>485</v>
      </c>
      <c r="B45" s="49" t="s">
        <v>208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</row>
    <row r="46" spans="1:10">
      <c r="A46" s="49" t="s">
        <v>485</v>
      </c>
      <c r="B46" s="49" t="s">
        <v>145</v>
      </c>
      <c r="C46" s="47"/>
      <c r="D46" s="47"/>
      <c r="E46" s="47"/>
      <c r="F46" s="47"/>
      <c r="G46" s="47"/>
      <c r="H46" s="47"/>
      <c r="I46" s="47"/>
      <c r="J46" s="47"/>
    </row>
    <row r="47" spans="1:10">
      <c r="A47" s="49" t="s">
        <v>485</v>
      </c>
      <c r="B47" s="49" t="s">
        <v>24</v>
      </c>
      <c r="C47" s="47">
        <v>0.5955903527717783</v>
      </c>
      <c r="D47" s="52">
        <v>0.68947205399999445</v>
      </c>
      <c r="E47" s="60">
        <v>0.70429332469024664</v>
      </c>
      <c r="F47" s="60">
        <v>0.72615857207348877</v>
      </c>
      <c r="G47" s="60">
        <v>0.74686010170117423</v>
      </c>
      <c r="H47" s="60">
        <v>0.76640216047408272</v>
      </c>
      <c r="I47" s="60">
        <v>0.78478896768927908</v>
      </c>
      <c r="J47" s="60">
        <v>0.8020247152922404</v>
      </c>
    </row>
    <row r="48" spans="1:10">
      <c r="A48" s="49" t="s">
        <v>486</v>
      </c>
      <c r="B48" s="49" t="s">
        <v>209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</row>
    <row r="49" spans="1:10">
      <c r="A49" s="49" t="s">
        <v>486</v>
      </c>
      <c r="B49" s="49" t="s">
        <v>207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</row>
    <row r="50" spans="1:10">
      <c r="A50" s="49" t="s">
        <v>486</v>
      </c>
      <c r="B50" s="49" t="s">
        <v>271</v>
      </c>
      <c r="C50" s="47">
        <v>4.7830854760608728E-2</v>
      </c>
      <c r="D50" s="47">
        <v>7.4079494568259852E-2</v>
      </c>
      <c r="E50" s="61">
        <v>8.8654979840789877E-2</v>
      </c>
      <c r="F50" s="61">
        <v>8.8654979840789877E-2</v>
      </c>
      <c r="G50" s="61">
        <v>8.8654979840789877E-2</v>
      </c>
      <c r="H50" s="61">
        <v>8.8654979840789877E-2</v>
      </c>
      <c r="I50" s="61">
        <v>8.8654979840789877E-2</v>
      </c>
      <c r="J50" s="61">
        <v>8.8654979840789877E-2</v>
      </c>
    </row>
    <row r="51" spans="1:10">
      <c r="A51" s="49" t="s">
        <v>486</v>
      </c>
      <c r="B51" s="49" t="s">
        <v>208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</row>
    <row r="52" spans="1:10">
      <c r="A52" s="49" t="s">
        <v>486</v>
      </c>
      <c r="B52" s="49" t="s">
        <v>145</v>
      </c>
      <c r="D52" s="47"/>
      <c r="E52" s="47"/>
      <c r="F52" s="47"/>
      <c r="G52" s="47"/>
      <c r="H52" s="47"/>
      <c r="I52" s="47"/>
      <c r="J52" s="47"/>
    </row>
    <row r="53" spans="1:10">
      <c r="A53" s="49" t="s">
        <v>486</v>
      </c>
      <c r="B53" s="49" t="s">
        <v>24</v>
      </c>
      <c r="C53" s="47">
        <v>0.86984161267098625</v>
      </c>
      <c r="D53" s="52">
        <v>1.0276254071999917</v>
      </c>
      <c r="E53" s="60">
        <v>0.99224977501159628</v>
      </c>
      <c r="F53" s="60">
        <v>1.0230548189272644</v>
      </c>
      <c r="G53" s="60">
        <v>1.0522203489633482</v>
      </c>
      <c r="H53" s="60">
        <v>1.0797523484029423</v>
      </c>
      <c r="I53" s="60">
        <v>1.1056567616394077</v>
      </c>
      <c r="J53" s="60">
        <v>1.1299394945315826</v>
      </c>
    </row>
    <row r="54" spans="1:10">
      <c r="A54" t="s">
        <v>484</v>
      </c>
      <c r="B54" t="s">
        <v>146</v>
      </c>
      <c r="C54">
        <v>6.4918076281656729</v>
      </c>
      <c r="D54">
        <v>5.6721738636433523</v>
      </c>
      <c r="E54">
        <v>5.6721738636433523</v>
      </c>
      <c r="F54">
        <v>5.6721738636433523</v>
      </c>
      <c r="G54">
        <v>5.6721738636433523</v>
      </c>
      <c r="H54">
        <v>5.6721738636433523</v>
      </c>
      <c r="I54">
        <v>5.6721738636433523</v>
      </c>
      <c r="J54">
        <v>5.6721738636433523</v>
      </c>
    </row>
    <row r="55" spans="1:10">
      <c r="A55" t="s">
        <v>486</v>
      </c>
      <c r="B55" t="s">
        <v>146</v>
      </c>
      <c r="C55">
        <v>1.3063877543100479</v>
      </c>
      <c r="D55">
        <v>1.7301026268517314</v>
      </c>
      <c r="E55">
        <v>1.7301026268517314</v>
      </c>
      <c r="F55">
        <v>1.7301026268517314</v>
      </c>
      <c r="G55">
        <v>1.7301026268517314</v>
      </c>
      <c r="H55">
        <v>1.7301026268517314</v>
      </c>
      <c r="I55">
        <v>1.7301026268517314</v>
      </c>
      <c r="J55">
        <v>1.7301026268517314</v>
      </c>
    </row>
    <row r="56" spans="1:10">
      <c r="A56" t="s">
        <v>480</v>
      </c>
      <c r="B56" t="s">
        <v>146</v>
      </c>
      <c r="C56">
        <v>2.9785649118282811E-2</v>
      </c>
      <c r="D56">
        <v>3.9446350910753242E-2</v>
      </c>
      <c r="E56">
        <v>3.9446350910753242E-2</v>
      </c>
      <c r="F56">
        <v>3.9446350910753242E-2</v>
      </c>
      <c r="G56">
        <v>3.9446350910753242E-2</v>
      </c>
      <c r="H56">
        <v>3.9446350910753242E-2</v>
      </c>
      <c r="I56">
        <v>3.9446350910753242E-2</v>
      </c>
      <c r="J56">
        <v>3.9446350910753242E-2</v>
      </c>
    </row>
    <row r="57" spans="1:10">
      <c r="A57" t="s">
        <v>485</v>
      </c>
      <c r="B57" t="s">
        <v>146</v>
      </c>
      <c r="C57">
        <v>1.1892003610611614</v>
      </c>
      <c r="D57">
        <v>1.5749065786455971</v>
      </c>
      <c r="E57">
        <v>1.5749065786455971</v>
      </c>
      <c r="F57">
        <v>1.5749065786455971</v>
      </c>
      <c r="G57">
        <v>1.5749065786455971</v>
      </c>
      <c r="H57">
        <v>1.5749065786455971</v>
      </c>
      <c r="I57">
        <v>1.5749065786455971</v>
      </c>
      <c r="J57">
        <v>1.5749065786455971</v>
      </c>
    </row>
    <row r="58" spans="1:10">
      <c r="A58" t="s">
        <v>479</v>
      </c>
      <c r="B58" t="s">
        <v>146</v>
      </c>
      <c r="C58">
        <v>0.2216243654715806</v>
      </c>
      <c r="D58">
        <v>0.29350619340368422</v>
      </c>
      <c r="E58">
        <v>0.29350619340368422</v>
      </c>
      <c r="F58">
        <v>0.29350619340368422</v>
      </c>
      <c r="G58">
        <v>0.29350619340368422</v>
      </c>
      <c r="H58">
        <v>0.29350619340368422</v>
      </c>
      <c r="I58">
        <v>0.29350619340368422</v>
      </c>
      <c r="J58">
        <v>0.29350619340368422</v>
      </c>
    </row>
    <row r="59" spans="1:10">
      <c r="A59" t="s">
        <v>488</v>
      </c>
      <c r="B59" t="s">
        <v>146</v>
      </c>
      <c r="C59">
        <v>1.6098810547883051</v>
      </c>
      <c r="D59">
        <v>2.1320311925911168</v>
      </c>
      <c r="E59">
        <v>2.1320311925911168</v>
      </c>
      <c r="F59">
        <v>2.1320311925911168</v>
      </c>
      <c r="G59">
        <v>2.1320311925911168</v>
      </c>
      <c r="H59">
        <v>2.1320311925911168</v>
      </c>
      <c r="I59">
        <v>2.1320311925911168</v>
      </c>
      <c r="J59">
        <v>2.1320311925911168</v>
      </c>
    </row>
    <row r="60" spans="1:10">
      <c r="A60" t="s">
        <v>487</v>
      </c>
      <c r="B60" t="s">
        <v>146</v>
      </c>
      <c r="C60">
        <v>1.5795962048468111</v>
      </c>
      <c r="D60">
        <v>2.0919237296539266</v>
      </c>
      <c r="E60">
        <v>2.0919237296539266</v>
      </c>
      <c r="F60">
        <v>2.0919237296539266</v>
      </c>
      <c r="G60">
        <v>2.0919237296539266</v>
      </c>
      <c r="H60">
        <v>2.0919237296539266</v>
      </c>
      <c r="I60">
        <v>2.0919237296539266</v>
      </c>
      <c r="J60">
        <v>2.0919237296539266</v>
      </c>
    </row>
    <row r="61" spans="1:10">
      <c r="A61" t="s">
        <v>481</v>
      </c>
      <c r="B61" t="s">
        <v>146</v>
      </c>
      <c r="C61">
        <v>5.2769687020309708E-2</v>
      </c>
      <c r="D61">
        <v>6.9885050461299558E-2</v>
      </c>
      <c r="E61">
        <v>6.9885050461299558E-2</v>
      </c>
      <c r="F61">
        <v>6.9885050461299558E-2</v>
      </c>
      <c r="G61">
        <v>6.9885050461299558E-2</v>
      </c>
      <c r="H61">
        <v>6.9885050461299558E-2</v>
      </c>
      <c r="I61">
        <v>6.9885050461299558E-2</v>
      </c>
      <c r="J61">
        <v>6.9885050461299558E-2</v>
      </c>
    </row>
  </sheetData>
  <autoFilter ref="A5:BH61" xr:uid="{00000000-0009-0000-0000-000015000000}">
    <sortState xmlns:xlrd2="http://schemas.microsoft.com/office/spreadsheetml/2017/richdata2" ref="A6:BH11">
      <sortCondition ref="B5"/>
    </sortState>
  </autoFilter>
  <conditionalFormatting sqref="A6:A5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A15" sqref="A15"/>
    </sheetView>
  </sheetViews>
  <sheetFormatPr defaultColWidth="11.42578125" defaultRowHeight="15"/>
  <cols>
    <col min="1" max="1" width="17.42578125" customWidth="1"/>
  </cols>
  <sheetData>
    <row r="1" spans="1:9">
      <c r="A1" t="s">
        <v>394</v>
      </c>
    </row>
    <row r="2" spans="1:9">
      <c r="A2" t="s">
        <v>340</v>
      </c>
    </row>
    <row r="3" spans="1:9">
      <c r="A3" t="s">
        <v>393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9" t="s">
        <v>479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9" t="s">
        <v>480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9" t="s">
        <v>481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9" t="s">
        <v>488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9" t="s">
        <v>487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9" t="s">
        <v>484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9" t="s">
        <v>485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9" t="s">
        <v>486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2578125" defaultRowHeight="15"/>
  <cols>
    <col min="1" max="1" width="15.140625" customWidth="1"/>
  </cols>
  <sheetData>
    <row r="1" spans="1:10">
      <c r="A1" t="s">
        <v>395</v>
      </c>
    </row>
    <row r="2" spans="1:10">
      <c r="A2" t="s">
        <v>9</v>
      </c>
    </row>
    <row r="3" spans="1:10">
      <c r="A3" t="s">
        <v>382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485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2578125" defaultRowHeight="15"/>
  <cols>
    <col min="1" max="1" width="17.7109375" customWidth="1"/>
    <col min="2" max="2" width="28.140625" customWidth="1"/>
  </cols>
  <sheetData>
    <row r="1" spans="1:10">
      <c r="A1" t="s">
        <v>396</v>
      </c>
    </row>
    <row r="2" spans="1:10">
      <c r="A2" t="s">
        <v>10</v>
      </c>
    </row>
    <row r="3" spans="1:10" ht="15.75" customHeight="1">
      <c r="A3" t="s">
        <v>383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485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485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485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485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485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485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485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485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485</v>
      </c>
      <c r="B14" t="s">
        <v>327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485</v>
      </c>
      <c r="B15" t="s">
        <v>449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485</v>
      </c>
      <c r="B16" t="s">
        <v>450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485</v>
      </c>
      <c r="B17" t="s">
        <v>451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485</v>
      </c>
      <c r="B18" t="s">
        <v>440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485</v>
      </c>
      <c r="B19" t="s">
        <v>441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485</v>
      </c>
      <c r="B20" t="s">
        <v>442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485</v>
      </c>
      <c r="B21" t="s">
        <v>443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485</v>
      </c>
      <c r="B22" t="s">
        <v>444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485</v>
      </c>
      <c r="B23" t="s">
        <v>445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485</v>
      </c>
      <c r="B24" t="s">
        <v>446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/>
  <dimension ref="A1:R230"/>
  <sheetViews>
    <sheetView topLeftCell="A41" workbookViewId="0">
      <selection activeCell="E61" sqref="E61"/>
    </sheetView>
  </sheetViews>
  <sheetFormatPr defaultColWidth="11.42578125" defaultRowHeight="15"/>
  <cols>
    <col min="1" max="1" width="22.42578125" style="6" customWidth="1"/>
    <col min="2" max="2" width="27.85546875" style="6" bestFit="1" customWidth="1"/>
    <col min="3" max="3" width="24.42578125" style="6" customWidth="1"/>
    <col min="4" max="4" width="19.5703125" style="6" bestFit="1" customWidth="1"/>
    <col min="5" max="5" width="12.42578125" style="6" bestFit="1" customWidth="1"/>
    <col min="6" max="12" width="11.42578125" style="6"/>
    <col min="13" max="13" width="3.42578125" style="6" customWidth="1"/>
    <col min="14" max="16384" width="11.42578125" style="6"/>
  </cols>
  <sheetData>
    <row r="1" spans="1:18">
      <c r="A1" t="s">
        <v>397</v>
      </c>
    </row>
    <row r="2" spans="1:18">
      <c r="A2" t="s">
        <v>342</v>
      </c>
    </row>
    <row r="3" spans="1:18">
      <c r="A3" t="s">
        <v>383</v>
      </c>
    </row>
    <row r="5" spans="1:18">
      <c r="A5" t="s">
        <v>20</v>
      </c>
      <c r="B5" t="s">
        <v>26</v>
      </c>
      <c r="C5" t="s">
        <v>21</v>
      </c>
      <c r="D5" t="s">
        <v>341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>
      <c r="A6" t="s">
        <v>485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>
      <c r="A7" t="s">
        <v>485</v>
      </c>
      <c r="B7" s="6" t="s">
        <v>436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452</v>
      </c>
      <c r="Q7" s="6" t="s">
        <v>453</v>
      </c>
    </row>
    <row r="8" spans="1:18">
      <c r="A8" t="s">
        <v>485</v>
      </c>
      <c r="B8" s="6" t="s">
        <v>436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452</v>
      </c>
      <c r="Q8" s="6" t="s">
        <v>455</v>
      </c>
    </row>
    <row r="9" spans="1:18">
      <c r="A9" t="s">
        <v>485</v>
      </c>
      <c r="B9" s="6" t="s">
        <v>437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452</v>
      </c>
      <c r="Q9" s="6" t="s">
        <v>453</v>
      </c>
      <c r="R9" s="6" t="s">
        <v>454</v>
      </c>
    </row>
    <row r="10" spans="1:18">
      <c r="A10" t="s">
        <v>485</v>
      </c>
      <c r="B10" s="6" t="s">
        <v>437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452</v>
      </c>
      <c r="Q10" s="6" t="s">
        <v>455</v>
      </c>
      <c r="R10" s="6" t="s">
        <v>454</v>
      </c>
    </row>
    <row r="11" spans="1:18">
      <c r="A11" t="s">
        <v>485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452</v>
      </c>
      <c r="Q11" s="6" t="s">
        <v>453</v>
      </c>
    </row>
    <row r="12" spans="1:18">
      <c r="A12" t="s">
        <v>485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452</v>
      </c>
      <c r="Q12" s="6" t="s">
        <v>455</v>
      </c>
    </row>
    <row r="13" spans="1:18">
      <c r="A13" t="s">
        <v>485</v>
      </c>
      <c r="B13" s="6" t="s">
        <v>438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452</v>
      </c>
      <c r="Q13" s="6" t="s">
        <v>453</v>
      </c>
      <c r="R13" s="6" t="s">
        <v>454</v>
      </c>
    </row>
    <row r="14" spans="1:18">
      <c r="A14" t="s">
        <v>485</v>
      </c>
      <c r="B14" s="6" t="s">
        <v>438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452</v>
      </c>
      <c r="Q14" s="6" t="s">
        <v>455</v>
      </c>
      <c r="R14" s="6" t="s">
        <v>454</v>
      </c>
    </row>
    <row r="15" spans="1:18">
      <c r="A15" t="s">
        <v>485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452</v>
      </c>
      <c r="Q15" s="6" t="s">
        <v>453</v>
      </c>
    </row>
    <row r="16" spans="1:18">
      <c r="A16" t="s">
        <v>485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452</v>
      </c>
      <c r="Q16" s="6" t="s">
        <v>455</v>
      </c>
    </row>
    <row r="17" spans="1:18">
      <c r="A17" t="s">
        <v>485</v>
      </c>
      <c r="B17" s="6" t="s">
        <v>439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452</v>
      </c>
      <c r="Q17" s="6" t="s">
        <v>453</v>
      </c>
      <c r="R17" s="6" t="s">
        <v>454</v>
      </c>
    </row>
    <row r="18" spans="1:18">
      <c r="A18" t="s">
        <v>485</v>
      </c>
      <c r="B18" s="6" t="s">
        <v>439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452</v>
      </c>
      <c r="Q18" s="6" t="s">
        <v>455</v>
      </c>
      <c r="R18" s="6" t="s">
        <v>454</v>
      </c>
    </row>
    <row r="19" spans="1:18">
      <c r="A19" t="s">
        <v>485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>
      <c r="A20" t="s">
        <v>485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>
      <c r="A21" t="s">
        <v>485</v>
      </c>
      <c r="B21" s="6" t="s">
        <v>440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452</v>
      </c>
      <c r="Q21" s="6" t="s">
        <v>453</v>
      </c>
    </row>
    <row r="22" spans="1:18">
      <c r="A22" t="s">
        <v>485</v>
      </c>
      <c r="B22" s="6" t="s">
        <v>440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452</v>
      </c>
      <c r="Q22" s="6" t="s">
        <v>455</v>
      </c>
    </row>
    <row r="23" spans="1:18">
      <c r="A23" t="s">
        <v>485</v>
      </c>
      <c r="B23" s="6" t="s">
        <v>441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452</v>
      </c>
      <c r="Q23" s="6" t="s">
        <v>453</v>
      </c>
      <c r="R23" s="6" t="s">
        <v>454</v>
      </c>
    </row>
    <row r="24" spans="1:18">
      <c r="A24" t="s">
        <v>485</v>
      </c>
      <c r="B24" s="6" t="s">
        <v>441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452</v>
      </c>
      <c r="Q24" s="6" t="s">
        <v>455</v>
      </c>
      <c r="R24" s="6" t="s">
        <v>454</v>
      </c>
    </row>
    <row r="25" spans="1:18">
      <c r="A25" t="s">
        <v>485</v>
      </c>
      <c r="B25" s="6" t="s">
        <v>442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452</v>
      </c>
      <c r="Q25" s="6" t="s">
        <v>453</v>
      </c>
    </row>
    <row r="26" spans="1:18">
      <c r="A26" t="s">
        <v>485</v>
      </c>
      <c r="B26" s="6" t="s">
        <v>442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452</v>
      </c>
      <c r="Q26" s="6" t="s">
        <v>455</v>
      </c>
    </row>
    <row r="27" spans="1:18">
      <c r="A27" t="s">
        <v>485</v>
      </c>
      <c r="B27" s="6" t="s">
        <v>443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452</v>
      </c>
      <c r="Q27" s="6" t="s">
        <v>453</v>
      </c>
      <c r="R27" s="6" t="s">
        <v>454</v>
      </c>
    </row>
    <row r="28" spans="1:18">
      <c r="A28" t="s">
        <v>485</v>
      </c>
      <c r="B28" s="6" t="s">
        <v>443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452</v>
      </c>
      <c r="Q28" s="6" t="s">
        <v>455</v>
      </c>
      <c r="R28" s="6" t="s">
        <v>454</v>
      </c>
    </row>
    <row r="29" spans="1:18">
      <c r="A29" t="s">
        <v>485</v>
      </c>
      <c r="B29" s="6" t="s">
        <v>444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452</v>
      </c>
      <c r="Q29" s="6" t="s">
        <v>453</v>
      </c>
    </row>
    <row r="30" spans="1:18">
      <c r="A30" t="s">
        <v>485</v>
      </c>
      <c r="B30" s="6" t="s">
        <v>444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452</v>
      </c>
      <c r="Q30" s="6" t="s">
        <v>455</v>
      </c>
    </row>
    <row r="31" spans="1:18">
      <c r="A31" t="s">
        <v>485</v>
      </c>
      <c r="B31" s="6" t="s">
        <v>445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456</v>
      </c>
      <c r="Q31" s="6" t="s">
        <v>455</v>
      </c>
    </row>
    <row r="32" spans="1:18">
      <c r="A32" t="s">
        <v>485</v>
      </c>
      <c r="B32" s="6" t="s">
        <v>446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457</v>
      </c>
    </row>
    <row r="33" spans="1:16">
      <c r="A33" t="s">
        <v>485</v>
      </c>
      <c r="B33" s="6" t="s">
        <v>446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457</v>
      </c>
    </row>
    <row r="34" spans="1:16">
      <c r="A34" t="s">
        <v>485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>
      <c r="A35" t="s">
        <v>485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>
      <c r="A36" t="s">
        <v>485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>
      <c r="A37" t="s">
        <v>485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>
      <c r="A38" t="s">
        <v>485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>
      <c r="A39" t="s">
        <v>485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>
      <c r="A40" t="s">
        <v>485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>
      <c r="A41" t="s">
        <v>485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>
      <c r="A42" t="s">
        <v>485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>
      <c r="A43" t="s">
        <v>485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>
      <c r="A44" t="s">
        <v>485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>
      <c r="A45" t="s">
        <v>485</v>
      </c>
      <c r="B45" s="13" t="s">
        <v>130</v>
      </c>
      <c r="C45" s="6" t="s">
        <v>299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>
      <c r="A46" t="s">
        <v>485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>
      <c r="A47" t="s">
        <v>485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>
      <c r="A48" t="s">
        <v>485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>
      <c r="A49" t="s">
        <v>485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>
      <c r="A50" t="s">
        <v>485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>
      <c r="A51" t="s">
        <v>485</v>
      </c>
      <c r="B51" s="13" t="s">
        <v>126</v>
      </c>
      <c r="C51" s="6" t="s">
        <v>299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>
      <c r="A52" s="6" t="s">
        <v>485</v>
      </c>
      <c r="B52" s="2" t="s">
        <v>316</v>
      </c>
      <c r="C52" t="s">
        <v>312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>
      <c r="A53" t="s">
        <v>485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>
      <c r="A54" t="s">
        <v>485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>
      <c r="A55" t="s">
        <v>485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>
      <c r="A56" t="s">
        <v>485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>
      <c r="A57" t="s">
        <v>485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>
      <c r="A58" t="s">
        <v>485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>
      <c r="A59" t="s">
        <v>485</v>
      </c>
      <c r="B59" s="6" t="s">
        <v>127</v>
      </c>
      <c r="C59" s="6" t="s">
        <v>299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>
      <c r="A60" t="s">
        <v>485</v>
      </c>
      <c r="B60" s="6" t="s">
        <v>496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>
      <c r="A61" t="s">
        <v>485</v>
      </c>
      <c r="B61" s="6" t="s">
        <v>497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>
      <c r="A62" t="s">
        <v>485</v>
      </c>
      <c r="B62" s="6" t="s">
        <v>497</v>
      </c>
      <c r="C62" s="6" t="s">
        <v>299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>
      <c r="A63" s="6" t="s">
        <v>485</v>
      </c>
      <c r="B63" s="2" t="s">
        <v>498</v>
      </c>
      <c r="C63" t="s">
        <v>312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>
      <c r="A64" t="s">
        <v>485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>
      <c r="A65" t="s">
        <v>485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>
      <c r="A66" t="s">
        <v>485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>
      <c r="A67" t="s">
        <v>485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>
      <c r="A68" t="s">
        <v>485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>
      <c r="A69" t="s">
        <v>485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>
      <c r="A70" t="s">
        <v>485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>
      <c r="A71" s="11" t="s">
        <v>485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>
      <c r="A72" s="11" t="s">
        <v>485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>
      <c r="A73" s="11" t="s">
        <v>485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>
      <c r="A74" s="11" t="s">
        <v>485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>
      <c r="A75" s="11" t="s">
        <v>485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>
      <c r="A76" s="11" t="s">
        <v>485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>
      <c r="A77" s="11" t="s">
        <v>485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>
      <c r="A78" s="11" t="s">
        <v>485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>
      <c r="A79" s="11" t="s">
        <v>485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>
      <c r="A80" s="11" t="s">
        <v>485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>
      <c r="A81" s="11" t="s">
        <v>485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>
      <c r="A82" s="11" t="s">
        <v>485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>
      <c r="A83" s="11" t="s">
        <v>485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>
      <c r="A84" t="s">
        <v>485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>
      <c r="A85" t="s">
        <v>485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>
      <c r="A86" t="s">
        <v>485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>
      <c r="A87" t="s">
        <v>485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>
      <c r="A88" s="11" t="s">
        <v>485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>
      <c r="A89" s="11" t="s">
        <v>485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>
      <c r="A90" s="11" t="s">
        <v>485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>
      <c r="A91" s="11" t="s">
        <v>485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>
      <c r="A92" s="11" t="s">
        <v>485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>
      <c r="A93" s="11" t="s">
        <v>485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>
      <c r="A94" s="11" t="s">
        <v>485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>
      <c r="A95" s="11" t="s">
        <v>485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>
      <c r="A96" t="s">
        <v>485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>
      <c r="A97" t="s">
        <v>485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>
      <c r="A98" t="s">
        <v>485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>
      <c r="A99" t="s">
        <v>485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>
      <c r="A100" s="11" t="s">
        <v>485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>
      <c r="A101" t="s">
        <v>485</v>
      </c>
      <c r="B101" s="6" t="s">
        <v>447</v>
      </c>
      <c r="C101" s="6" t="s">
        <v>434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>
      <c r="A102" t="s">
        <v>485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>
      <c r="A103" t="s">
        <v>485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>
      <c r="A104" t="s">
        <v>485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>
      <c r="A105" t="s">
        <v>485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>
      <c r="A106" t="s">
        <v>485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>
      <c r="A107" t="s">
        <v>485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>
      <c r="A108" t="s">
        <v>485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>
      <c r="A109" t="s">
        <v>485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>
      <c r="A110" t="s">
        <v>485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>
      <c r="A111" t="s">
        <v>485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>
      <c r="A112" s="6" t="s">
        <v>485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>
      <c r="A113" t="s">
        <v>485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>
      <c r="A114" t="s">
        <v>485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>
      <c r="A115" s="11" t="s">
        <v>485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>
      <c r="A116" t="s">
        <v>485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>
      <c r="A117" t="s">
        <v>485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>
      <c r="A118" s="11" t="s">
        <v>485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>
      <c r="A119" t="s">
        <v>485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>
      <c r="A120" t="s">
        <v>485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>
      <c r="A121" t="s">
        <v>485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>
      <c r="A122" t="s">
        <v>485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>
      <c r="A123" t="s">
        <v>485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>
      <c r="A124" s="11" t="s">
        <v>485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>
      <c r="A125" t="s">
        <v>485</v>
      </c>
      <c r="B125" s="6" t="s">
        <v>448</v>
      </c>
      <c r="C125" s="6" t="s">
        <v>434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>
      <c r="A126" t="s">
        <v>485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>
      <c r="A127" t="s">
        <v>485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>
      <c r="A128" t="s">
        <v>485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>
      <c r="A129" t="s">
        <v>485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>
      <c r="A130" t="s">
        <v>485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>
      <c r="A131" t="s">
        <v>485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>
      <c r="A132" t="s">
        <v>485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>
      <c r="A133" t="s">
        <v>485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>
      <c r="A134" s="6" t="s">
        <v>485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>
      <c r="A135" t="s">
        <v>485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>
      <c r="A136" t="s">
        <v>485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>
      <c r="A137" s="11" t="s">
        <v>485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>
      <c r="A138" t="s">
        <v>485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>
      <c r="A139" t="s">
        <v>485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>
      <c r="A140" t="s">
        <v>485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>
      <c r="A141" t="s">
        <v>485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>
      <c r="A142" s="11" t="s">
        <v>485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>
      <c r="A143" t="s">
        <v>485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>
      <c r="A144" t="s">
        <v>485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>
      <c r="A145" t="s">
        <v>485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>
      <c r="A146" t="s">
        <v>485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>
      <c r="A147" t="s">
        <v>485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>
      <c r="A148" t="s">
        <v>485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>
      <c r="A149" t="s">
        <v>485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>
      <c r="A150" t="s">
        <v>485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>
      <c r="A151" s="11" t="s">
        <v>485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>
      <c r="A152" t="s">
        <v>485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>
      <c r="A153" t="s">
        <v>485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>
      <c r="A154" s="11" t="s">
        <v>485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>
      <c r="A155" t="s">
        <v>485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>
      <c r="A156" t="s">
        <v>485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>
      <c r="A157" t="s">
        <v>485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>
      <c r="A158" t="s">
        <v>485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>
      <c r="A159" t="s">
        <v>485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>
      <c r="A160" s="11" t="s">
        <v>485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>
      <c r="A161" t="s">
        <v>485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>
      <c r="A162" s="11" t="s">
        <v>485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>
      <c r="A163" t="s">
        <v>485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>
      <c r="A164" t="s">
        <v>485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>
      <c r="A165" t="s">
        <v>485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>
      <c r="A166" t="s">
        <v>485</v>
      </c>
      <c r="B166" s="6" t="s">
        <v>449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458</v>
      </c>
    </row>
    <row r="167" spans="1:16">
      <c r="A167" t="s">
        <v>485</v>
      </c>
      <c r="B167" s="6" t="s">
        <v>449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458</v>
      </c>
    </row>
    <row r="168" spans="1:16">
      <c r="A168" t="s">
        <v>485</v>
      </c>
      <c r="B168" s="6" t="s">
        <v>449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458</v>
      </c>
    </row>
    <row r="169" spans="1:16">
      <c r="A169" s="11" t="s">
        <v>485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>
      <c r="A170" s="11" t="s">
        <v>485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>
      <c r="A171" s="11" t="s">
        <v>485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>
      <c r="A172" t="s">
        <v>485</v>
      </c>
      <c r="B172" s="6" t="s">
        <v>450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>
      <c r="A173" t="s">
        <v>485</v>
      </c>
      <c r="B173" s="6" t="s">
        <v>450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>
      <c r="A174" t="s">
        <v>485</v>
      </c>
      <c r="B174" s="6" t="s">
        <v>450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>
      <c r="A175" t="s">
        <v>485</v>
      </c>
      <c r="B175" s="6" t="s">
        <v>451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>
      <c r="A176" t="s">
        <v>485</v>
      </c>
      <c r="B176" s="6" t="s">
        <v>451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>
      <c r="A177" t="s">
        <v>485</v>
      </c>
      <c r="B177" s="6" t="s">
        <v>451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>
      <c r="A178" s="11" t="s">
        <v>485</v>
      </c>
      <c r="B178" t="s">
        <v>327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>
      <c r="A179" t="s">
        <v>485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>
      <c r="A180" t="s">
        <v>485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>
      <c r="A181" t="s">
        <v>485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>
      <c r="A182" t="s">
        <v>485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>
      <c r="A183" t="s">
        <v>485</v>
      </c>
      <c r="B183" s="13" t="s">
        <v>58</v>
      </c>
      <c r="C183" t="s">
        <v>299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>
      <c r="A184" t="s">
        <v>485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>
      <c r="A185" t="s">
        <v>485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>
      <c r="A186" t="s">
        <v>485</v>
      </c>
      <c r="B186" s="13" t="s">
        <v>128</v>
      </c>
      <c r="C186" s="6" t="s">
        <v>299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>
      <c r="A187" t="s">
        <v>485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>
      <c r="A188" t="s">
        <v>485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>
      <c r="A189" t="s">
        <v>485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>
      <c r="A190" t="s">
        <v>485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>
      <c r="A191" t="s">
        <v>485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>
      <c r="A192" t="s">
        <v>485</v>
      </c>
      <c r="B192" s="6" t="s">
        <v>59</v>
      </c>
      <c r="C192" s="6" t="s">
        <v>299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>
      <c r="A193" t="s">
        <v>485</v>
      </c>
      <c r="B193" s="6" t="s">
        <v>317</v>
      </c>
      <c r="C193" s="6" t="s">
        <v>312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>
      <c r="A194" s="6" t="s">
        <v>485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>
      <c r="A195" t="s">
        <v>485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>
      <c r="A196" t="s">
        <v>485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>
      <c r="A197" t="s">
        <v>485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>
      <c r="A198" t="s">
        <v>485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>
      <c r="A199" t="s">
        <v>485</v>
      </c>
      <c r="B199" t="s">
        <v>124</v>
      </c>
      <c r="C199" t="s">
        <v>299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>
      <c r="A200" t="s">
        <v>485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>
      <c r="A201" t="s">
        <v>485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>
      <c r="A202" t="s">
        <v>485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>
      <c r="A203" s="6" t="s">
        <v>485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>
      <c r="A204" t="s">
        <v>485</v>
      </c>
      <c r="B204" s="2" t="s">
        <v>330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>
      <c r="A205" s="6" t="s">
        <v>485</v>
      </c>
      <c r="B205" s="2" t="s">
        <v>330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>
      <c r="A206" t="s">
        <v>485</v>
      </c>
      <c r="B206" s="2" t="s">
        <v>329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>
      <c r="A207" s="6" t="s">
        <v>485</v>
      </c>
      <c r="B207" s="2" t="s">
        <v>329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>
      <c r="A208" s="6" t="s">
        <v>485</v>
      </c>
      <c r="B208" s="2" t="s">
        <v>329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>
      <c r="A209" t="s">
        <v>485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>
      <c r="A210" t="s">
        <v>485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>
      <c r="A211" t="s">
        <v>485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>
      <c r="A212" s="6" t="s">
        <v>485</v>
      </c>
      <c r="B212" s="2" t="s">
        <v>310</v>
      </c>
      <c r="C212" t="s">
        <v>314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>
      <c r="A213" s="6" t="s">
        <v>485</v>
      </c>
      <c r="B213" s="2" t="s">
        <v>310</v>
      </c>
      <c r="C213" t="s">
        <v>315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>
      <c r="A214" s="6" t="s">
        <v>485</v>
      </c>
      <c r="B214" s="2" t="s">
        <v>310</v>
      </c>
      <c r="C214" t="s">
        <v>313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>
      <c r="A215" s="6" t="s">
        <v>485</v>
      </c>
      <c r="B215" s="2" t="s">
        <v>310</v>
      </c>
      <c r="C215" t="s">
        <v>312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>
      <c r="A216" s="6" t="s">
        <v>485</v>
      </c>
      <c r="B216" s="2" t="s">
        <v>311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>
      <c r="A217" s="6" t="s">
        <v>485</v>
      </c>
      <c r="B217" s="2" t="s">
        <v>311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>
      <c r="A218" s="6" t="s">
        <v>485</v>
      </c>
      <c r="B218" s="2" t="s">
        <v>311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>
      <c r="A219" s="6" t="s">
        <v>485</v>
      </c>
      <c r="B219" s="2" t="s">
        <v>311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>
      <c r="A220" t="s">
        <v>485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>
      <c r="A221" t="s">
        <v>485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>
      <c r="A222" s="6" t="s">
        <v>485</v>
      </c>
      <c r="B222" s="6" t="s">
        <v>300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>
      <c r="A223" s="6" t="s">
        <v>485</v>
      </c>
      <c r="B223" s="6" t="s">
        <v>300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>
      <c r="A224" s="6" t="s">
        <v>485</v>
      </c>
      <c r="B224" s="6" t="s">
        <v>300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>
      <c r="A225" s="6" t="s">
        <v>485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>
      <c r="A226" s="6" t="s">
        <v>485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>
      <c r="A227" s="6" t="s">
        <v>485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>
      <c r="A228" s="6" t="s">
        <v>485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>
      <c r="A229" s="5" t="s">
        <v>485</v>
      </c>
      <c r="B229" t="s">
        <v>332</v>
      </c>
      <c r="C229" t="s">
        <v>334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>
      <c r="A230" t="s">
        <v>485</v>
      </c>
      <c r="B230" t="s">
        <v>333</v>
      </c>
      <c r="C230" t="s">
        <v>335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5" xr:uid="{00000000-0001-0000-1900-000000000000}">
    <sortState xmlns:xlrd2="http://schemas.microsoft.com/office/spreadsheetml/2017/richdata2" ref="A6:R230">
      <sortCondition ref="B5"/>
    </sortState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/>
  <dimension ref="A1:S288"/>
  <sheetViews>
    <sheetView topLeftCell="A16" zoomScaleNormal="100" zoomScalePageLayoutView="90" workbookViewId="0">
      <selection activeCell="D30" sqref="D30"/>
    </sheetView>
  </sheetViews>
  <sheetFormatPr defaultColWidth="11.42578125" defaultRowHeight="15"/>
  <cols>
    <col min="2" max="2" width="23.5703125" customWidth="1"/>
    <col min="3" max="3" width="23.42578125" bestFit="1" customWidth="1"/>
    <col min="4" max="4" width="19.5703125" bestFit="1" customWidth="1"/>
  </cols>
  <sheetData>
    <row r="1" spans="1:14">
      <c r="A1" t="s">
        <v>398</v>
      </c>
    </row>
    <row r="2" spans="1:14">
      <c r="A2" t="s">
        <v>343</v>
      </c>
    </row>
    <row r="3" spans="1:14">
      <c r="A3" t="s">
        <v>383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341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>
      <c r="A6" t="s">
        <v>485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>
      <c r="A7" t="s">
        <v>485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485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485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>
      <c r="A10" t="s">
        <v>485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>
      <c r="A11" t="s">
        <v>485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>
      <c r="A12" t="s">
        <v>485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>
      <c r="A13" t="s">
        <v>485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485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485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485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t="s">
        <v>485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t="s">
        <v>485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t="s">
        <v>485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t="s">
        <v>485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t="s">
        <v>485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t="s">
        <v>485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t="s">
        <v>485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t="s">
        <v>485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t="s">
        <v>485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t="s">
        <v>485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t="s">
        <v>485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t="s">
        <v>485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t="s">
        <v>485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t="s">
        <v>485</v>
      </c>
      <c r="B30" t="s">
        <v>496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>
      <c r="A31" t="s">
        <v>485</v>
      </c>
      <c r="B31" t="s">
        <v>497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t="s">
        <v>485</v>
      </c>
      <c r="B32" t="s">
        <v>497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485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485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485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485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485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485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t="s">
        <v>485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t="s">
        <v>485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t="s">
        <v>485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t="s">
        <v>485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t="s">
        <v>485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t="s">
        <v>485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t="s">
        <v>485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t="s">
        <v>485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t="s">
        <v>485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t="s">
        <v>485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t="s">
        <v>485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t="s">
        <v>485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t="s">
        <v>485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t="s">
        <v>485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t="s">
        <v>485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t="s">
        <v>485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t="s">
        <v>485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t="s">
        <v>485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t="s">
        <v>485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t="s">
        <v>485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t="s">
        <v>485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485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485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485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485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485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485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485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485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485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485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485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485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485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485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485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485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485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 t="s">
        <v>485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t="s">
        <v>485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485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485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>
      <c r="A81" t="s">
        <v>485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>
      <c r="A82" t="s">
        <v>485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>
      <c r="A83" t="s">
        <v>485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485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>
      <c r="A85" t="s">
        <v>485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>
      <c r="A86" t="s">
        <v>485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485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485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485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>
      <c r="A90" t="s">
        <v>485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485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485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>
      <c r="A93" t="s">
        <v>485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 t="s">
        <v>485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>
      <c r="A95" t="s">
        <v>485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485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>
      <c r="A97" t="s">
        <v>485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485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>
      <c r="A99" t="s">
        <v>485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485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>
      <c r="A101" t="s">
        <v>485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>
      <c r="A102" t="s">
        <v>485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>
      <c r="A103" t="s">
        <v>485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>
      <c r="A104" t="s">
        <v>485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>
      <c r="A105" t="s">
        <v>485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>
      <c r="A106" t="s">
        <v>485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485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>
      <c r="A108" t="s">
        <v>485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485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>
      <c r="A110" t="s">
        <v>485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485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485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485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>
      <c r="A114" t="s">
        <v>485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>
      <c r="A115" t="s">
        <v>485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>
      <c r="A116" t="s">
        <v>485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 t="s">
        <v>485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 t="s">
        <v>485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>
      <c r="A119" t="s">
        <v>485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485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>
      <c r="A121" t="s">
        <v>485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485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>
      <c r="A123" t="s">
        <v>485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485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>
      <c r="A125" t="s">
        <v>485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>
      <c r="A126" t="s">
        <v>485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485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>
      <c r="A128" t="s">
        <v>485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>
      <c r="A129" t="s">
        <v>485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 t="s">
        <v>485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485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>
      <c r="A132" t="s">
        <v>485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485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>
      <c r="A134" t="s">
        <v>485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>
      <c r="A135" t="s">
        <v>485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485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485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>
      <c r="A138" t="s">
        <v>485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>
      <c r="A139" t="s">
        <v>485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>
      <c r="A140" t="s">
        <v>485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>
      <c r="A141" t="s">
        <v>485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485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>
      <c r="A143" t="s">
        <v>485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>
      <c r="A144" t="s">
        <v>485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>
      <c r="A145" t="s">
        <v>485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>
      <c r="A146" t="s">
        <v>485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>
      <c r="A147" t="s">
        <v>485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>
      <c r="A148" t="s">
        <v>485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 t="s">
        <v>485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>
      <c r="A150" t="s">
        <v>485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>
      <c r="A151" t="s">
        <v>485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>
      <c r="A152" t="s">
        <v>485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>
      <c r="A153" t="s">
        <v>485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>
      <c r="A154" t="s">
        <v>485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>
      <c r="A155" t="s">
        <v>485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>
      <c r="A156" t="s">
        <v>485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>
      <c r="A157" t="s">
        <v>485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>
      <c r="A158" t="s">
        <v>485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>
      <c r="A159" t="s">
        <v>485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>
      <c r="A160" t="s">
        <v>485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>
      <c r="A161" t="s">
        <v>485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>
      <c r="A162" t="s">
        <v>485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>
      <c r="A163" t="s">
        <v>485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>
      <c r="A164" t="s">
        <v>485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>
      <c r="A165" t="s">
        <v>485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>
      <c r="A166" t="s">
        <v>485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>
      <c r="A167" t="s">
        <v>485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>
      <c r="A168" t="s">
        <v>485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 t="s">
        <v>485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 t="s">
        <v>485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>
      <c r="A171" t="s">
        <v>485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>
      <c r="A172" t="s">
        <v>485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>
      <c r="A173" t="s">
        <v>485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>
      <c r="A174" t="s">
        <v>485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>
      <c r="A175" t="s">
        <v>485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485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485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485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485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485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485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485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>
      <c r="A183" s="11" t="s">
        <v>485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>
      <c r="A184" t="s">
        <v>485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485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485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485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>
      <c r="A188" t="s">
        <v>485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>
      <c r="A189" t="s">
        <v>485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>
      <c r="A190" t="s">
        <v>485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>
      <c r="A191" t="s">
        <v>485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>
      <c r="A192" t="s">
        <v>485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>
      <c r="A193" t="s">
        <v>485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485</v>
      </c>
      <c r="B194" t="s">
        <v>300</v>
      </c>
      <c r="C194" t="s">
        <v>299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485</v>
      </c>
      <c r="B195" t="s">
        <v>300</v>
      </c>
      <c r="C195" t="s">
        <v>299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>
      <c r="A196" t="s">
        <v>485</v>
      </c>
      <c r="B196" t="s">
        <v>301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>
      <c r="A197" t="s">
        <v>485</v>
      </c>
      <c r="B197" t="s">
        <v>302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>
      <c r="A198" t="s">
        <v>485</v>
      </c>
      <c r="B198" t="s">
        <v>303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 t="s">
        <v>485</v>
      </c>
      <c r="B199" t="s">
        <v>304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>
      <c r="A200" t="s">
        <v>485</v>
      </c>
      <c r="B200" t="s">
        <v>305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>
      <c r="A201" s="6" t="s">
        <v>485</v>
      </c>
      <c r="B201" s="2" t="s">
        <v>306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>
      <c r="A202" s="6" t="s">
        <v>485</v>
      </c>
      <c r="B202" s="2" t="s">
        <v>310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>
      <c r="A203" s="6" t="s">
        <v>485</v>
      </c>
      <c r="B203" s="2" t="s">
        <v>310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 s="6" t="s">
        <v>485</v>
      </c>
      <c r="B204" s="2" t="s">
        <v>310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>
      <c r="A205" s="6" t="s">
        <v>485</v>
      </c>
      <c r="B205" s="2" t="s">
        <v>310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>
      <c r="A206" s="6" t="s">
        <v>485</v>
      </c>
      <c r="B206" s="2" t="s">
        <v>311</v>
      </c>
      <c r="C206" t="s">
        <v>314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>
      <c r="A207" s="6" t="s">
        <v>485</v>
      </c>
      <c r="B207" s="2" t="s">
        <v>311</v>
      </c>
      <c r="C207" t="s">
        <v>315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>
      <c r="A208" s="6" t="s">
        <v>485</v>
      </c>
      <c r="B208" s="2" t="s">
        <v>311</v>
      </c>
      <c r="C208" t="s">
        <v>313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>
      <c r="A209" s="6" t="s">
        <v>485</v>
      </c>
      <c r="B209" s="2" t="s">
        <v>311</v>
      </c>
      <c r="C209" t="s">
        <v>312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>
      <c r="A210" s="6" t="s">
        <v>485</v>
      </c>
      <c r="B210" s="2" t="s">
        <v>316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>
      <c r="A211" s="6" t="s">
        <v>485</v>
      </c>
      <c r="B211" s="2" t="s">
        <v>498</v>
      </c>
      <c r="C211" t="s">
        <v>145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>
      <c r="A212" t="s">
        <v>485</v>
      </c>
      <c r="B212" t="s">
        <v>317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>
      <c r="A213" t="s">
        <v>485</v>
      </c>
      <c r="B213" t="s">
        <v>309</v>
      </c>
      <c r="C213" t="s">
        <v>312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>
      <c r="A214" t="s">
        <v>485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>
      <c r="A215" t="s">
        <v>485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>
      <c r="A216" t="s">
        <v>485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>
      <c r="A217" t="s">
        <v>485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>
      <c r="A218" t="s">
        <v>485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>
      <c r="A219" t="s">
        <v>485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>
      <c r="A220" t="s">
        <v>485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>
      <c r="A221" t="s">
        <v>485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>
      <c r="A222" t="s">
        <v>485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>
      <c r="A223" t="s">
        <v>485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>
      <c r="A224" t="s">
        <v>485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>
      <c r="A225" t="s">
        <v>485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>
      <c r="A226" t="s">
        <v>485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>
      <c r="A227" t="s">
        <v>485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>
      <c r="A228" t="s">
        <v>485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>
      <c r="A229" t="s">
        <v>485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>
      <c r="A230" t="s">
        <v>485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>
      <c r="A231" t="s">
        <v>485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>
      <c r="A232" s="11" t="s">
        <v>485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485</v>
      </c>
      <c r="B233" s="2" t="s">
        <v>327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>
      <c r="A234" s="6" t="s">
        <v>485</v>
      </c>
      <c r="B234" s="2" t="s">
        <v>329</v>
      </c>
      <c r="C234" t="s">
        <v>328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>
      <c r="A235" t="s">
        <v>485</v>
      </c>
      <c r="B235" t="s">
        <v>330</v>
      </c>
      <c r="C235" t="s">
        <v>328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>
      <c r="A236" t="s">
        <v>485</v>
      </c>
      <c r="B236" t="s">
        <v>331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>
      <c r="A237" t="s">
        <v>485</v>
      </c>
      <c r="B237" t="s">
        <v>333</v>
      </c>
      <c r="C237" t="s">
        <v>334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>
      <c r="A238" t="s">
        <v>485</v>
      </c>
      <c r="B238" t="s">
        <v>333</v>
      </c>
      <c r="C238" t="s">
        <v>335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485</v>
      </c>
      <c r="B239" t="s">
        <v>436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452</v>
      </c>
      <c r="Q239" t="s">
        <v>453</v>
      </c>
    </row>
    <row r="240" spans="1:17">
      <c r="A240" t="s">
        <v>485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452</v>
      </c>
      <c r="Q240" t="s">
        <v>453</v>
      </c>
    </row>
    <row r="241" spans="1:17">
      <c r="A241" t="s">
        <v>485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452</v>
      </c>
      <c r="Q241" t="s">
        <v>453</v>
      </c>
    </row>
    <row r="242" spans="1:17">
      <c r="A242" t="s">
        <v>485</v>
      </c>
      <c r="B242" t="s">
        <v>442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452</v>
      </c>
      <c r="Q242" t="s">
        <v>453</v>
      </c>
    </row>
    <row r="243" spans="1:17">
      <c r="A243" t="s">
        <v>485</v>
      </c>
      <c r="B243" t="s">
        <v>440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452</v>
      </c>
      <c r="Q243" t="s">
        <v>453</v>
      </c>
    </row>
    <row r="244" spans="1:17">
      <c r="A244" t="s">
        <v>485</v>
      </c>
      <c r="B244" t="s">
        <v>444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452</v>
      </c>
      <c r="Q244" t="s">
        <v>453</v>
      </c>
    </row>
    <row r="245" spans="1:17">
      <c r="A245" t="s">
        <v>485</v>
      </c>
      <c r="B245" t="s">
        <v>437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452</v>
      </c>
      <c r="Q245" t="s">
        <v>453</v>
      </c>
    </row>
    <row r="246" spans="1:17">
      <c r="A246" t="s">
        <v>485</v>
      </c>
      <c r="B246" t="s">
        <v>438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452</v>
      </c>
      <c r="Q246" t="s">
        <v>453</v>
      </c>
    </row>
    <row r="247" spans="1:17">
      <c r="A247" t="s">
        <v>485</v>
      </c>
      <c r="B247" t="s">
        <v>439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452</v>
      </c>
      <c r="Q247" t="s">
        <v>453</v>
      </c>
    </row>
    <row r="248" spans="1:17">
      <c r="A248" t="s">
        <v>485</v>
      </c>
      <c r="B248" t="s">
        <v>443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452</v>
      </c>
      <c r="Q248" t="s">
        <v>453</v>
      </c>
    </row>
    <row r="249" spans="1:17">
      <c r="A249" t="s">
        <v>485</v>
      </c>
      <c r="B249" t="s">
        <v>441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452</v>
      </c>
      <c r="Q249" t="s">
        <v>453</v>
      </c>
    </row>
    <row r="250" spans="1:17">
      <c r="A250" t="s">
        <v>485</v>
      </c>
      <c r="B250" t="s">
        <v>436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452</v>
      </c>
      <c r="Q250" t="s">
        <v>455</v>
      </c>
    </row>
    <row r="251" spans="1:17">
      <c r="A251" t="s">
        <v>485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452</v>
      </c>
      <c r="Q251" t="s">
        <v>455</v>
      </c>
    </row>
    <row r="252" spans="1:17">
      <c r="A252" t="s">
        <v>485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452</v>
      </c>
      <c r="Q252" t="s">
        <v>455</v>
      </c>
    </row>
    <row r="253" spans="1:17">
      <c r="A253" t="s">
        <v>485</v>
      </c>
      <c r="B253" t="s">
        <v>442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452</v>
      </c>
      <c r="Q253" t="s">
        <v>455</v>
      </c>
    </row>
    <row r="254" spans="1:17">
      <c r="A254" t="s">
        <v>485</v>
      </c>
      <c r="B254" t="s">
        <v>440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452</v>
      </c>
      <c r="Q254" t="s">
        <v>455</v>
      </c>
    </row>
    <row r="255" spans="1:17">
      <c r="A255" t="s">
        <v>485</v>
      </c>
      <c r="B255" t="s">
        <v>444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452</v>
      </c>
      <c r="Q255" t="s">
        <v>455</v>
      </c>
    </row>
    <row r="256" spans="1:17">
      <c r="A256" t="s">
        <v>485</v>
      </c>
      <c r="B256" t="s">
        <v>437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452</v>
      </c>
      <c r="Q256" t="s">
        <v>455</v>
      </c>
    </row>
    <row r="257" spans="1:19">
      <c r="A257" t="s">
        <v>485</v>
      </c>
      <c r="B257" t="s">
        <v>438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452</v>
      </c>
      <c r="Q257" t="s">
        <v>455</v>
      </c>
    </row>
    <row r="258" spans="1:19">
      <c r="A258" t="s">
        <v>485</v>
      </c>
      <c r="B258" t="s">
        <v>439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452</v>
      </c>
      <c r="Q258" t="s">
        <v>455</v>
      </c>
    </row>
    <row r="259" spans="1:19">
      <c r="A259" t="s">
        <v>485</v>
      </c>
      <c r="B259" t="s">
        <v>443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452</v>
      </c>
      <c r="Q259" t="s">
        <v>455</v>
      </c>
    </row>
    <row r="260" spans="1:19">
      <c r="A260" t="s">
        <v>485</v>
      </c>
      <c r="B260" t="s">
        <v>441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452</v>
      </c>
      <c r="Q260" t="s">
        <v>455</v>
      </c>
    </row>
    <row r="261" spans="1:19">
      <c r="A261" t="s">
        <v>485</v>
      </c>
      <c r="B261" t="s">
        <v>445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456</v>
      </c>
      <c r="Q261" t="s">
        <v>455</v>
      </c>
    </row>
    <row r="262" spans="1:19">
      <c r="A262" t="s">
        <v>485</v>
      </c>
      <c r="B262" t="s">
        <v>436</v>
      </c>
      <c r="C262" t="s">
        <v>434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452</v>
      </c>
      <c r="Q262" t="s">
        <v>455</v>
      </c>
      <c r="R262">
        <v>2.5680000000000001</v>
      </c>
      <c r="S262" t="s">
        <v>459</v>
      </c>
    </row>
    <row r="263" spans="1:19">
      <c r="A263" t="s">
        <v>485</v>
      </c>
      <c r="B263" t="s">
        <v>104</v>
      </c>
      <c r="C263" t="s">
        <v>434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452</v>
      </c>
      <c r="Q263" t="s">
        <v>455</v>
      </c>
      <c r="R263">
        <v>1.5309999999999999</v>
      </c>
      <c r="S263" t="s">
        <v>459</v>
      </c>
    </row>
    <row r="264" spans="1:19">
      <c r="A264" t="s">
        <v>485</v>
      </c>
      <c r="B264" t="s">
        <v>105</v>
      </c>
      <c r="C264" t="s">
        <v>434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452</v>
      </c>
      <c r="Q264" t="s">
        <v>455</v>
      </c>
      <c r="R264">
        <v>1.651</v>
      </c>
      <c r="S264" t="s">
        <v>459</v>
      </c>
    </row>
    <row r="265" spans="1:19">
      <c r="A265" t="s">
        <v>485</v>
      </c>
      <c r="B265" t="s">
        <v>442</v>
      </c>
      <c r="C265" t="s">
        <v>434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452</v>
      </c>
      <c r="Q265" t="s">
        <v>455</v>
      </c>
      <c r="R265">
        <v>1.006</v>
      </c>
      <c r="S265" t="s">
        <v>459</v>
      </c>
    </row>
    <row r="266" spans="1:19">
      <c r="A266" t="s">
        <v>485</v>
      </c>
      <c r="B266" t="s">
        <v>440</v>
      </c>
      <c r="C266" t="s">
        <v>434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452</v>
      </c>
      <c r="Q266" t="s">
        <v>455</v>
      </c>
      <c r="R266">
        <v>1.006</v>
      </c>
      <c r="S266" t="s">
        <v>459</v>
      </c>
    </row>
    <row r="267" spans="1:19">
      <c r="A267" t="s">
        <v>485</v>
      </c>
      <c r="B267" t="s">
        <v>444</v>
      </c>
      <c r="C267" t="s">
        <v>434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452</v>
      </c>
      <c r="Q267" t="s">
        <v>455</v>
      </c>
      <c r="R267">
        <v>1.006</v>
      </c>
      <c r="S267" t="s">
        <v>459</v>
      </c>
    </row>
    <row r="268" spans="1:19">
      <c r="A268" t="s">
        <v>485</v>
      </c>
      <c r="B268" t="s">
        <v>437</v>
      </c>
      <c r="C268" t="s">
        <v>434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452</v>
      </c>
      <c r="Q268" t="s">
        <v>455</v>
      </c>
      <c r="R268">
        <v>2.5680000000000001</v>
      </c>
      <c r="S268" t="s">
        <v>459</v>
      </c>
    </row>
    <row r="269" spans="1:19">
      <c r="A269" t="s">
        <v>485</v>
      </c>
      <c r="B269" t="s">
        <v>438</v>
      </c>
      <c r="C269" t="s">
        <v>434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452</v>
      </c>
      <c r="Q269" t="s">
        <v>455</v>
      </c>
      <c r="R269">
        <v>1.8320000000000001</v>
      </c>
      <c r="S269" t="s">
        <v>459</v>
      </c>
    </row>
    <row r="270" spans="1:19">
      <c r="A270" t="s">
        <v>485</v>
      </c>
      <c r="B270" t="s">
        <v>439</v>
      </c>
      <c r="C270" t="s">
        <v>434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452</v>
      </c>
      <c r="Q270" t="s">
        <v>455</v>
      </c>
      <c r="R270">
        <v>1.006</v>
      </c>
      <c r="S270" t="s">
        <v>459</v>
      </c>
    </row>
    <row r="271" spans="1:19">
      <c r="A271" t="s">
        <v>485</v>
      </c>
      <c r="B271" t="s">
        <v>443</v>
      </c>
      <c r="C271" t="s">
        <v>434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452</v>
      </c>
      <c r="Q271" t="s">
        <v>455</v>
      </c>
      <c r="R271">
        <v>1.006</v>
      </c>
      <c r="S271" t="s">
        <v>459</v>
      </c>
    </row>
    <row r="272" spans="1:19">
      <c r="A272" t="s">
        <v>485</v>
      </c>
      <c r="B272" t="s">
        <v>441</v>
      </c>
      <c r="C272" t="s">
        <v>434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452</v>
      </c>
      <c r="Q272" t="s">
        <v>455</v>
      </c>
      <c r="R272">
        <v>1.006</v>
      </c>
      <c r="S272" t="s">
        <v>459</v>
      </c>
    </row>
    <row r="273" spans="1:17">
      <c r="A273" t="s">
        <v>485</v>
      </c>
      <c r="B273" t="s">
        <v>445</v>
      </c>
      <c r="C273" t="s">
        <v>434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456</v>
      </c>
      <c r="Q273" t="s">
        <v>455</v>
      </c>
    </row>
    <row r="274" spans="1:17">
      <c r="A274" t="s">
        <v>485</v>
      </c>
      <c r="B274" t="s">
        <v>447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>
      <c r="A275" t="s">
        <v>485</v>
      </c>
      <c r="B275" t="s">
        <v>448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485</v>
      </c>
      <c r="B276" t="s">
        <v>446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457</v>
      </c>
    </row>
    <row r="277" spans="1:17">
      <c r="A277" t="s">
        <v>485</v>
      </c>
      <c r="B277" t="s">
        <v>446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457</v>
      </c>
    </row>
    <row r="278" spans="1:17">
      <c r="A278" t="s">
        <v>485</v>
      </c>
      <c r="B278" t="s">
        <v>446</v>
      </c>
      <c r="C278" t="s">
        <v>434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457</v>
      </c>
    </row>
    <row r="279" spans="1:17">
      <c r="A279" t="s">
        <v>485</v>
      </c>
      <c r="B279" t="s">
        <v>460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485</v>
      </c>
      <c r="B280" t="s">
        <v>449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485</v>
      </c>
      <c r="B281" t="s">
        <v>451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485</v>
      </c>
      <c r="B282" t="s">
        <v>450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485</v>
      </c>
      <c r="B283" t="s">
        <v>449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485</v>
      </c>
      <c r="B284" t="s">
        <v>451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485</v>
      </c>
      <c r="B285" t="s">
        <v>450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485</v>
      </c>
      <c r="B286" t="s">
        <v>449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485</v>
      </c>
      <c r="B287" t="s">
        <v>451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485</v>
      </c>
      <c r="B288" t="s">
        <v>450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E4" sqref="E4"/>
    </sheetView>
  </sheetViews>
  <sheetFormatPr defaultColWidth="11.42578125" defaultRowHeight="15"/>
  <cols>
    <col min="1" max="1" width="18" customWidth="1"/>
    <col min="2" max="2" width="25.5703125" customWidth="1"/>
    <col min="3" max="9" width="15.42578125" customWidth="1"/>
    <col min="10" max="10" width="13.5703125" bestFit="1" customWidth="1"/>
    <col min="11" max="11" width="2" customWidth="1"/>
    <col min="12" max="12" width="20.42578125" bestFit="1" customWidth="1"/>
    <col min="13" max="13" width="30" bestFit="1" customWidth="1"/>
    <col min="14" max="14" width="26.42578125" bestFit="1" customWidth="1"/>
  </cols>
  <sheetData>
    <row r="1" spans="1:15">
      <c r="A1" t="s">
        <v>399</v>
      </c>
    </row>
    <row r="2" spans="1:15">
      <c r="A2" t="s">
        <v>4</v>
      </c>
    </row>
    <row r="3" spans="1:15">
      <c r="A3" t="s">
        <v>371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485</v>
      </c>
      <c r="B6" t="s">
        <v>300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461</v>
      </c>
      <c r="O6" t="s">
        <v>462</v>
      </c>
    </row>
    <row r="7" spans="1:15">
      <c r="A7" t="s">
        <v>485</v>
      </c>
      <c r="B7" t="s">
        <v>301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461</v>
      </c>
      <c r="O7" t="s">
        <v>462</v>
      </c>
    </row>
    <row r="8" spans="1:15">
      <c r="A8" t="s">
        <v>485</v>
      </c>
      <c r="B8" t="s">
        <v>302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461</v>
      </c>
      <c r="O8" t="s">
        <v>462</v>
      </c>
    </row>
    <row r="9" spans="1:15">
      <c r="A9" t="s">
        <v>485</v>
      </c>
      <c r="B9" t="s">
        <v>303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461</v>
      </c>
      <c r="O9" t="s">
        <v>462</v>
      </c>
    </row>
    <row r="10" spans="1:15">
      <c r="A10" t="s">
        <v>485</v>
      </c>
      <c r="B10" t="s">
        <v>304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461</v>
      </c>
      <c r="O10" t="s">
        <v>462</v>
      </c>
    </row>
    <row r="11" spans="1:15">
      <c r="A11" t="s">
        <v>485</v>
      </c>
      <c r="B11" t="s">
        <v>305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461</v>
      </c>
      <c r="O11" t="s">
        <v>462</v>
      </c>
    </row>
    <row r="12" spans="1:15">
      <c r="A12" t="s">
        <v>485</v>
      </c>
      <c r="B12" t="s">
        <v>306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463</v>
      </c>
      <c r="O12" t="s">
        <v>464</v>
      </c>
    </row>
    <row r="13" spans="1:15">
      <c r="A13" t="s">
        <v>485</v>
      </c>
      <c r="B13" t="s">
        <v>310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463</v>
      </c>
      <c r="O13" t="s">
        <v>464</v>
      </c>
    </row>
    <row r="14" spans="1:15">
      <c r="A14" t="s">
        <v>485</v>
      </c>
      <c r="B14" t="s">
        <v>311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463</v>
      </c>
      <c r="O14" t="s">
        <v>464</v>
      </c>
    </row>
    <row r="15" spans="1:15">
      <c r="A15" t="s">
        <v>485</v>
      </c>
      <c r="B15" t="s">
        <v>316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463</v>
      </c>
      <c r="O15" t="s">
        <v>464</v>
      </c>
    </row>
    <row r="16" spans="1:15">
      <c r="A16" t="s">
        <v>485</v>
      </c>
      <c r="B16" t="s">
        <v>498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463</v>
      </c>
      <c r="O16" t="s">
        <v>464</v>
      </c>
    </row>
    <row r="17" spans="1:25">
      <c r="A17" t="s">
        <v>485</v>
      </c>
      <c r="B17" t="s">
        <v>317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463</v>
      </c>
      <c r="O17" t="s">
        <v>456</v>
      </c>
      <c r="P17" t="s">
        <v>455</v>
      </c>
    </row>
    <row r="18" spans="1:25">
      <c r="A18" t="s">
        <v>485</v>
      </c>
      <c r="B18" t="s">
        <v>327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465</v>
      </c>
    </row>
    <row r="19" spans="1:25">
      <c r="A19" t="s">
        <v>485</v>
      </c>
      <c r="B19" t="s">
        <v>329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465</v>
      </c>
    </row>
    <row r="20" spans="1:25">
      <c r="A20" t="s">
        <v>485</v>
      </c>
      <c r="B20" t="s">
        <v>330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466</v>
      </c>
    </row>
    <row r="21" spans="1:25">
      <c r="A21" t="s">
        <v>485</v>
      </c>
      <c r="B21" t="s">
        <v>436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461</v>
      </c>
      <c r="O21" t="s">
        <v>462</v>
      </c>
    </row>
    <row r="22" spans="1:25" s="33" customFormat="1">
      <c r="A22" t="s">
        <v>485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461</v>
      </c>
      <c r="O22" t="s">
        <v>462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485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461</v>
      </c>
      <c r="O23" t="s">
        <v>462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485</v>
      </c>
      <c r="B24" t="s">
        <v>442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461</v>
      </c>
      <c r="O24" t="s">
        <v>462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485</v>
      </c>
      <c r="B25" t="s">
        <v>440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461</v>
      </c>
      <c r="O25" t="s">
        <v>462</v>
      </c>
    </row>
    <row r="26" spans="1:25">
      <c r="A26" t="s">
        <v>485</v>
      </c>
      <c r="B26" t="s">
        <v>444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461</v>
      </c>
      <c r="O26" t="s">
        <v>462</v>
      </c>
    </row>
    <row r="27" spans="1:25">
      <c r="A27" t="s">
        <v>485</v>
      </c>
      <c r="B27" t="s">
        <v>437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463</v>
      </c>
      <c r="O27" t="s">
        <v>464</v>
      </c>
    </row>
    <row r="28" spans="1:25">
      <c r="A28" t="s">
        <v>485</v>
      </c>
      <c r="B28" t="s">
        <v>438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463</v>
      </c>
      <c r="O28" t="s">
        <v>464</v>
      </c>
    </row>
    <row r="29" spans="1:25">
      <c r="A29" t="s">
        <v>485</v>
      </c>
      <c r="B29" t="s">
        <v>439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463</v>
      </c>
      <c r="O29" t="s">
        <v>464</v>
      </c>
    </row>
    <row r="30" spans="1:25">
      <c r="A30" t="s">
        <v>485</v>
      </c>
      <c r="B30" t="s">
        <v>443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463</v>
      </c>
      <c r="O30" t="s">
        <v>464</v>
      </c>
    </row>
    <row r="31" spans="1:25">
      <c r="A31" t="s">
        <v>485</v>
      </c>
      <c r="B31" t="s">
        <v>441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463</v>
      </c>
      <c r="O31" t="s">
        <v>464</v>
      </c>
    </row>
    <row r="32" spans="1:25">
      <c r="A32" t="s">
        <v>485</v>
      </c>
      <c r="B32" t="s">
        <v>445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463</v>
      </c>
      <c r="O32" t="s">
        <v>456</v>
      </c>
      <c r="P32" t="s">
        <v>455</v>
      </c>
    </row>
    <row r="33" spans="1:14">
      <c r="A33" t="s">
        <v>485</v>
      </c>
      <c r="B33" t="s">
        <v>447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465</v>
      </c>
    </row>
    <row r="34" spans="1:14">
      <c r="A34" t="s">
        <v>485</v>
      </c>
      <c r="B34" t="s">
        <v>448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465</v>
      </c>
    </row>
    <row r="35" spans="1:14">
      <c r="A35" t="s">
        <v>485</v>
      </c>
      <c r="B35" t="s">
        <v>446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466</v>
      </c>
    </row>
    <row r="36" spans="1:14">
      <c r="A36" t="s">
        <v>485</v>
      </c>
      <c r="B36" t="s">
        <v>460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485</v>
      </c>
      <c r="B37" t="s">
        <v>449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476</v>
      </c>
    </row>
    <row r="38" spans="1:14">
      <c r="A38" t="s">
        <v>485</v>
      </c>
      <c r="B38" t="s">
        <v>451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476</v>
      </c>
    </row>
    <row r="39" spans="1:14">
      <c r="A39" t="s">
        <v>485</v>
      </c>
      <c r="B39" t="s">
        <v>450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476</v>
      </c>
    </row>
    <row r="40" spans="1:14">
      <c r="C40" s="16"/>
      <c r="D40" s="16"/>
      <c r="E40" s="16"/>
      <c r="F40" s="16"/>
      <c r="G40" s="16"/>
      <c r="H40" s="16"/>
      <c r="I40" s="16"/>
      <c r="J40" s="16"/>
    </row>
    <row r="41" spans="1:14">
      <c r="C41" s="16"/>
      <c r="D41" s="16"/>
      <c r="E41" s="16"/>
      <c r="F41" s="16"/>
      <c r="G41" s="16"/>
      <c r="H41" s="16"/>
      <c r="I41" s="16"/>
      <c r="J41" s="16"/>
    </row>
    <row r="42" spans="1:14">
      <c r="C42" s="16"/>
      <c r="D42" s="16"/>
      <c r="E42" s="16"/>
      <c r="F42" s="16"/>
      <c r="G42" s="16"/>
      <c r="H42" s="16"/>
      <c r="I42" s="16"/>
      <c r="J42" s="16"/>
    </row>
    <row r="43" spans="1:14">
      <c r="B43" s="2"/>
      <c r="C43" s="16"/>
      <c r="D43" s="16"/>
      <c r="E43" s="16"/>
      <c r="F43" s="16"/>
      <c r="G43" s="16"/>
      <c r="H43" s="16"/>
      <c r="I43" s="16"/>
      <c r="J43" s="16"/>
    </row>
    <row r="44" spans="1:14">
      <c r="B44" s="2"/>
      <c r="C44" s="16"/>
      <c r="D44" s="16"/>
      <c r="E44" s="16"/>
      <c r="F44" s="16"/>
      <c r="G44" s="16"/>
      <c r="H44" s="16"/>
      <c r="I44" s="16"/>
      <c r="J44" s="16"/>
    </row>
    <row r="45" spans="1:14">
      <c r="B45" s="2"/>
      <c r="C45" s="16"/>
      <c r="D45" s="16"/>
      <c r="E45" s="16"/>
      <c r="F45" s="16"/>
      <c r="G45" s="16"/>
      <c r="H45" s="16"/>
      <c r="I45" s="16"/>
      <c r="J45" s="16"/>
    </row>
    <row r="46" spans="1:14">
      <c r="B46" s="2"/>
      <c r="C46" s="16"/>
      <c r="D46" s="16"/>
      <c r="E46" s="16"/>
      <c r="F46" s="16"/>
      <c r="G46" s="16"/>
      <c r="H46" s="16"/>
      <c r="I46" s="16"/>
      <c r="J46" s="16"/>
    </row>
    <row r="47" spans="1:14">
      <c r="B47" s="2"/>
      <c r="C47" s="16"/>
      <c r="D47" s="16"/>
      <c r="E47" s="16"/>
      <c r="F47" s="16"/>
      <c r="G47" s="16"/>
      <c r="H47" s="16"/>
      <c r="I47" s="16"/>
      <c r="J47" s="16"/>
    </row>
    <row r="48" spans="1:14">
      <c r="B48" s="2"/>
      <c r="C48" s="16"/>
      <c r="D48" s="16"/>
      <c r="E48" s="16"/>
      <c r="F48" s="16"/>
      <c r="G48" s="16"/>
      <c r="H48" s="16"/>
      <c r="I48" s="16"/>
      <c r="J48" s="16"/>
    </row>
    <row r="49" spans="2:10">
      <c r="B49" s="2"/>
      <c r="C49" s="16"/>
      <c r="D49" s="16"/>
      <c r="E49" s="16"/>
      <c r="F49" s="16"/>
      <c r="G49" s="16"/>
      <c r="H49" s="16"/>
      <c r="I49" s="16"/>
      <c r="J49" s="16"/>
    </row>
    <row r="50" spans="2:10">
      <c r="B50" s="2"/>
      <c r="C50" s="16"/>
      <c r="D50" s="16"/>
      <c r="E50" s="16"/>
      <c r="F50" s="16"/>
      <c r="G50" s="16"/>
      <c r="H50" s="16"/>
      <c r="I50" s="16"/>
      <c r="J50" s="16"/>
    </row>
    <row r="51" spans="2:10">
      <c r="B51" s="2"/>
      <c r="C51" s="16"/>
      <c r="D51" s="16"/>
      <c r="E51" s="16"/>
      <c r="F51" s="16"/>
      <c r="G51" s="16"/>
      <c r="H51" s="16"/>
      <c r="I51" s="16"/>
      <c r="J51" s="16"/>
    </row>
    <row r="52" spans="2:10">
      <c r="C52" s="43"/>
      <c r="D52" s="43"/>
      <c r="E52" s="43"/>
      <c r="F52" s="43"/>
      <c r="G52" s="43"/>
      <c r="H52" s="43"/>
      <c r="I52" s="43"/>
      <c r="J52" s="43"/>
    </row>
    <row r="53" spans="2:10">
      <c r="C53" s="16"/>
      <c r="D53" s="16"/>
      <c r="E53" s="16"/>
      <c r="F53" s="16"/>
      <c r="G53" s="16"/>
      <c r="H53" s="16"/>
      <c r="I53" s="16"/>
      <c r="J53" s="16"/>
    </row>
    <row r="59" spans="2:10">
      <c r="C59" s="44"/>
      <c r="F59" s="44"/>
      <c r="H59" s="44"/>
      <c r="J59" s="44"/>
    </row>
    <row r="60" spans="2:10">
      <c r="C60" s="44"/>
      <c r="D60" s="44"/>
      <c r="E60" s="44"/>
      <c r="F60" s="44"/>
      <c r="G60" s="44"/>
      <c r="H60" s="44"/>
      <c r="I60" s="44"/>
      <c r="J60" s="44"/>
    </row>
    <row r="65" spans="3:10">
      <c r="C65" s="45"/>
      <c r="D65" s="45"/>
      <c r="E65" s="45"/>
      <c r="F65" s="45"/>
      <c r="G65" s="45"/>
      <c r="H65" s="45"/>
      <c r="I65" s="45"/>
      <c r="J65" s="45"/>
    </row>
    <row r="66" spans="3:10">
      <c r="C66" s="16"/>
      <c r="D66" s="16"/>
      <c r="E66" s="16"/>
      <c r="F66" s="16"/>
      <c r="G66" s="16"/>
      <c r="H66" s="16"/>
      <c r="I66" s="16"/>
      <c r="J66" s="16"/>
    </row>
    <row r="67" spans="3:10">
      <c r="C67" s="16"/>
      <c r="D67" s="16"/>
      <c r="E67" s="16"/>
      <c r="F67" s="16"/>
      <c r="G67" s="16"/>
      <c r="H67" s="16"/>
      <c r="I67" s="16"/>
      <c r="J67" s="16"/>
    </row>
    <row r="68" spans="3:10">
      <c r="C68" s="16"/>
      <c r="D68" s="16"/>
      <c r="E68" s="16"/>
      <c r="F68" s="16"/>
      <c r="G68" s="16"/>
      <c r="H68" s="16"/>
      <c r="I68" s="16"/>
      <c r="J68" s="16"/>
    </row>
    <row r="69" spans="3:10">
      <c r="C69" s="16"/>
      <c r="D69" s="16"/>
      <c r="E69" s="16"/>
      <c r="F69" s="16"/>
      <c r="G69" s="16"/>
      <c r="H69" s="16"/>
      <c r="I69" s="16"/>
      <c r="J69" s="16"/>
    </row>
    <row r="70" spans="3:10">
      <c r="C70" s="16"/>
      <c r="D70" s="16"/>
      <c r="E70" s="16"/>
      <c r="F70" s="16"/>
      <c r="G70" s="16"/>
      <c r="H70" s="16"/>
      <c r="I70" s="16"/>
      <c r="J70" s="16"/>
    </row>
    <row r="71" spans="3:10">
      <c r="C71" s="16"/>
      <c r="D71" s="16"/>
      <c r="E71" s="16"/>
      <c r="F71" s="16"/>
      <c r="G71" s="16"/>
      <c r="H71" s="16"/>
      <c r="I71" s="16"/>
      <c r="J71" s="16"/>
    </row>
    <row r="72" spans="3:10">
      <c r="C72" s="16"/>
      <c r="D72" s="16"/>
      <c r="E72" s="16"/>
      <c r="F72" s="16"/>
      <c r="G72" s="16"/>
      <c r="H72" s="16"/>
      <c r="I72" s="16"/>
      <c r="J72" s="16"/>
    </row>
    <row r="73" spans="3:10">
      <c r="C73" s="45"/>
      <c r="D73" s="45"/>
      <c r="E73" s="45"/>
      <c r="F73" s="45"/>
      <c r="G73" s="45"/>
      <c r="H73" s="45"/>
      <c r="I73" s="45"/>
      <c r="J73" s="45"/>
    </row>
    <row r="74" spans="3:10">
      <c r="C74" s="45"/>
      <c r="D74" s="45"/>
      <c r="E74" s="45"/>
      <c r="F74" s="45"/>
      <c r="G74" s="45"/>
      <c r="H74" s="45"/>
      <c r="I74" s="45"/>
      <c r="J74" s="45"/>
    </row>
    <row r="75" spans="3:10">
      <c r="C75" s="16"/>
      <c r="D75" s="16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5"/>
      <c r="D118" s="45"/>
      <c r="E118" s="45"/>
      <c r="F118" s="45"/>
      <c r="G118" s="45"/>
      <c r="H118" s="45"/>
      <c r="I118" s="45"/>
      <c r="J118" s="45"/>
    </row>
    <row r="119" spans="3:10">
      <c r="C119" s="45"/>
      <c r="D119" s="45"/>
      <c r="E119" s="45"/>
      <c r="F119" s="45"/>
      <c r="G119" s="45"/>
      <c r="H119" s="45"/>
      <c r="I119" s="45"/>
      <c r="J119" s="45"/>
    </row>
    <row r="120" spans="3:10">
      <c r="C120" s="45"/>
      <c r="D120" s="45"/>
      <c r="E120" s="45"/>
      <c r="F120" s="45"/>
      <c r="G120" s="45"/>
      <c r="H120" s="45"/>
      <c r="I120" s="45"/>
      <c r="J120" s="45"/>
    </row>
    <row r="121" spans="3:10">
      <c r="C121" s="45"/>
      <c r="D121" s="45"/>
      <c r="E121" s="45"/>
      <c r="F121" s="45"/>
      <c r="G121" s="45"/>
      <c r="H121" s="45"/>
      <c r="I121" s="45"/>
      <c r="J121" s="45"/>
    </row>
    <row r="122" spans="3:10">
      <c r="C122" s="45"/>
      <c r="D122" s="45"/>
      <c r="E122" s="45"/>
      <c r="F122" s="45"/>
      <c r="G122" s="45"/>
      <c r="H122" s="45"/>
      <c r="I122" s="45"/>
      <c r="J122" s="45"/>
    </row>
    <row r="123" spans="3:10">
      <c r="C123" s="45"/>
      <c r="D123" s="45"/>
      <c r="E123" s="45"/>
      <c r="F123" s="45"/>
      <c r="G123" s="45"/>
      <c r="H123" s="45"/>
      <c r="I123" s="45"/>
      <c r="J123" s="45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5"/>
      <c r="D126" s="16"/>
      <c r="E126" s="16"/>
      <c r="F126" s="16"/>
      <c r="G126" s="16"/>
      <c r="H126" s="16"/>
      <c r="I126" s="16"/>
      <c r="J126" s="45"/>
    </row>
    <row r="127" spans="3:10">
      <c r="C127" s="45"/>
      <c r="D127" s="45"/>
      <c r="E127" s="45"/>
      <c r="F127" s="45"/>
      <c r="G127" s="45"/>
      <c r="H127" s="45"/>
      <c r="I127" s="45"/>
      <c r="J127" s="45"/>
    </row>
    <row r="128" spans="3:10">
      <c r="C128" s="45"/>
      <c r="D128" s="45"/>
      <c r="E128" s="45"/>
      <c r="F128" s="45"/>
      <c r="G128" s="45"/>
      <c r="H128" s="45"/>
      <c r="I128" s="45"/>
      <c r="J128" s="45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6"/>
      <c r="D138" s="46"/>
      <c r="E138" s="46"/>
      <c r="F138" s="46"/>
      <c r="G138" s="46"/>
      <c r="H138" s="46"/>
      <c r="I138" s="46"/>
      <c r="J138" s="46"/>
    </row>
    <row r="139" spans="1:10">
      <c r="A139" s="5"/>
      <c r="B139" s="2"/>
      <c r="C139" s="46"/>
      <c r="D139" s="46"/>
      <c r="E139" s="46"/>
      <c r="F139" s="46"/>
      <c r="G139" s="46"/>
      <c r="H139" s="46"/>
      <c r="I139" s="46"/>
      <c r="J139" s="46"/>
    </row>
    <row r="140" spans="1:10">
      <c r="A140" s="5"/>
      <c r="B140" s="2"/>
      <c r="C140" s="46"/>
      <c r="D140" s="46"/>
      <c r="E140" s="46"/>
      <c r="F140" s="46"/>
      <c r="G140" s="46"/>
      <c r="H140" s="46"/>
      <c r="I140" s="46"/>
      <c r="J140" s="46"/>
    </row>
    <row r="141" spans="1:10">
      <c r="A141" s="5"/>
      <c r="B141" s="2"/>
      <c r="C141" s="46"/>
      <c r="D141" s="46"/>
      <c r="E141" s="46"/>
      <c r="F141" s="46"/>
      <c r="G141" s="46"/>
      <c r="H141" s="46"/>
      <c r="I141" s="46"/>
      <c r="J141" s="46"/>
    </row>
    <row r="142" spans="1:10">
      <c r="A142" s="5"/>
      <c r="B142" s="2"/>
      <c r="C142" s="46"/>
      <c r="D142" s="46"/>
      <c r="E142" s="46"/>
      <c r="F142" s="46"/>
      <c r="G142" s="46"/>
      <c r="H142" s="46"/>
      <c r="I142" s="46"/>
      <c r="J142" s="46"/>
    </row>
    <row r="144" spans="1:10">
      <c r="A144" s="5"/>
      <c r="B144" s="2"/>
      <c r="C144" s="45"/>
      <c r="D144" s="16"/>
      <c r="E144" s="16"/>
      <c r="F144" s="16"/>
      <c r="G144" s="16"/>
      <c r="H144" s="16"/>
      <c r="I144" s="16"/>
      <c r="J144" s="45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5"/>
    </row>
  </sheetData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/>
  <dimension ref="A1:P221"/>
  <sheetViews>
    <sheetView workbookViewId="0">
      <selection activeCell="M89" sqref="M89"/>
    </sheetView>
  </sheetViews>
  <sheetFormatPr defaultColWidth="11.42578125" defaultRowHeight="15"/>
  <cols>
    <col min="2" max="2" width="20.42578125" customWidth="1"/>
    <col min="3" max="3" width="19.5703125" bestFit="1" customWidth="1"/>
    <col min="12" max="12" width="2.140625" customWidth="1"/>
  </cols>
  <sheetData>
    <row r="1" spans="1:11">
      <c r="A1" t="s">
        <v>400</v>
      </c>
    </row>
    <row r="2" spans="1:11">
      <c r="A2" t="s">
        <v>344</v>
      </c>
    </row>
    <row r="3" spans="1:11">
      <c r="A3" t="s">
        <v>363</v>
      </c>
    </row>
    <row r="5" spans="1:11">
      <c r="A5" t="s">
        <v>20</v>
      </c>
      <c r="B5" t="s">
        <v>26</v>
      </c>
      <c r="C5" t="s">
        <v>341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t="s">
        <v>485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485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485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485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485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485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485</v>
      </c>
      <c r="B12" t="s">
        <v>496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485</v>
      </c>
      <c r="B13" t="s">
        <v>497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485</v>
      </c>
      <c r="B14" t="s">
        <v>501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485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485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485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485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485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485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485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485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485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485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485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485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485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485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t="s">
        <v>485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t="s">
        <v>485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>
      <c r="A31" t="s">
        <v>485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>
      <c r="A32" t="s">
        <v>485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485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485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485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485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485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485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485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485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485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485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485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485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485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485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485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485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485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>
      <c r="A50" t="s">
        <v>485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>
      <c r="A51" t="s">
        <v>485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>
      <c r="A52" t="s">
        <v>485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>
      <c r="A53" t="s">
        <v>485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>
      <c r="A54" t="s">
        <v>485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>
      <c r="A55" t="s">
        <v>485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>
      <c r="A56" t="s">
        <v>485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>
      <c r="A57" t="s">
        <v>485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>
      <c r="A58" t="s">
        <v>485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485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485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>
      <c r="A61" t="s">
        <v>485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>
      <c r="A62" t="s">
        <v>485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>
      <c r="A63" t="s">
        <v>485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>
      <c r="A64" t="s">
        <v>485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>
      <c r="A65" t="s">
        <v>485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>
      <c r="A66" t="s">
        <v>485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>
      <c r="A67" t="s">
        <v>485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>
      <c r="A68" t="s">
        <v>485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>
      <c r="A69" t="s">
        <v>485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>
      <c r="A70" t="s">
        <v>485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>
      <c r="A71" t="s">
        <v>485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>
      <c r="A72" t="s">
        <v>485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>
      <c r="A73" t="s">
        <v>485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>
      <c r="A74" t="s">
        <v>485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>
      <c r="A75" t="s">
        <v>485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>
      <c r="A76" t="s">
        <v>485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>
      <c r="A77" t="s">
        <v>485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>
      <c r="A78" t="s">
        <v>485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>
      <c r="A79" t="s">
        <v>485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>
      <c r="A80" t="s">
        <v>485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>
      <c r="A81" t="s">
        <v>485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>
      <c r="A82" t="s">
        <v>485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>
      <c r="A83" t="s">
        <v>485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485</v>
      </c>
      <c r="B84" t="s">
        <v>306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485</v>
      </c>
      <c r="B85" t="s">
        <v>301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485</v>
      </c>
      <c r="B86" t="s">
        <v>304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485</v>
      </c>
      <c r="B87" t="s">
        <v>303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485</v>
      </c>
      <c r="B88" t="s">
        <v>305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485</v>
      </c>
      <c r="B89" t="s">
        <v>302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>
      <c r="A90" t="s">
        <v>485</v>
      </c>
      <c r="B90" t="s">
        <v>309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>
      <c r="A91" t="s">
        <v>485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>
      <c r="A92" t="s">
        <v>280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>
      <c r="A93" t="s">
        <v>278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>
      <c r="A96" t="s">
        <v>485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>
      <c r="A97" t="s">
        <v>282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>
      <c r="A98" t="s">
        <v>281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>
      <c r="A99" t="s">
        <v>280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>
      <c r="A101" s="5" t="s">
        <v>485</v>
      </c>
      <c r="B101" s="2" t="s">
        <v>329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>
      <c r="A102" s="5" t="s">
        <v>485</v>
      </c>
      <c r="B102" s="2" t="s">
        <v>330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>
      <c r="A103" t="s">
        <v>485</v>
      </c>
      <c r="B103" t="s">
        <v>331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>
      <c r="A104" t="s">
        <v>485</v>
      </c>
      <c r="B104" t="s">
        <v>447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467</v>
      </c>
      <c r="P104">
        <v>1.4733516980271617</v>
      </c>
    </row>
    <row r="105" spans="1:16">
      <c r="A105" t="s">
        <v>485</v>
      </c>
      <c r="B105" t="s">
        <v>448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D23" sqref="D23"/>
    </sheetView>
  </sheetViews>
  <sheetFormatPr defaultColWidth="11.42578125" defaultRowHeight="15"/>
  <cols>
    <col min="1" max="1" width="11.42578125" style="5"/>
    <col min="2" max="2" width="24.140625" style="5" customWidth="1"/>
    <col min="3" max="3" width="11.42578125" style="5"/>
    <col min="4" max="9" width="15.5703125" style="5" customWidth="1"/>
    <col min="10" max="10" width="11.42578125" style="5"/>
    <col min="11" max="11" width="2" style="5" customWidth="1"/>
    <col min="12" max="12" width="23.42578125" style="5" customWidth="1"/>
    <col min="13" max="13" width="46.85546875" style="5" customWidth="1"/>
    <col min="14" max="14" width="26.140625" style="5" bestFit="1" customWidth="1"/>
    <col min="15" max="16384" width="11.42578125" style="5"/>
  </cols>
  <sheetData>
    <row r="1" spans="1:15">
      <c r="A1" t="s">
        <v>401</v>
      </c>
    </row>
    <row r="2" spans="1:15">
      <c r="A2" s="5" t="s">
        <v>3</v>
      </c>
    </row>
    <row r="3" spans="1:15">
      <c r="A3" t="s">
        <v>371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485</v>
      </c>
      <c r="B6" s="5" t="s">
        <v>300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485</v>
      </c>
      <c r="B7" s="5" t="s">
        <v>301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485</v>
      </c>
      <c r="B8" s="5" t="s">
        <v>302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485</v>
      </c>
      <c r="B9" s="5" t="s">
        <v>303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485</v>
      </c>
      <c r="B10" s="5" t="s">
        <v>304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485</v>
      </c>
      <c r="B11" s="5" t="s">
        <v>305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485</v>
      </c>
      <c r="B12" s="5" t="s">
        <v>306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485</v>
      </c>
      <c r="B13" s="5" t="s">
        <v>310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485</v>
      </c>
      <c r="B14" s="5" t="s">
        <v>311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485</v>
      </c>
      <c r="B15" s="5" t="s">
        <v>316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485</v>
      </c>
      <c r="B16" s="5" t="s">
        <v>498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485</v>
      </c>
      <c r="B17" s="5" t="s">
        <v>317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485</v>
      </c>
      <c r="B18" s="5" t="s">
        <v>327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485</v>
      </c>
      <c r="B19" s="5" t="s">
        <v>329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485</v>
      </c>
      <c r="B20" s="5" t="s">
        <v>330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485</v>
      </c>
      <c r="B21" s="5" t="s">
        <v>449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485</v>
      </c>
      <c r="B22" s="5" t="s">
        <v>451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485</v>
      </c>
      <c r="B23" s="5" t="s">
        <v>450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485</v>
      </c>
      <c r="B24" s="5" t="s">
        <v>436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485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485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485</v>
      </c>
      <c r="B27" s="5" t="s">
        <v>442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485</v>
      </c>
      <c r="B28" s="5" t="s">
        <v>440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485</v>
      </c>
      <c r="B29" s="5" t="s">
        <v>444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485</v>
      </c>
      <c r="B30" s="5" t="s">
        <v>437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461</v>
      </c>
    </row>
    <row r="31" spans="1:14">
      <c r="A31" s="5" t="s">
        <v>485</v>
      </c>
      <c r="B31" s="5" t="s">
        <v>438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461</v>
      </c>
    </row>
    <row r="32" spans="1:14">
      <c r="A32" s="5" t="s">
        <v>485</v>
      </c>
      <c r="B32" s="5" t="s">
        <v>439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461</v>
      </c>
    </row>
    <row r="33" spans="1:14">
      <c r="A33" s="5" t="s">
        <v>485</v>
      </c>
      <c r="B33" s="5" t="s">
        <v>443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461</v>
      </c>
    </row>
    <row r="34" spans="1:14">
      <c r="A34" s="5" t="s">
        <v>485</v>
      </c>
      <c r="B34" s="5" t="s">
        <v>441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461</v>
      </c>
    </row>
    <row r="35" spans="1:14">
      <c r="A35" s="5" t="s">
        <v>485</v>
      </c>
      <c r="B35" s="5" t="s">
        <v>445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461</v>
      </c>
    </row>
    <row r="36" spans="1:14">
      <c r="A36" s="5" t="s">
        <v>485</v>
      </c>
      <c r="B36" s="5" t="s">
        <v>447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463</v>
      </c>
    </row>
    <row r="37" spans="1:14">
      <c r="A37" s="5" t="s">
        <v>485</v>
      </c>
      <c r="B37" s="5" t="s">
        <v>448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463</v>
      </c>
    </row>
    <row r="38" spans="1:14">
      <c r="A38" s="5" t="s">
        <v>485</v>
      </c>
      <c r="B38" s="5" t="s">
        <v>446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468</v>
      </c>
    </row>
    <row r="39" spans="1:14">
      <c r="A39" s="5" t="s">
        <v>485</v>
      </c>
      <c r="B39" s="5" t="s">
        <v>460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>
    <tabColor theme="5" tint="0.79998168889431442"/>
  </sheetPr>
  <dimension ref="A1:AG1118"/>
  <sheetViews>
    <sheetView zoomScale="110" zoomScaleNormal="110" zoomScalePageLayoutView="90" workbookViewId="0">
      <selection activeCell="C31" sqref="C30:D31"/>
    </sheetView>
  </sheetViews>
  <sheetFormatPr defaultColWidth="11.42578125" defaultRowHeight="15"/>
  <cols>
    <col min="1" max="1" width="19" customWidth="1"/>
    <col min="2" max="2" width="28.42578125" customWidth="1"/>
    <col min="3" max="3" width="9.5703125" bestFit="1" customWidth="1"/>
    <col min="11" max="11" width="2" bestFit="1" customWidth="1"/>
    <col min="12" max="12" width="13" bestFit="1" customWidth="1"/>
    <col min="13" max="13" width="17.42578125" bestFit="1" customWidth="1"/>
  </cols>
  <sheetData>
    <row r="1" spans="1:10">
      <c r="A1" t="s">
        <v>402</v>
      </c>
    </row>
    <row r="2" spans="1:10">
      <c r="A2" t="s">
        <v>5</v>
      </c>
    </row>
    <row r="3" spans="1:10">
      <c r="A3" t="s">
        <v>365</v>
      </c>
    </row>
    <row r="5" spans="1:10"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 ht="14.45" customHeight="1">
      <c r="A6" s="49" t="s">
        <v>479</v>
      </c>
      <c r="B6" s="49" t="s">
        <v>483</v>
      </c>
      <c r="C6" s="49">
        <f>0.00386</f>
        <v>3.8600000000000001E-3</v>
      </c>
      <c r="D6" s="49">
        <v>3.8999999999999998E-3</v>
      </c>
      <c r="E6">
        <f>D6*0.8</f>
        <v>3.1199999999999999E-3</v>
      </c>
      <c r="F6">
        <f>D6*0.5</f>
        <v>1.9499999999999999E-3</v>
      </c>
      <c r="G6">
        <f>D6*0.1</f>
        <v>3.8999999999999999E-4</v>
      </c>
    </row>
    <row r="7" spans="1:10" ht="14.45" customHeight="1">
      <c r="A7" s="49" t="s">
        <v>479</v>
      </c>
      <c r="B7" s="49" t="s">
        <v>90</v>
      </c>
      <c r="C7" s="49">
        <f>0.00222</f>
        <v>2.2200000000000002E-3</v>
      </c>
      <c r="D7" s="49">
        <v>2.1299999999999999E-3</v>
      </c>
      <c r="E7">
        <f t="shared" ref="E7:E33" si="0">D7*0.8</f>
        <v>1.704E-3</v>
      </c>
      <c r="F7">
        <f t="shared" ref="F7:F33" si="1">D7*0.5</f>
        <v>1.065E-3</v>
      </c>
      <c r="G7">
        <f t="shared" ref="G7:G33" si="2">D7*0.1</f>
        <v>2.13E-4</v>
      </c>
    </row>
    <row r="8" spans="1:10" ht="14.45" customHeight="1">
      <c r="A8" s="49" t="s">
        <v>479</v>
      </c>
      <c r="B8" s="49" t="s">
        <v>56</v>
      </c>
      <c r="C8" s="49">
        <v>7.1000000000000004E-3</v>
      </c>
      <c r="D8" s="49">
        <v>0</v>
      </c>
      <c r="E8">
        <f t="shared" si="0"/>
        <v>0</v>
      </c>
      <c r="F8">
        <f t="shared" si="1"/>
        <v>0</v>
      </c>
      <c r="G8">
        <f t="shared" si="2"/>
        <v>0</v>
      </c>
    </row>
    <row r="9" spans="1:10" ht="14.45" customHeight="1">
      <c r="A9" s="49" t="s">
        <v>480</v>
      </c>
      <c r="B9" s="49" t="s">
        <v>483</v>
      </c>
      <c r="C9" s="49">
        <v>3.5999999999999999E-3</v>
      </c>
      <c r="D9" s="49">
        <v>8.8999999999999999E-3</v>
      </c>
      <c r="E9">
        <f t="shared" si="0"/>
        <v>7.1200000000000005E-3</v>
      </c>
      <c r="F9">
        <f t="shared" si="1"/>
        <v>4.45E-3</v>
      </c>
      <c r="G9">
        <f t="shared" si="2"/>
        <v>8.9000000000000006E-4</v>
      </c>
    </row>
    <row r="10" spans="1:10" ht="14.45" customHeight="1">
      <c r="A10" s="49" t="s">
        <v>480</v>
      </c>
      <c r="B10" s="49" t="s">
        <v>90</v>
      </c>
      <c r="C10" s="49">
        <v>0</v>
      </c>
      <c r="D10" s="49">
        <v>2.5699999999999998E-3</v>
      </c>
      <c r="E10">
        <f t="shared" si="0"/>
        <v>2.0560000000000001E-3</v>
      </c>
      <c r="F10">
        <f t="shared" si="1"/>
        <v>1.2849999999999999E-3</v>
      </c>
      <c r="G10">
        <f t="shared" si="2"/>
        <v>2.5700000000000001E-4</v>
      </c>
    </row>
    <row r="11" spans="1:10" ht="14.45" customHeight="1">
      <c r="A11" s="49" t="s">
        <v>481</v>
      </c>
      <c r="B11" s="49" t="s">
        <v>483</v>
      </c>
      <c r="C11" s="49">
        <v>1.9300000000000001E-3</v>
      </c>
      <c r="D11" s="49">
        <v>0</v>
      </c>
      <c r="E11">
        <f t="shared" si="0"/>
        <v>0</v>
      </c>
      <c r="F11">
        <f t="shared" si="1"/>
        <v>0</v>
      </c>
      <c r="G11">
        <f t="shared" si="2"/>
        <v>0</v>
      </c>
    </row>
    <row r="12" spans="1:10" ht="14.45" customHeight="1">
      <c r="A12" s="49" t="s">
        <v>481</v>
      </c>
      <c r="B12" s="49" t="s">
        <v>90</v>
      </c>
      <c r="C12" s="49">
        <v>0</v>
      </c>
      <c r="D12" s="49">
        <v>2.8600000000000001E-3</v>
      </c>
      <c r="E12">
        <f t="shared" si="0"/>
        <v>2.2880000000000001E-3</v>
      </c>
      <c r="F12">
        <f t="shared" si="1"/>
        <v>1.4300000000000001E-3</v>
      </c>
      <c r="G12">
        <f t="shared" si="2"/>
        <v>2.8600000000000001E-4</v>
      </c>
    </row>
    <row r="13" spans="1:10" ht="14.45" customHeight="1">
      <c r="A13" s="49" t="s">
        <v>481</v>
      </c>
      <c r="B13" s="49" t="s">
        <v>56</v>
      </c>
      <c r="C13" s="49">
        <v>1.5E-3</v>
      </c>
      <c r="D13" s="49">
        <v>0</v>
      </c>
      <c r="E13">
        <f t="shared" si="0"/>
        <v>0</v>
      </c>
      <c r="F13">
        <f t="shared" si="1"/>
        <v>0</v>
      </c>
      <c r="G13">
        <f t="shared" si="2"/>
        <v>0</v>
      </c>
    </row>
    <row r="14" spans="1:10" ht="14.45" customHeight="1">
      <c r="A14" s="49" t="s">
        <v>488</v>
      </c>
      <c r="B14" s="49" t="s">
        <v>483</v>
      </c>
      <c r="C14" s="49">
        <v>0</v>
      </c>
      <c r="D14" s="49">
        <v>1.6E-2</v>
      </c>
      <c r="E14">
        <f t="shared" si="0"/>
        <v>1.2800000000000001E-2</v>
      </c>
      <c r="F14">
        <f t="shared" si="1"/>
        <v>8.0000000000000002E-3</v>
      </c>
      <c r="G14">
        <f t="shared" si="2"/>
        <v>1.6000000000000001E-3</v>
      </c>
    </row>
    <row r="15" spans="1:10" ht="14.45" customHeight="1">
      <c r="A15" s="49" t="s">
        <v>488</v>
      </c>
      <c r="B15" s="49" t="s">
        <v>90</v>
      </c>
      <c r="C15" s="53">
        <v>6.0099999999999997E-3</v>
      </c>
      <c r="D15" s="49">
        <v>7.8399999999999997E-3</v>
      </c>
      <c r="E15">
        <f t="shared" si="0"/>
        <v>6.2719999999999998E-3</v>
      </c>
      <c r="F15">
        <f t="shared" si="1"/>
        <v>3.9199999999999999E-3</v>
      </c>
      <c r="G15">
        <f t="shared" si="2"/>
        <v>7.8399999999999997E-4</v>
      </c>
      <c r="H15" s="5"/>
      <c r="I15" s="5"/>
      <c r="J15" s="5"/>
    </row>
    <row r="16" spans="1:10" ht="14.45" customHeight="1">
      <c r="A16" s="49" t="s">
        <v>488</v>
      </c>
      <c r="B16" s="49" t="s">
        <v>99</v>
      </c>
      <c r="C16" s="49">
        <v>2.3999999999999998E-3</v>
      </c>
      <c r="D16" s="49">
        <v>2.3999999999999998E-3</v>
      </c>
      <c r="E16">
        <f t="shared" si="0"/>
        <v>1.9199999999999998E-3</v>
      </c>
      <c r="F16">
        <f t="shared" si="1"/>
        <v>1.1999999999999999E-3</v>
      </c>
      <c r="G16">
        <f t="shared" si="2"/>
        <v>2.3999999999999998E-4</v>
      </c>
      <c r="H16" s="5"/>
      <c r="I16" s="5"/>
      <c r="J16" s="5"/>
    </row>
    <row r="17" spans="1:10" ht="14.45" customHeight="1">
      <c r="A17" s="49" t="s">
        <v>488</v>
      </c>
      <c r="B17" s="49" t="s">
        <v>158</v>
      </c>
      <c r="C17" s="49">
        <v>2.1199999999999999E-3</v>
      </c>
      <c r="D17" s="49">
        <v>1.4E-3</v>
      </c>
      <c r="E17">
        <f t="shared" si="0"/>
        <v>1.1200000000000001E-3</v>
      </c>
      <c r="F17">
        <f t="shared" si="1"/>
        <v>6.9999999999999999E-4</v>
      </c>
      <c r="G17">
        <f t="shared" si="2"/>
        <v>1.4000000000000001E-4</v>
      </c>
      <c r="H17" s="5"/>
      <c r="I17" s="5"/>
    </row>
    <row r="18" spans="1:10" ht="14.45" customHeight="1">
      <c r="A18" s="49" t="s">
        <v>487</v>
      </c>
      <c r="B18" s="49" t="s">
        <v>483</v>
      </c>
      <c r="C18" s="49">
        <v>5.7800000000000004E-3</v>
      </c>
      <c r="D18" s="49">
        <v>0</v>
      </c>
      <c r="E18">
        <f t="shared" si="0"/>
        <v>0</v>
      </c>
      <c r="F18">
        <f t="shared" si="1"/>
        <v>0</v>
      </c>
      <c r="G18">
        <f t="shared" si="2"/>
        <v>0</v>
      </c>
      <c r="H18" s="5"/>
      <c r="I18" s="5"/>
      <c r="J18" s="5"/>
    </row>
    <row r="19" spans="1:10" ht="14.45" customHeight="1">
      <c r="A19" s="49" t="s">
        <v>487</v>
      </c>
      <c r="B19" s="49" t="s">
        <v>90</v>
      </c>
      <c r="C19" s="49">
        <v>6.4000000000000003E-3</v>
      </c>
      <c r="D19" s="49">
        <v>6.3699999999999998E-3</v>
      </c>
      <c r="E19">
        <f t="shared" si="0"/>
        <v>5.0959999999999998E-3</v>
      </c>
      <c r="F19">
        <f t="shared" si="1"/>
        <v>3.1849999999999999E-3</v>
      </c>
      <c r="G19">
        <f t="shared" si="2"/>
        <v>6.3699999999999998E-4</v>
      </c>
      <c r="H19" s="5"/>
      <c r="I19" s="5"/>
      <c r="J19" s="5"/>
    </row>
    <row r="20" spans="1:10" ht="14.45" customHeight="1">
      <c r="A20" s="49" t="s">
        <v>487</v>
      </c>
      <c r="B20" s="49" t="s">
        <v>99</v>
      </c>
      <c r="C20" s="49">
        <v>7.9699999999999997E-3</v>
      </c>
      <c r="D20" s="49">
        <v>7.9699999999999997E-3</v>
      </c>
      <c r="E20">
        <f t="shared" si="0"/>
        <v>6.3759999999999997E-3</v>
      </c>
      <c r="F20">
        <f t="shared" si="1"/>
        <v>3.9849999999999998E-3</v>
      </c>
      <c r="G20">
        <f t="shared" si="2"/>
        <v>7.9699999999999997E-4</v>
      </c>
    </row>
    <row r="21" spans="1:10" ht="14.45" customHeight="1">
      <c r="A21" s="49" t="s">
        <v>487</v>
      </c>
      <c r="B21" s="49" t="s">
        <v>101</v>
      </c>
      <c r="C21" s="49">
        <v>1.4500000000000001E-2</v>
      </c>
      <c r="D21" s="49">
        <v>1.4500000000000001E-2</v>
      </c>
      <c r="E21">
        <f t="shared" si="0"/>
        <v>1.1600000000000001E-2</v>
      </c>
      <c r="F21">
        <f t="shared" si="1"/>
        <v>7.2500000000000004E-3</v>
      </c>
      <c r="G21">
        <f t="shared" si="2"/>
        <v>1.4500000000000001E-3</v>
      </c>
    </row>
    <row r="22" spans="1:10" ht="14.45" customHeight="1">
      <c r="A22" s="49" t="s">
        <v>487</v>
      </c>
      <c r="B22" s="49" t="s">
        <v>158</v>
      </c>
      <c r="C22" s="49">
        <v>7.7999999999999999E-4</v>
      </c>
      <c r="D22" s="49">
        <v>7.7999999999999999E-4</v>
      </c>
      <c r="E22">
        <f t="shared" si="0"/>
        <v>6.2399999999999999E-4</v>
      </c>
      <c r="F22">
        <f t="shared" si="1"/>
        <v>3.8999999999999999E-4</v>
      </c>
      <c r="G22">
        <f t="shared" si="2"/>
        <v>7.7999999999999999E-5</v>
      </c>
    </row>
    <row r="23" spans="1:10" ht="14.45" customHeight="1">
      <c r="A23" s="49" t="s">
        <v>484</v>
      </c>
      <c r="B23" s="49" t="s">
        <v>483</v>
      </c>
      <c r="C23" s="49">
        <v>0</v>
      </c>
      <c r="D23" s="49">
        <v>0</v>
      </c>
      <c r="E23">
        <f t="shared" si="0"/>
        <v>0</v>
      </c>
      <c r="F23">
        <f t="shared" si="1"/>
        <v>0</v>
      </c>
      <c r="G23">
        <f t="shared" si="2"/>
        <v>0</v>
      </c>
    </row>
    <row r="24" spans="1:10" ht="14.45" customHeight="1">
      <c r="A24" s="49" t="s">
        <v>484</v>
      </c>
      <c r="B24" s="49" t="s">
        <v>90</v>
      </c>
      <c r="C24" s="49">
        <v>2.1940000000000001E-2</v>
      </c>
      <c r="D24" s="49">
        <v>2.5649999999999999E-2</v>
      </c>
      <c r="E24">
        <f t="shared" si="0"/>
        <v>2.052E-2</v>
      </c>
      <c r="F24">
        <f t="shared" si="1"/>
        <v>1.2825E-2</v>
      </c>
      <c r="G24">
        <f t="shared" si="2"/>
        <v>2.565E-3</v>
      </c>
    </row>
    <row r="25" spans="1:10" ht="14.45" customHeight="1">
      <c r="A25" s="49" t="s">
        <v>484</v>
      </c>
      <c r="B25" s="49" t="s">
        <v>56</v>
      </c>
      <c r="C25" s="49">
        <v>0.3276</v>
      </c>
      <c r="D25" s="49">
        <v>0.30120000000000002</v>
      </c>
      <c r="E25">
        <f t="shared" si="0"/>
        <v>0.24096000000000004</v>
      </c>
      <c r="F25">
        <f t="shared" si="1"/>
        <v>0.15060000000000001</v>
      </c>
      <c r="G25">
        <f t="shared" si="2"/>
        <v>3.0120000000000004E-2</v>
      </c>
    </row>
    <row r="26" spans="1:10" ht="14.45" customHeight="1">
      <c r="A26" s="49" t="s">
        <v>484</v>
      </c>
      <c r="B26" s="49" t="s">
        <v>158</v>
      </c>
      <c r="C26" s="49">
        <v>2.2599999999999999E-3</v>
      </c>
      <c r="D26" s="53">
        <v>2.3E-3</v>
      </c>
      <c r="E26">
        <f t="shared" si="0"/>
        <v>1.8400000000000001E-3</v>
      </c>
      <c r="F26">
        <f t="shared" si="1"/>
        <v>1.15E-3</v>
      </c>
      <c r="G26">
        <f t="shared" si="2"/>
        <v>2.3000000000000001E-4</v>
      </c>
      <c r="H26" s="5"/>
      <c r="I26" s="5"/>
      <c r="J26" s="5"/>
    </row>
    <row r="27" spans="1:10" ht="14.45" customHeight="1">
      <c r="A27" s="49" t="s">
        <v>485</v>
      </c>
      <c r="B27" s="49" t="s">
        <v>99</v>
      </c>
      <c r="C27" s="49">
        <v>2.0000000000000001E-4</v>
      </c>
      <c r="D27" s="49">
        <v>2.0000000000000001E-4</v>
      </c>
      <c r="E27">
        <f t="shared" si="0"/>
        <v>1.6000000000000001E-4</v>
      </c>
      <c r="F27">
        <f t="shared" si="1"/>
        <v>1E-4</v>
      </c>
      <c r="G27">
        <f t="shared" si="2"/>
        <v>2.0000000000000002E-5</v>
      </c>
    </row>
    <row r="28" spans="1:10" ht="14.45" customHeight="1">
      <c r="A28" s="49" t="s">
        <v>485</v>
      </c>
      <c r="B28" s="49" t="s">
        <v>483</v>
      </c>
      <c r="C28" s="49">
        <v>6.77E-3</v>
      </c>
      <c r="D28" s="49">
        <v>1.34E-2</v>
      </c>
      <c r="E28">
        <f t="shared" si="0"/>
        <v>1.072E-2</v>
      </c>
      <c r="F28">
        <f t="shared" si="1"/>
        <v>6.7000000000000002E-3</v>
      </c>
      <c r="G28">
        <f t="shared" si="2"/>
        <v>1.34E-3</v>
      </c>
    </row>
    <row r="29" spans="1:10" ht="14.45" customHeight="1">
      <c r="A29" s="49" t="s">
        <v>485</v>
      </c>
      <c r="B29" s="49" t="s">
        <v>90</v>
      </c>
      <c r="C29" s="49">
        <v>2.445E-2</v>
      </c>
      <c r="D29" s="49">
        <v>2.4639999999999999E-2</v>
      </c>
      <c r="E29">
        <f t="shared" si="0"/>
        <v>1.9712E-2</v>
      </c>
      <c r="F29">
        <f t="shared" si="1"/>
        <v>1.2319999999999999E-2</v>
      </c>
      <c r="G29">
        <f t="shared" si="2"/>
        <v>2.464E-3</v>
      </c>
    </row>
    <row r="30" spans="1:10" ht="14.45" customHeight="1">
      <c r="A30" s="49" t="s">
        <v>485</v>
      </c>
      <c r="B30" s="49" t="s">
        <v>103</v>
      </c>
      <c r="C30" s="42">
        <v>5.1700000000000003E-2</v>
      </c>
      <c r="D30" s="42">
        <v>5.1700000000000003E-2</v>
      </c>
      <c r="E30">
        <f t="shared" si="0"/>
        <v>4.1360000000000008E-2</v>
      </c>
      <c r="F30">
        <f t="shared" si="1"/>
        <v>2.5850000000000001E-2</v>
      </c>
      <c r="G30">
        <f t="shared" si="2"/>
        <v>5.170000000000001E-3</v>
      </c>
    </row>
    <row r="31" spans="1:10" ht="14.45" customHeight="1">
      <c r="A31" s="49" t="s">
        <v>485</v>
      </c>
      <c r="B31" s="49" t="s">
        <v>158</v>
      </c>
      <c r="C31" s="42">
        <v>4.1300000000000003E-2</v>
      </c>
      <c r="D31" s="42">
        <v>4.1300000000000003E-2</v>
      </c>
      <c r="E31">
        <f t="shared" si="0"/>
        <v>3.3040000000000007E-2</v>
      </c>
      <c r="F31">
        <f t="shared" si="1"/>
        <v>2.0650000000000002E-2</v>
      </c>
      <c r="G31">
        <f t="shared" si="2"/>
        <v>4.1300000000000009E-3</v>
      </c>
    </row>
    <row r="32" spans="1:10" ht="14.45" customHeight="1">
      <c r="A32" s="49" t="s">
        <v>486</v>
      </c>
      <c r="B32" s="49" t="s">
        <v>483</v>
      </c>
      <c r="C32" s="49">
        <v>4.3400000000000001E-3</v>
      </c>
      <c r="D32" s="49">
        <v>9.9000000000000008E-3</v>
      </c>
      <c r="E32">
        <f t="shared" si="0"/>
        <v>7.9200000000000017E-3</v>
      </c>
      <c r="F32">
        <f t="shared" si="1"/>
        <v>4.9500000000000004E-3</v>
      </c>
      <c r="G32">
        <f t="shared" si="2"/>
        <v>9.9000000000000021E-4</v>
      </c>
    </row>
    <row r="33" spans="1:12" ht="14.45" customHeight="1">
      <c r="A33" s="49" t="s">
        <v>486</v>
      </c>
      <c r="B33" s="49" t="s">
        <v>90</v>
      </c>
      <c r="C33" s="49">
        <v>9.3900000000000008E-3</v>
      </c>
      <c r="D33" s="49">
        <v>1.511E-2</v>
      </c>
      <c r="E33">
        <f t="shared" si="0"/>
        <v>1.2088000000000002E-2</v>
      </c>
      <c r="F33">
        <f t="shared" si="1"/>
        <v>7.5550000000000001E-3</v>
      </c>
      <c r="G33">
        <f t="shared" si="2"/>
        <v>1.5110000000000002E-3</v>
      </c>
    </row>
    <row r="34" spans="1:12" ht="14.45" customHeight="1"/>
    <row r="35" spans="1:12" ht="14.45" customHeight="1"/>
    <row r="36" spans="1:12" ht="14.45" customHeight="1">
      <c r="A36" s="29"/>
    </row>
    <row r="37" spans="1:12" ht="14.45" customHeight="1">
      <c r="A37" s="9"/>
    </row>
    <row r="38" spans="1:12" ht="14.45" customHeight="1">
      <c r="A38" s="9"/>
    </row>
    <row r="39" spans="1:12" ht="14.45" customHeight="1">
      <c r="A39" s="9"/>
      <c r="L39" s="16"/>
    </row>
    <row r="40" spans="1:12" ht="14.45" customHeight="1">
      <c r="A40" s="9"/>
    </row>
    <row r="41" spans="1:12" ht="14.45" customHeight="1"/>
    <row r="42" spans="1:12" ht="14.45" customHeight="1"/>
    <row r="43" spans="1:12" ht="14.45" customHeight="1"/>
    <row r="44" spans="1:12" ht="14.45" customHeight="1"/>
    <row r="45" spans="1:12" ht="14.45" customHeight="1">
      <c r="A45" s="9"/>
    </row>
    <row r="46" spans="1:12" ht="14.4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2" ht="14.4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2" ht="14.4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2" ht="14.4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2" ht="14.4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L50" s="16"/>
    </row>
    <row r="51" spans="1:12" ht="14.4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2" ht="14.4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2" ht="14.4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2" ht="14.4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12" ht="14.45" customHeight="1">
      <c r="A55" s="38"/>
      <c r="B55" s="5"/>
      <c r="C55" s="5"/>
      <c r="D55" s="5"/>
      <c r="E55" s="5"/>
      <c r="F55" s="5"/>
      <c r="G55" s="5"/>
      <c r="H55" s="5"/>
      <c r="I55" s="5"/>
    </row>
    <row r="56" spans="1:12" ht="14.4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12" ht="14.4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12" ht="14.4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12" ht="14.4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2" ht="14.4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2" ht="14.4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2" ht="14.4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2" ht="14.4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2" ht="14.45" customHeight="1">
      <c r="A64" s="9"/>
    </row>
    <row r="65" spans="1:12" ht="14.45" customHeight="1">
      <c r="A65" s="9"/>
    </row>
    <row r="66" spans="1:12" ht="14.45" customHeight="1">
      <c r="A66" s="9"/>
    </row>
    <row r="67" spans="1:12" ht="14.45" customHeight="1">
      <c r="A67" s="29"/>
    </row>
    <row r="68" spans="1:12" ht="14.45" customHeight="1"/>
    <row r="69" spans="1:12" ht="14.45" customHeight="1"/>
    <row r="70" spans="1:12" ht="14.45" customHeight="1">
      <c r="A70" s="9"/>
    </row>
    <row r="71" spans="1:12" ht="14.45" customHeight="1">
      <c r="A71" s="9"/>
    </row>
    <row r="72" spans="1:12" ht="14.45" customHeight="1">
      <c r="A72" s="38"/>
      <c r="B72" s="5"/>
      <c r="C72" s="5"/>
      <c r="D72" s="5"/>
      <c r="E72" s="5"/>
      <c r="F72" s="5"/>
      <c r="G72" s="5"/>
      <c r="H72" s="5"/>
      <c r="I72" s="5"/>
      <c r="J72" s="5"/>
    </row>
    <row r="73" spans="1:12" ht="14.45" customHeight="1">
      <c r="A73" s="9"/>
    </row>
    <row r="74" spans="1:12" ht="14.45" customHeight="1">
      <c r="A74" s="9"/>
      <c r="L74" s="16"/>
    </row>
    <row r="75" spans="1:12" ht="14.45" customHeight="1">
      <c r="A75" s="9"/>
    </row>
    <row r="76" spans="1:12" ht="14.45" customHeight="1">
      <c r="A76" s="9"/>
    </row>
    <row r="77" spans="1:12" ht="14.45" customHeight="1">
      <c r="A77" s="17"/>
      <c r="B77" s="2"/>
    </row>
    <row r="78" spans="1:12" ht="14.45" customHeight="1"/>
    <row r="79" spans="1:12" ht="14.45" customHeight="1"/>
    <row r="80" spans="1:12" ht="14.45" customHeight="1"/>
    <row r="81" spans="1:10" ht="14.45" customHeight="1"/>
    <row r="82" spans="1:10" ht="14.45" customHeight="1">
      <c r="A82" s="9"/>
    </row>
    <row r="83" spans="1:10" ht="14.4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4.4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4.4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4.4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4.4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4.4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4.4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4.45" customHeight="1">
      <c r="A90" s="38"/>
      <c r="B90" s="5"/>
      <c r="C90" s="5"/>
      <c r="D90" s="5"/>
      <c r="E90" s="5"/>
      <c r="F90" s="5"/>
      <c r="G90" s="5"/>
      <c r="H90" s="5"/>
      <c r="I90" s="5"/>
      <c r="J90" s="5"/>
    </row>
    <row r="91" spans="1:10" ht="14.4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4.4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10" ht="14.4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10" ht="14.4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10" ht="14.4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10" ht="14.4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12" ht="14.4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2" ht="14.4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2" ht="14.4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L99" s="16"/>
    </row>
    <row r="100" spans="1:12" ht="14.4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2" ht="14.45" customHeight="1">
      <c r="A101" s="38"/>
      <c r="B101" s="5"/>
      <c r="C101" s="5"/>
      <c r="D101" s="5"/>
      <c r="E101" s="5"/>
      <c r="F101" s="5"/>
      <c r="G101" s="5"/>
      <c r="H101" s="5"/>
      <c r="I101" s="5"/>
      <c r="J101" s="5"/>
    </row>
    <row r="102" spans="1:12" ht="14.45" customHeight="1">
      <c r="A102" s="9"/>
    </row>
    <row r="103" spans="1:12" ht="14.45" customHeight="1">
      <c r="A103" s="9"/>
    </row>
    <row r="104" spans="1:12" ht="14.45" customHeight="1">
      <c r="A104" s="9"/>
    </row>
    <row r="105" spans="1:12" ht="14.45" customHeight="1">
      <c r="A105" s="9"/>
    </row>
    <row r="106" spans="1:12" ht="14.45" customHeight="1"/>
    <row r="107" spans="1:12" ht="14.45" customHeight="1"/>
    <row r="108" spans="1:12" ht="14.45" customHeight="1">
      <c r="A108" s="9"/>
    </row>
    <row r="109" spans="1:12" ht="14.45" customHeight="1">
      <c r="A109" s="9"/>
    </row>
    <row r="110" spans="1:12" ht="14.4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2" ht="14.45" customHeight="1">
      <c r="A111" s="9"/>
    </row>
    <row r="112" spans="1:12" ht="14.45" customHeight="1">
      <c r="A112" s="9"/>
    </row>
    <row r="113" spans="1:10" ht="14.45" customHeight="1">
      <c r="A113" s="9"/>
    </row>
    <row r="114" spans="1:10" ht="14.45" customHeight="1">
      <c r="A114" s="9"/>
    </row>
    <row r="115" spans="1:10" ht="14.45" customHeight="1">
      <c r="A115" s="15"/>
      <c r="B115" s="15"/>
      <c r="C115" s="15"/>
    </row>
    <row r="116" spans="1:10" ht="14.45" customHeight="1">
      <c r="A116" s="9"/>
    </row>
    <row r="117" spans="1:10" ht="14.45" customHeight="1">
      <c r="A117" s="38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4.4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4.4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4.4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4.4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4.4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4.4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4.4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4.4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10" ht="14.4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10" ht="14.4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10" ht="14.45" customHeight="1">
      <c r="A128" s="38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4.4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4.4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4.4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5" customHeight="1">
      <c r="A133" s="9"/>
    </row>
    <row r="134" spans="1:10" ht="14.45" customHeight="1">
      <c r="A134" s="9"/>
    </row>
    <row r="135" spans="1:10" ht="14.45" customHeight="1">
      <c r="A135" s="9"/>
    </row>
    <row r="136" spans="1:10" ht="14.45" customHeight="1">
      <c r="A136" s="9"/>
    </row>
    <row r="137" spans="1:10" ht="14.45" customHeight="1">
      <c r="A137" s="32"/>
    </row>
    <row r="138" spans="1:10" ht="14.45" customHeight="1">
      <c r="A138" s="9"/>
    </row>
    <row r="139" spans="1:10" ht="14.45" customHeight="1">
      <c r="A139" s="9"/>
    </row>
    <row r="140" spans="1:10" ht="14.4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4.45" customHeight="1">
      <c r="A141" s="9"/>
    </row>
    <row r="142" spans="1:10" ht="14.45" customHeight="1">
      <c r="A142" s="9"/>
    </row>
    <row r="143" spans="1:10" ht="14.45" customHeight="1">
      <c r="A143" s="9"/>
    </row>
    <row r="144" spans="1:10" ht="14.45" customHeight="1">
      <c r="A144" s="9"/>
    </row>
    <row r="145" spans="1:10" ht="14.45" customHeight="1">
      <c r="A145" s="9"/>
    </row>
    <row r="146" spans="1:10" ht="14.45" customHeight="1"/>
    <row r="147" spans="1:10" ht="14.45" customHeight="1"/>
    <row r="148" spans="1:10" ht="14.45" customHeight="1"/>
    <row r="149" spans="1:10" ht="14.45" customHeight="1">
      <c r="A149" s="32"/>
    </row>
    <row r="150" spans="1:10" ht="14.45" customHeight="1"/>
    <row r="151" spans="1:10" ht="14.45" customHeight="1">
      <c r="A151" s="9"/>
    </row>
    <row r="152" spans="1:10" ht="14.4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4.4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4.4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4.4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4.45" customHeight="1">
      <c r="A156" s="38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4.4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4.4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4.4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4.4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4.4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10" ht="14.4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10" ht="14.4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10" ht="14.4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10" ht="14.4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10" ht="14.4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4.45" customHeight="1">
      <c r="A167" s="38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4.4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4.4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4.4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4.45" customHeight="1">
      <c r="A171" s="9"/>
    </row>
    <row r="172" spans="1:10" ht="14.45" customHeight="1">
      <c r="A172" s="9"/>
    </row>
    <row r="173" spans="1:10" ht="14.45" customHeight="1">
      <c r="A173" s="9"/>
    </row>
    <row r="174" spans="1:10" ht="14.45" customHeight="1">
      <c r="A174" s="9"/>
    </row>
    <row r="175" spans="1:10" ht="14.45" customHeight="1"/>
    <row r="176" spans="1:10" ht="14.45" customHeight="1"/>
    <row r="177" spans="1:10" ht="14.45" customHeight="1"/>
    <row r="178" spans="1:10" ht="14.45" customHeight="1"/>
    <row r="179" spans="1:10" ht="14.45" customHeight="1">
      <c r="A179" s="9"/>
    </row>
    <row r="180" spans="1:10" ht="14.45" customHeight="1">
      <c r="A180" s="9"/>
    </row>
    <row r="181" spans="1:10" ht="14.4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4.45" customHeight="1">
      <c r="A182" s="29"/>
    </row>
    <row r="183" spans="1:10" ht="14.45" customHeight="1">
      <c r="A183" s="9"/>
    </row>
    <row r="184" spans="1:10" ht="14.45" customHeight="1">
      <c r="A184" s="9"/>
    </row>
    <row r="185" spans="1:10" ht="14.45" customHeight="1">
      <c r="A185" s="9"/>
    </row>
    <row r="186" spans="1:10" ht="14.45" customHeight="1"/>
    <row r="187" spans="1:10" ht="14.45" customHeight="1"/>
    <row r="188" spans="1:10" ht="14.45" customHeight="1"/>
    <row r="189" spans="1:10" ht="14.45" customHeight="1"/>
    <row r="190" spans="1:10" ht="14.45" customHeight="1"/>
    <row r="191" spans="1:10" ht="14.45" customHeight="1">
      <c r="A191" s="9"/>
    </row>
    <row r="192" spans="1:10" ht="14.4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4.4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4.4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4.4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4.4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4.4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4.4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4.4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4.45" customHeight="1">
      <c r="A200" s="38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4.4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10" ht="14.4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10" ht="14.4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10" ht="14.4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10" ht="14.4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10" ht="14.4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10" ht="14.4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10" ht="14.4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4.4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4.4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4.4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4.45" customHeight="1">
      <c r="A212" s="38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4.45" customHeight="1">
      <c r="A213" s="9"/>
      <c r="C213" s="5"/>
      <c r="D213" s="5"/>
      <c r="E213" s="5"/>
      <c r="F213" s="5"/>
      <c r="G213" s="5"/>
      <c r="H213" s="5"/>
      <c r="I213" s="5"/>
      <c r="J213" s="5"/>
    </row>
    <row r="214" spans="1:10" ht="14.45" customHeight="1">
      <c r="A214" s="9"/>
    </row>
    <row r="215" spans="1:10" ht="14.45" customHeight="1">
      <c r="A215" s="9"/>
    </row>
    <row r="216" spans="1:10" ht="14.45" customHeight="1">
      <c r="A216" s="9"/>
    </row>
    <row r="217" spans="1:10" ht="14.45" customHeight="1"/>
    <row r="218" spans="1:10" ht="14.45" customHeight="1"/>
    <row r="219" spans="1:10" ht="14.45" customHeight="1"/>
    <row r="220" spans="1:10" ht="14.45" customHeight="1">
      <c r="A220" s="9"/>
    </row>
    <row r="221" spans="1:10" ht="14.45" customHeight="1">
      <c r="A221" s="29"/>
    </row>
    <row r="222" spans="1:10" ht="14.4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4.45" customHeight="1">
      <c r="A223" s="9"/>
    </row>
    <row r="224" spans="1:10" ht="14.45" customHeight="1">
      <c r="A224" s="9"/>
    </row>
    <row r="225" spans="1:10" ht="14.45" customHeight="1">
      <c r="A225" s="9"/>
    </row>
    <row r="226" spans="1:10" ht="14.45" customHeight="1">
      <c r="A226" s="9"/>
    </row>
    <row r="227" spans="1:10" ht="14.45" customHeight="1">
      <c r="A227" s="9"/>
    </row>
    <row r="228" spans="1:10" ht="14.45" customHeight="1">
      <c r="A228" s="39"/>
      <c r="B228" s="2"/>
    </row>
    <row r="229" spans="1:10" ht="14.45" customHeight="1"/>
    <row r="230" spans="1:10" ht="14.45" customHeight="1"/>
    <row r="231" spans="1:10" ht="14.45" customHeight="1"/>
    <row r="232" spans="1:10" ht="14.45" customHeight="1"/>
    <row r="233" spans="1:10" ht="14.45" customHeight="1">
      <c r="A233" s="9"/>
    </row>
    <row r="234" spans="1:10" ht="14.4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4.45" customHeight="1">
      <c r="A235" s="38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4.4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4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4.4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4.4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4.4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4.4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4.4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10" ht="14.4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10" ht="14.4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10" ht="14.4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10" ht="14.45" customHeight="1">
      <c r="A246" s="38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4.4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4.4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5" customHeight="1">
      <c r="A251" s="9"/>
    </row>
    <row r="252" spans="1:10" ht="14.45" customHeight="1">
      <c r="A252" s="9"/>
    </row>
    <row r="253" spans="1:10" ht="14.45" customHeight="1">
      <c r="A253" s="9"/>
    </row>
    <row r="254" spans="1:10" ht="14.45" customHeight="1">
      <c r="A254" s="9"/>
    </row>
    <row r="255" spans="1:10" ht="14.45" customHeight="1"/>
    <row r="256" spans="1:10" ht="14.45" customHeight="1">
      <c r="A256" s="29"/>
    </row>
    <row r="257" spans="1:10" ht="14.45" customHeight="1">
      <c r="A257" s="9"/>
    </row>
    <row r="258" spans="1:10" ht="14.4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4.45" customHeight="1">
      <c r="A259" s="9"/>
    </row>
    <row r="260" spans="1:10" ht="14.45" customHeight="1">
      <c r="A260" s="9"/>
    </row>
    <row r="261" spans="1:10" ht="14.45" customHeight="1">
      <c r="A261" s="9"/>
    </row>
    <row r="262" spans="1:10" ht="14.45" customHeight="1">
      <c r="A262" s="9"/>
    </row>
    <row r="263" spans="1:10" ht="14.45" customHeight="1">
      <c r="A263" s="32"/>
    </row>
    <row r="264" spans="1:10" ht="14.45" customHeight="1"/>
    <row r="265" spans="1:10" ht="14.45" customHeight="1"/>
    <row r="266" spans="1:10" ht="14.45" customHeight="1"/>
    <row r="267" spans="1:10" ht="14.45" customHeight="1">
      <c r="A267" s="9"/>
    </row>
    <row r="268" spans="1:10" ht="14.4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4.4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4.45" customHeight="1">
      <c r="A270" s="38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4.4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4.4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4.4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4.4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10" ht="14.4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10" ht="14.4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10" ht="14.4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10" ht="14.4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4.4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4.4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5" customHeight="1">
      <c r="A282" s="9"/>
    </row>
    <row r="283" spans="1:10" ht="14.45" customHeight="1">
      <c r="A283" s="9"/>
    </row>
    <row r="284" spans="1:10" ht="14.45" customHeight="1">
      <c r="A284" s="9"/>
    </row>
    <row r="285" spans="1:10" ht="14.45" customHeight="1">
      <c r="A285" s="9"/>
    </row>
    <row r="286" spans="1:10" ht="14.45" customHeight="1"/>
    <row r="287" spans="1:10" ht="14.45" customHeight="1"/>
    <row r="288" spans="1:10" ht="14.45" customHeight="1">
      <c r="A288" s="9"/>
    </row>
    <row r="289" spans="1:10" ht="14.45" customHeight="1">
      <c r="A289" s="9"/>
    </row>
    <row r="290" spans="1:10" ht="14.4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4.45" customHeight="1">
      <c r="A291" s="9"/>
    </row>
    <row r="292" spans="1:10" ht="14.45" customHeight="1">
      <c r="A292" s="9"/>
    </row>
    <row r="293" spans="1:10" ht="14.45" customHeight="1">
      <c r="A293" s="9"/>
    </row>
    <row r="294" spans="1:10" ht="14.45" customHeight="1">
      <c r="A294" s="9"/>
    </row>
    <row r="295" spans="1:10" ht="14.45" customHeight="1">
      <c r="A295" s="17"/>
      <c r="B295" s="2"/>
    </row>
    <row r="296" spans="1:10" ht="14.45" customHeight="1"/>
    <row r="297" spans="1:10" ht="14.45" customHeight="1"/>
    <row r="298" spans="1:10" ht="14.45" customHeight="1"/>
    <row r="299" spans="1:10" ht="14.45" customHeight="1"/>
    <row r="300" spans="1:10" ht="14.45" customHeight="1">
      <c r="A300" s="9"/>
    </row>
    <row r="301" spans="1:10" ht="14.4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4.4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4.4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4.4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4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4.4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4.4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4.4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4.4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10" ht="14.4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10" ht="14.4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10" ht="14.4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10" ht="14.4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4.4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4.4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4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5" customHeight="1">
      <c r="A318" s="9"/>
    </row>
    <row r="319" spans="1:10" ht="14.45" customHeight="1">
      <c r="A319" s="9"/>
    </row>
    <row r="320" spans="1:10" ht="14.45" customHeight="1">
      <c r="A320" s="9"/>
    </row>
    <row r="321" spans="1:10" ht="14.45" customHeight="1">
      <c r="A321" s="9"/>
    </row>
    <row r="322" spans="1:10" ht="14.45" customHeight="1"/>
    <row r="323" spans="1:10" ht="14.45" customHeight="1"/>
    <row r="324" spans="1:10" ht="14.45" customHeight="1">
      <c r="A324" s="9"/>
    </row>
    <row r="325" spans="1:10" ht="14.45" customHeight="1">
      <c r="A325" s="9"/>
    </row>
    <row r="326" spans="1:10" ht="14.4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4.45" customHeight="1">
      <c r="A327" s="9"/>
    </row>
    <row r="328" spans="1:10" ht="14.45" customHeight="1">
      <c r="A328" s="9"/>
    </row>
    <row r="329" spans="1:10" ht="14.45" customHeight="1">
      <c r="A329" s="9"/>
    </row>
    <row r="330" spans="1:10" ht="14.45" customHeight="1">
      <c r="A330" s="9"/>
    </row>
    <row r="331" spans="1:10" ht="14.45" customHeight="1">
      <c r="A331" s="17"/>
      <c r="B331" s="2"/>
    </row>
    <row r="332" spans="1:10" ht="14.45" customHeight="1"/>
    <row r="333" spans="1:10" ht="14.45" customHeight="1"/>
    <row r="334" spans="1:10" ht="14.45" customHeight="1"/>
    <row r="335" spans="1:10" ht="14.45" customHeight="1"/>
    <row r="336" spans="1:10" ht="14.45" customHeight="1">
      <c r="A336" s="9"/>
    </row>
    <row r="337" spans="1:10" ht="14.4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4.4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4.4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4.4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4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4.4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4.4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4.4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4.4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10" ht="14.4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10" ht="14.4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10" ht="14.4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10" ht="14.4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4.4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4.4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4.4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4" ht="14.4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4" ht="14.45" customHeight="1">
      <c r="A354" s="9"/>
      <c r="N354" s="7"/>
    </row>
    <row r="355" spans="1:14" ht="14.45" customHeight="1">
      <c r="A355" s="9"/>
    </row>
    <row r="356" spans="1:14" ht="14.45" customHeight="1">
      <c r="A356" s="9"/>
      <c r="N356" s="7"/>
    </row>
    <row r="357" spans="1:14" ht="14.45" customHeight="1">
      <c r="A357" s="9"/>
    </row>
    <row r="358" spans="1:14" ht="14.45" customHeight="1">
      <c r="N358" s="7"/>
    </row>
    <row r="359" spans="1:14" ht="14.45" customHeight="1">
      <c r="N359" s="7"/>
    </row>
    <row r="360" spans="1:14" ht="14.45" customHeight="1">
      <c r="A360" s="9"/>
    </row>
    <row r="361" spans="1:14" ht="14.45" customHeight="1">
      <c r="A361" s="9"/>
    </row>
    <row r="362" spans="1:14" ht="14.4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4" ht="14.45" customHeight="1">
      <c r="A363" s="9"/>
    </row>
    <row r="364" spans="1:14" ht="14.45" customHeight="1">
      <c r="A364" s="9"/>
    </row>
    <row r="365" spans="1:14" ht="14.45" customHeight="1">
      <c r="A365" s="9"/>
    </row>
    <row r="366" spans="1:14" ht="14.45" customHeight="1">
      <c r="A366" s="9"/>
    </row>
    <row r="367" spans="1:14" ht="14.45" customHeight="1">
      <c r="A367" s="17"/>
      <c r="B367" s="2"/>
    </row>
    <row r="368" spans="1:14" ht="14.45" customHeight="1"/>
    <row r="369" spans="1:12" ht="14.45" customHeight="1"/>
    <row r="370" spans="1:12" ht="14.45" customHeight="1"/>
    <row r="371" spans="1:12" ht="14.45" customHeight="1"/>
    <row r="372" spans="1:12">
      <c r="A372" s="9"/>
    </row>
    <row r="373" spans="1:12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2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2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2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2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2" ht="14.4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>
        <v>2</v>
      </c>
      <c r="L378">
        <v>2</v>
      </c>
    </row>
    <row r="379" spans="1:12" ht="14.4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2" ht="14.4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2" ht="14.4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12" ht="14.4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12" ht="14.4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12" ht="14.4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10" ht="14.4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10" ht="14.4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4.4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4.4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4.4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4.4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4.45" customHeight="1">
      <c r="A391" s="9"/>
      <c r="C391" s="5"/>
      <c r="D391" s="5"/>
      <c r="E391" s="5"/>
      <c r="F391" s="5"/>
      <c r="G391" s="5"/>
      <c r="H391" s="5"/>
      <c r="I391" s="5"/>
      <c r="J391" s="5"/>
    </row>
    <row r="392" spans="1:10" ht="14.45" customHeight="1">
      <c r="A392" s="9"/>
    </row>
    <row r="393" spans="1:10">
      <c r="A393" s="9"/>
    </row>
    <row r="394" spans="1:10">
      <c r="A394" s="9"/>
    </row>
    <row r="398" spans="1:10">
      <c r="A398" s="9"/>
    </row>
    <row r="399" spans="1:10">
      <c r="A399" s="9"/>
    </row>
    <row r="400" spans="1:1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>
      <c r="A401" s="9"/>
    </row>
    <row r="402" spans="1:10">
      <c r="A402" s="9"/>
    </row>
    <row r="403" spans="1:10">
      <c r="A403" s="9"/>
    </row>
    <row r="404" spans="1:10">
      <c r="A404" s="9"/>
    </row>
    <row r="405" spans="1:10">
      <c r="A405" s="17"/>
      <c r="B405" s="2"/>
    </row>
    <row r="410" spans="1:10">
      <c r="A410" s="9"/>
    </row>
    <row r="411" spans="1:10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>
      <c r="A418" s="5"/>
      <c r="B418" s="5"/>
      <c r="C418" s="5"/>
      <c r="D418" s="5"/>
      <c r="E418" s="5"/>
      <c r="F418" s="5"/>
      <c r="G418" s="5"/>
      <c r="H418" s="5"/>
      <c r="I418" s="5"/>
    </row>
    <row r="419" spans="1:10">
      <c r="A419" s="5"/>
      <c r="B419" s="5"/>
      <c r="C419" s="5"/>
      <c r="D419" s="5"/>
      <c r="E419" s="5"/>
      <c r="F419" s="5"/>
      <c r="G419" s="5"/>
      <c r="H419" s="5"/>
      <c r="I419" s="5"/>
    </row>
    <row r="420" spans="1:10">
      <c r="A420" s="5"/>
      <c r="B420" s="5"/>
      <c r="C420" s="5"/>
      <c r="D420" s="5"/>
      <c r="E420" s="5"/>
      <c r="F420" s="5"/>
      <c r="G420" s="5"/>
      <c r="H420" s="5"/>
      <c r="I420" s="5"/>
    </row>
    <row r="421" spans="1:10">
      <c r="A421" s="5"/>
      <c r="B421" s="5"/>
      <c r="C421" s="5"/>
      <c r="D421" s="5"/>
      <c r="E421" s="5"/>
      <c r="F421" s="5"/>
      <c r="G421" s="5"/>
      <c r="H421" s="5"/>
      <c r="I421" s="5"/>
    </row>
    <row r="422" spans="1:10">
      <c r="A422" s="5"/>
      <c r="B422" s="5"/>
      <c r="C422" s="5"/>
      <c r="D422" s="5"/>
      <c r="E422" s="5"/>
      <c r="F422" s="5"/>
      <c r="G422" s="5"/>
      <c r="H422" s="5"/>
      <c r="I422" s="5"/>
    </row>
    <row r="423" spans="1:10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>
      <c r="A427" s="9"/>
    </row>
    <row r="428" spans="1:10">
      <c r="A428" s="9"/>
    </row>
    <row r="429" spans="1:10">
      <c r="A429" s="9"/>
    </row>
    <row r="430" spans="1:10">
      <c r="A430" s="9"/>
    </row>
    <row r="433" spans="1:33">
      <c r="A433" s="9"/>
    </row>
    <row r="434" spans="1:33">
      <c r="A434" s="9"/>
    </row>
    <row r="435" spans="1:33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33">
      <c r="A436" s="9"/>
    </row>
    <row r="437" spans="1:33">
      <c r="A437" s="9"/>
    </row>
    <row r="438" spans="1:33">
      <c r="A438" s="9"/>
    </row>
    <row r="439" spans="1:33">
      <c r="A439" s="9"/>
    </row>
    <row r="440" spans="1:33">
      <c r="A440" s="17"/>
      <c r="B440" s="2"/>
    </row>
    <row r="441" spans="1:33">
      <c r="X441" t="s">
        <v>276</v>
      </c>
      <c r="Y441" t="s">
        <v>308</v>
      </c>
      <c r="Z441">
        <v>8.2040000000000006</v>
      </c>
      <c r="AA441">
        <v>8.2040000000000006</v>
      </c>
      <c r="AB441">
        <v>8.2040000000000006</v>
      </c>
      <c r="AC441">
        <v>8.2040000000000006</v>
      </c>
      <c r="AD441">
        <v>8.2040000000000006</v>
      </c>
      <c r="AE441">
        <v>8.2040000000000006</v>
      </c>
      <c r="AF441">
        <v>8.2040000000000006</v>
      </c>
      <c r="AG441">
        <v>8.2040000000000006</v>
      </c>
    </row>
    <row r="443" spans="1:33">
      <c r="X443" t="s">
        <v>272</v>
      </c>
      <c r="Y443" t="s">
        <v>308</v>
      </c>
      <c r="Z443">
        <v>4.6710000000000003</v>
      </c>
      <c r="AA443">
        <v>4.6710000000000003</v>
      </c>
      <c r="AB443">
        <v>4.6710000000000003</v>
      </c>
      <c r="AC443">
        <v>4.6710000000000003</v>
      </c>
      <c r="AD443">
        <v>4.6710000000000003</v>
      </c>
      <c r="AE443">
        <v>4.6710000000000003</v>
      </c>
      <c r="AF443">
        <v>4.6710000000000003</v>
      </c>
      <c r="AG443">
        <v>4.6710000000000003</v>
      </c>
    </row>
    <row r="445" spans="1:33">
      <c r="A445" s="9"/>
    </row>
    <row r="446" spans="1:33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33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33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33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33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33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33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3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33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33">
      <c r="A455" s="5"/>
      <c r="B455" s="5"/>
      <c r="C455" s="5"/>
      <c r="D455" s="5"/>
      <c r="E455" s="5"/>
      <c r="F455" s="5"/>
      <c r="G455" s="5"/>
      <c r="H455" s="5"/>
      <c r="I455" s="5"/>
    </row>
    <row r="456" spans="1:33">
      <c r="A456" s="5"/>
      <c r="B456" s="5"/>
      <c r="C456" s="5"/>
      <c r="D456" s="5"/>
      <c r="E456" s="5"/>
      <c r="F456" s="5"/>
      <c r="G456" s="5"/>
      <c r="H456" s="5"/>
      <c r="I456" s="5"/>
    </row>
    <row r="457" spans="1:33">
      <c r="A457" s="5"/>
      <c r="B457" s="5"/>
      <c r="C457" s="5"/>
      <c r="D457" s="5"/>
      <c r="E457" s="5"/>
      <c r="F457" s="5"/>
      <c r="G457" s="5"/>
      <c r="H457" s="5"/>
      <c r="I457" s="5"/>
    </row>
    <row r="458" spans="1:33">
      <c r="A458" s="5"/>
      <c r="B458" s="5"/>
      <c r="C458" s="5"/>
      <c r="D458" s="5"/>
      <c r="E458" s="5"/>
      <c r="F458" s="5"/>
      <c r="G458" s="5"/>
      <c r="H458" s="5"/>
      <c r="I458" s="5"/>
    </row>
    <row r="459" spans="1:33">
      <c r="A459" s="5"/>
      <c r="B459" s="5"/>
      <c r="C459" s="5"/>
      <c r="D459" s="5"/>
      <c r="E459" s="5"/>
      <c r="F459" s="5"/>
      <c r="G459" s="5"/>
      <c r="H459" s="5"/>
      <c r="I459" s="5"/>
      <c r="X459" t="s">
        <v>279</v>
      </c>
      <c r="Y459" t="s">
        <v>308</v>
      </c>
      <c r="Z459">
        <v>23.4</v>
      </c>
      <c r="AA459">
        <v>23.4</v>
      </c>
      <c r="AB459">
        <v>23.4</v>
      </c>
      <c r="AC459">
        <v>23.4</v>
      </c>
      <c r="AD459">
        <v>23.4</v>
      </c>
      <c r="AE459">
        <v>23.4</v>
      </c>
      <c r="AF459">
        <v>23.4</v>
      </c>
      <c r="AG459">
        <v>23.4</v>
      </c>
    </row>
    <row r="460" spans="1:33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33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33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3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33">
      <c r="A464" s="5"/>
      <c r="B464" s="5"/>
      <c r="C464" s="5"/>
      <c r="D464" s="5"/>
      <c r="E464" s="5"/>
      <c r="F464" s="5"/>
      <c r="G464" s="5"/>
      <c r="H464" s="5"/>
      <c r="I464" s="5"/>
      <c r="J464" s="5"/>
      <c r="X464" t="s">
        <v>281</v>
      </c>
      <c r="Y464" t="s">
        <v>308</v>
      </c>
      <c r="Z464">
        <v>4.55</v>
      </c>
      <c r="AA464">
        <v>4.55</v>
      </c>
      <c r="AB464">
        <v>4.55</v>
      </c>
      <c r="AC464">
        <v>4.55</v>
      </c>
      <c r="AD464">
        <v>4.55</v>
      </c>
      <c r="AE464">
        <v>4.55</v>
      </c>
      <c r="AF464">
        <v>4.55</v>
      </c>
      <c r="AG464">
        <v>4.55</v>
      </c>
    </row>
    <row r="465" spans="1:10">
      <c r="A465" s="9"/>
    </row>
    <row r="466" spans="1:10">
      <c r="A466" s="9"/>
    </row>
    <row r="467" spans="1:10">
      <c r="A467" s="9"/>
    </row>
    <row r="468" spans="1:10">
      <c r="A468" s="9"/>
    </row>
    <row r="471" spans="1:10">
      <c r="A471" s="9"/>
    </row>
    <row r="472" spans="1:10">
      <c r="A472" s="9"/>
    </row>
    <row r="473" spans="1:10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>
      <c r="A474" s="9"/>
    </row>
    <row r="475" spans="1:10">
      <c r="A475" s="9"/>
    </row>
    <row r="476" spans="1:10">
      <c r="A476" s="9"/>
    </row>
    <row r="477" spans="1:10">
      <c r="A477" s="9"/>
    </row>
    <row r="478" spans="1:10">
      <c r="A478" s="17"/>
      <c r="B478" s="2"/>
    </row>
    <row r="483" spans="1:10">
      <c r="A483" s="9"/>
    </row>
    <row r="484" spans="1:10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>
      <c r="A493" s="5"/>
      <c r="B493" s="5"/>
      <c r="C493" s="5"/>
      <c r="D493" s="5"/>
      <c r="E493" s="5"/>
      <c r="F493" s="5"/>
      <c r="G493" s="5"/>
      <c r="H493" s="5"/>
      <c r="I493" s="5"/>
    </row>
    <row r="494" spans="1:10">
      <c r="A494" s="5"/>
      <c r="B494" s="5"/>
      <c r="C494" s="5"/>
      <c r="D494" s="5"/>
      <c r="E494" s="5"/>
      <c r="F494" s="5"/>
      <c r="G494" s="5"/>
      <c r="H494" s="5"/>
      <c r="I494" s="5"/>
    </row>
    <row r="495" spans="1:10">
      <c r="A495" s="5"/>
      <c r="B495" s="5"/>
      <c r="C495" s="5"/>
      <c r="D495" s="5"/>
      <c r="E495" s="5"/>
      <c r="F495" s="5"/>
      <c r="G495" s="5"/>
      <c r="H495" s="5"/>
      <c r="I495" s="5"/>
    </row>
    <row r="496" spans="1:10">
      <c r="A496" s="5"/>
      <c r="B496" s="5"/>
      <c r="C496" s="5"/>
      <c r="D496" s="5"/>
      <c r="E496" s="5"/>
      <c r="F496" s="5"/>
      <c r="G496" s="5"/>
      <c r="H496" s="5"/>
      <c r="I496" s="5"/>
    </row>
    <row r="497" spans="1:10">
      <c r="A497" s="5"/>
      <c r="B497" s="5"/>
      <c r="C497" s="5"/>
      <c r="D497" s="5"/>
      <c r="E497" s="5"/>
      <c r="F497" s="5"/>
      <c r="G497" s="5"/>
      <c r="H497" s="5"/>
      <c r="I497" s="5"/>
    </row>
    <row r="498" spans="1:10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9"/>
    </row>
    <row r="504" spans="1:10">
      <c r="A504" s="9"/>
    </row>
    <row r="505" spans="1:10">
      <c r="A505" s="9"/>
    </row>
    <row r="506" spans="1:10">
      <c r="A506" s="9"/>
    </row>
    <row r="510" spans="1:10">
      <c r="A510" s="9"/>
    </row>
    <row r="511" spans="1:10">
      <c r="A511" s="9"/>
    </row>
    <row r="512" spans="1:10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>
      <c r="A513" s="9"/>
    </row>
    <row r="514" spans="1:10">
      <c r="A514" s="9"/>
    </row>
    <row r="515" spans="1:10">
      <c r="A515" s="9"/>
    </row>
    <row r="516" spans="1:10">
      <c r="A516" s="9"/>
    </row>
    <row r="520" spans="1:10">
      <c r="A520" s="9"/>
    </row>
    <row r="521" spans="1:10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>
      <c r="A529" s="5"/>
      <c r="B529" s="5"/>
      <c r="C529" s="5"/>
      <c r="D529" s="5"/>
      <c r="E529" s="5"/>
      <c r="F529" s="5"/>
      <c r="G529" s="5"/>
      <c r="H529" s="5"/>
      <c r="I529" s="5"/>
    </row>
    <row r="530" spans="1:10">
      <c r="A530" s="5"/>
      <c r="B530" s="5"/>
      <c r="C530" s="5"/>
      <c r="D530" s="5"/>
      <c r="E530" s="5"/>
      <c r="F530" s="5"/>
      <c r="G530" s="5"/>
      <c r="H530" s="5"/>
      <c r="I530" s="5"/>
    </row>
    <row r="531" spans="1:10">
      <c r="A531" s="5"/>
      <c r="B531" s="5"/>
      <c r="C531" s="5"/>
      <c r="D531" s="5"/>
      <c r="E531" s="5"/>
      <c r="F531" s="5"/>
      <c r="G531" s="5"/>
      <c r="H531" s="5"/>
      <c r="I531" s="5"/>
    </row>
    <row r="532" spans="1:10">
      <c r="A532" s="5"/>
      <c r="B532" s="5"/>
      <c r="C532" s="5"/>
      <c r="D532" s="5"/>
      <c r="E532" s="5"/>
      <c r="F532" s="5"/>
      <c r="G532" s="5"/>
      <c r="H532" s="5"/>
      <c r="I532" s="5"/>
    </row>
    <row r="533" spans="1:10">
      <c r="A533" s="5"/>
      <c r="B533" s="5"/>
      <c r="C533" s="5"/>
      <c r="D533" s="5"/>
      <c r="E533" s="5"/>
      <c r="F533" s="5"/>
      <c r="G533" s="5"/>
      <c r="H533" s="5"/>
      <c r="I533" s="5"/>
    </row>
    <row r="534" spans="1:10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>
      <c r="A539" s="9"/>
    </row>
    <row r="540" spans="1:10">
      <c r="A540" s="9"/>
    </row>
    <row r="541" spans="1:10">
      <c r="A541" s="9"/>
    </row>
    <row r="542" spans="1:10">
      <c r="A542" s="9"/>
    </row>
    <row r="546" spans="1:10">
      <c r="A546" s="9"/>
    </row>
    <row r="547" spans="1:10">
      <c r="A547" s="9"/>
    </row>
    <row r="548" spans="1:10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>
      <c r="A549" s="9"/>
    </row>
    <row r="550" spans="1:10">
      <c r="A550" s="9"/>
    </row>
    <row r="551" spans="1:10">
      <c r="A551" s="9"/>
    </row>
    <row r="552" spans="1:10">
      <c r="A552" s="9"/>
    </row>
    <row r="553" spans="1:10">
      <c r="A553" s="17"/>
      <c r="B553" s="2"/>
    </row>
    <row r="554" spans="1:10">
      <c r="A554" s="17"/>
      <c r="B554" s="17"/>
      <c r="D554" s="5"/>
      <c r="E554" s="5"/>
      <c r="F554" s="5"/>
      <c r="G554" s="5"/>
      <c r="H554" s="5"/>
      <c r="I554" s="5"/>
    </row>
    <row r="559" spans="1:10">
      <c r="A559" s="9"/>
    </row>
    <row r="560" spans="1:1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>
      <c r="A568" s="5"/>
      <c r="B568" s="5"/>
      <c r="C568" s="5"/>
      <c r="D568" s="5"/>
      <c r="E568" s="5"/>
      <c r="F568" s="5"/>
      <c r="G568" s="5"/>
      <c r="H568" s="5"/>
      <c r="I568" s="5"/>
    </row>
    <row r="569" spans="1:10">
      <c r="A569" s="5"/>
      <c r="B569" s="5"/>
      <c r="C569" s="5"/>
      <c r="D569" s="5"/>
      <c r="E569" s="5"/>
      <c r="F569" s="5"/>
      <c r="G569" s="5"/>
      <c r="H569" s="5"/>
      <c r="I569" s="5"/>
    </row>
    <row r="570" spans="1:10">
      <c r="A570" s="5"/>
      <c r="B570" s="5"/>
      <c r="C570" s="5"/>
      <c r="D570" s="5"/>
      <c r="E570" s="5"/>
      <c r="F570" s="5"/>
      <c r="G570" s="5"/>
      <c r="H570" s="5"/>
      <c r="I570" s="5"/>
    </row>
    <row r="571" spans="1:10">
      <c r="A571" s="5"/>
      <c r="B571" s="5"/>
      <c r="C571" s="5"/>
      <c r="D571" s="5"/>
      <c r="E571" s="5"/>
      <c r="F571" s="5"/>
      <c r="G571" s="5"/>
      <c r="H571" s="5"/>
      <c r="I571" s="5"/>
    </row>
    <row r="572" spans="1:10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>
      <c r="A577" s="9"/>
    </row>
    <row r="578" spans="1:10">
      <c r="A578" s="9"/>
    </row>
    <row r="579" spans="1:10">
      <c r="A579" s="9"/>
    </row>
    <row r="580" spans="1:10">
      <c r="A580" s="9"/>
    </row>
    <row r="584" spans="1:10">
      <c r="A584" s="9"/>
    </row>
    <row r="585" spans="1:10">
      <c r="A585" s="9"/>
    </row>
    <row r="586" spans="1:10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>
      <c r="A587" s="9"/>
    </row>
    <row r="588" spans="1:10">
      <c r="A588" s="9"/>
    </row>
    <row r="589" spans="1:10">
      <c r="A589" s="9"/>
    </row>
    <row r="590" spans="1:10">
      <c r="A590" s="9"/>
    </row>
    <row r="591" spans="1:10">
      <c r="A591" s="9"/>
    </row>
    <row r="592" spans="1:10">
      <c r="A592" s="17"/>
      <c r="B592" s="2"/>
    </row>
    <row r="596" spans="1:10">
      <c r="A596" s="9"/>
    </row>
    <row r="597" spans="1:10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>
      <c r="A604" s="5"/>
      <c r="B604" s="5"/>
      <c r="C604" s="5"/>
      <c r="D604" s="5"/>
      <c r="E604" s="5"/>
      <c r="F604" s="5"/>
      <c r="G604" s="5"/>
      <c r="H604" s="5"/>
      <c r="I604" s="5"/>
    </row>
    <row r="605" spans="1:10">
      <c r="A605" s="5"/>
      <c r="B605" s="5"/>
      <c r="C605" s="5"/>
      <c r="D605" s="5"/>
      <c r="E605" s="5"/>
      <c r="F605" s="5"/>
      <c r="G605" s="5"/>
      <c r="H605" s="5"/>
      <c r="I605" s="5"/>
    </row>
    <row r="606" spans="1:10">
      <c r="A606" s="5"/>
      <c r="B606" s="5"/>
      <c r="C606" s="5"/>
      <c r="D606" s="5"/>
      <c r="E606" s="5"/>
      <c r="F606" s="5"/>
      <c r="G606" s="5"/>
      <c r="H606" s="5"/>
      <c r="I606" s="5"/>
    </row>
    <row r="607" spans="1:10">
      <c r="A607" s="5"/>
      <c r="B607" s="5"/>
      <c r="C607" s="5"/>
      <c r="D607" s="5"/>
      <c r="E607" s="5"/>
      <c r="F607" s="5"/>
      <c r="G607" s="5"/>
      <c r="H607" s="5"/>
      <c r="I607" s="5"/>
    </row>
    <row r="608" spans="1:10">
      <c r="A608" s="5"/>
      <c r="B608" s="5"/>
      <c r="C608" s="5"/>
      <c r="D608" s="5"/>
      <c r="E608" s="5"/>
      <c r="F608" s="5"/>
      <c r="G608" s="5"/>
      <c r="H608" s="5"/>
      <c r="I608" s="5"/>
    </row>
    <row r="609" spans="1:10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>
      <c r="A614" s="9"/>
    </row>
    <row r="615" spans="1:10">
      <c r="A615" s="9"/>
    </row>
    <row r="616" spans="1:10">
      <c r="A616" s="9"/>
    </row>
    <row r="617" spans="1:10">
      <c r="A617" s="9"/>
    </row>
    <row r="621" spans="1:10">
      <c r="A621" s="9"/>
    </row>
    <row r="622" spans="1:10">
      <c r="A622" s="9"/>
    </row>
    <row r="623" spans="1:10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>
      <c r="A624" s="9"/>
    </row>
    <row r="625" spans="1:10">
      <c r="A625" s="9"/>
    </row>
    <row r="626" spans="1:10">
      <c r="A626" s="9"/>
    </row>
    <row r="627" spans="1:10">
      <c r="A627" s="9"/>
    </row>
    <row r="628" spans="1:10">
      <c r="A628" s="17"/>
      <c r="B628" s="2"/>
    </row>
    <row r="631" spans="1:10">
      <c r="A631" s="9"/>
    </row>
    <row r="632" spans="1:10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>
      <c r="A640" s="5"/>
      <c r="B640" s="5"/>
      <c r="C640" s="5"/>
      <c r="D640" s="5"/>
      <c r="E640" s="5"/>
      <c r="F640" s="5"/>
      <c r="G640" s="5"/>
      <c r="H640" s="5"/>
      <c r="I640" s="5"/>
    </row>
    <row r="641" spans="1:10">
      <c r="A641" s="5"/>
      <c r="B641" s="5"/>
      <c r="C641" s="5"/>
      <c r="D641" s="5"/>
      <c r="E641" s="5"/>
      <c r="F641" s="5"/>
      <c r="G641" s="5"/>
      <c r="H641" s="5"/>
      <c r="I641" s="5"/>
    </row>
    <row r="642" spans="1:10">
      <c r="A642" s="5"/>
      <c r="B642" s="5"/>
      <c r="C642" s="5"/>
      <c r="D642" s="5"/>
      <c r="E642" s="5"/>
      <c r="F642" s="5"/>
      <c r="G642" s="5"/>
      <c r="H642" s="5"/>
      <c r="I642" s="5"/>
    </row>
    <row r="643" spans="1:10">
      <c r="A643" s="5"/>
      <c r="B643" s="5"/>
      <c r="C643" s="5"/>
      <c r="D643" s="5"/>
      <c r="E643" s="5"/>
      <c r="F643" s="5"/>
      <c r="G643" s="5"/>
      <c r="H643" s="5"/>
      <c r="I643" s="5"/>
    </row>
    <row r="644" spans="1:10">
      <c r="A644" s="5"/>
      <c r="B644" s="5"/>
      <c r="C644" s="5"/>
      <c r="D644" s="5"/>
      <c r="E644" s="5"/>
      <c r="F644" s="5"/>
      <c r="G644" s="5"/>
      <c r="H644" s="5"/>
      <c r="I644" s="5"/>
    </row>
    <row r="645" spans="1:10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>
      <c r="A648" s="9"/>
    </row>
    <row r="649" spans="1:10">
      <c r="A649" s="9"/>
    </row>
    <row r="650" spans="1:10">
      <c r="A650" s="9"/>
    </row>
    <row r="651" spans="1:10">
      <c r="A651" s="9"/>
    </row>
    <row r="654" spans="1:10">
      <c r="A654" s="9"/>
    </row>
    <row r="655" spans="1:10">
      <c r="A655" s="9"/>
    </row>
    <row r="656" spans="1:10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>
      <c r="A657" s="9"/>
    </row>
    <row r="658" spans="1:10">
      <c r="A658" s="9"/>
    </row>
    <row r="659" spans="1:10">
      <c r="A659" s="9"/>
    </row>
    <row r="660" spans="1:10">
      <c r="A660" s="9"/>
    </row>
    <row r="664" spans="1:10">
      <c r="A664" s="9"/>
    </row>
    <row r="665" spans="1:10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>
      <c r="A672" s="5"/>
      <c r="B672" s="5"/>
      <c r="C672" s="5"/>
      <c r="D672" s="5"/>
      <c r="E672" s="5"/>
      <c r="F672" s="5"/>
      <c r="G672" s="5"/>
      <c r="H672" s="5"/>
      <c r="I672" s="5"/>
    </row>
    <row r="673" spans="1:10">
      <c r="A673" s="5"/>
      <c r="B673" s="5"/>
      <c r="C673" s="5"/>
      <c r="D673" s="5"/>
      <c r="E673" s="5"/>
      <c r="F673" s="5"/>
      <c r="G673" s="5"/>
      <c r="H673" s="5"/>
      <c r="I673" s="5"/>
    </row>
    <row r="674" spans="1:10">
      <c r="A674" s="5"/>
      <c r="B674" s="5"/>
      <c r="C674" s="5"/>
      <c r="D674" s="5"/>
      <c r="E674" s="5"/>
      <c r="F674" s="5"/>
      <c r="G674" s="5"/>
      <c r="H674" s="5"/>
      <c r="I674" s="5"/>
    </row>
    <row r="675" spans="1:10">
      <c r="A675" s="5"/>
      <c r="B675" s="5"/>
      <c r="C675" s="5"/>
      <c r="D675" s="5"/>
      <c r="E675" s="5"/>
      <c r="F675" s="5"/>
      <c r="G675" s="5"/>
      <c r="H675" s="5"/>
      <c r="I675" s="5"/>
    </row>
    <row r="676" spans="1:10">
      <c r="A676" s="5"/>
      <c r="B676" s="5"/>
      <c r="C676" s="5"/>
      <c r="D676" s="5"/>
      <c r="E676" s="5"/>
      <c r="F676" s="5"/>
      <c r="G676" s="5"/>
      <c r="H676" s="5"/>
      <c r="I676" s="5"/>
    </row>
    <row r="677" spans="1:10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>
      <c r="A682" s="9"/>
    </row>
    <row r="683" spans="1:10">
      <c r="A683" s="9"/>
    </row>
    <row r="684" spans="1:10">
      <c r="A684" s="9"/>
    </row>
    <row r="685" spans="1:10">
      <c r="A685" s="9"/>
    </row>
    <row r="688" spans="1:10">
      <c r="A688" s="9"/>
    </row>
    <row r="689" spans="1:10">
      <c r="A689" s="9"/>
    </row>
    <row r="690" spans="1:1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>
      <c r="A691" s="9"/>
    </row>
    <row r="692" spans="1:10">
      <c r="A692" s="9"/>
    </row>
    <row r="693" spans="1:10">
      <c r="A693" s="9"/>
    </row>
    <row r="694" spans="1:10">
      <c r="A694" s="9"/>
    </row>
    <row r="695" spans="1:10">
      <c r="A695" s="9"/>
    </row>
    <row r="696" spans="1:10">
      <c r="A696" s="9"/>
    </row>
    <row r="697" spans="1:10">
      <c r="A697" s="9"/>
    </row>
    <row r="698" spans="1:10">
      <c r="A698" s="9"/>
    </row>
    <row r="699" spans="1:10">
      <c r="A699" s="9"/>
    </row>
    <row r="700" spans="1:10">
      <c r="A700" s="9"/>
    </row>
    <row r="701" spans="1:10">
      <c r="A701" s="9"/>
    </row>
    <row r="702" spans="1:10">
      <c r="A702" s="9"/>
    </row>
    <row r="703" spans="1:10">
      <c r="A703" s="9"/>
    </row>
    <row r="704" spans="1:10">
      <c r="A704" s="9"/>
    </row>
    <row r="705" spans="1:3">
      <c r="A705" s="9"/>
    </row>
    <row r="706" spans="1:3">
      <c r="A706" s="9"/>
    </row>
    <row r="707" spans="1:3">
      <c r="A707" s="9"/>
    </row>
    <row r="708" spans="1:3">
      <c r="A708" s="9"/>
    </row>
    <row r="709" spans="1:3">
      <c r="A709" s="9"/>
    </row>
    <row r="710" spans="1:3">
      <c r="A710" s="9"/>
    </row>
    <row r="711" spans="1:3">
      <c r="A711" s="9"/>
    </row>
    <row r="712" spans="1:3">
      <c r="A712" s="9"/>
    </row>
    <row r="713" spans="1:3">
      <c r="A713" s="9"/>
    </row>
    <row r="714" spans="1:3">
      <c r="A714" s="15"/>
      <c r="B714" s="15"/>
      <c r="C714" s="15"/>
    </row>
    <row r="715" spans="1:3">
      <c r="A715" s="15"/>
      <c r="B715" s="15"/>
      <c r="C715" s="15"/>
    </row>
    <row r="722" spans="1:10">
      <c r="A722" s="9"/>
    </row>
    <row r="723" spans="1:10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>
      <c r="A731" s="5"/>
      <c r="B731" s="5"/>
      <c r="C731" s="5"/>
      <c r="D731" s="5"/>
      <c r="E731" s="5"/>
      <c r="F731" s="5"/>
      <c r="G731" s="5"/>
      <c r="H731" s="5"/>
      <c r="I731" s="5"/>
    </row>
    <row r="732" spans="1:10">
      <c r="A732" s="5"/>
      <c r="B732" s="5"/>
      <c r="C732" s="5"/>
      <c r="D732" s="5"/>
      <c r="E732" s="5"/>
      <c r="F732" s="5"/>
      <c r="G732" s="5"/>
      <c r="H732" s="5"/>
      <c r="I732" s="5"/>
    </row>
    <row r="733" spans="1:10">
      <c r="A733" s="5"/>
      <c r="B733" s="5"/>
      <c r="C733" s="5"/>
      <c r="D733" s="5"/>
      <c r="E733" s="5"/>
      <c r="F733" s="5"/>
      <c r="G733" s="5"/>
      <c r="H733" s="5"/>
      <c r="I733" s="5"/>
    </row>
    <row r="734" spans="1:10">
      <c r="A734" s="5"/>
      <c r="B734" s="5"/>
      <c r="C734" s="5"/>
      <c r="D734" s="5"/>
      <c r="E734" s="5"/>
      <c r="F734" s="5"/>
      <c r="G734" s="5"/>
      <c r="H734" s="5"/>
      <c r="I734" s="5"/>
    </row>
    <row r="735" spans="1:10">
      <c r="A735" s="5"/>
      <c r="B735" s="5"/>
      <c r="C735" s="5"/>
      <c r="D735" s="5"/>
      <c r="E735" s="5"/>
      <c r="F735" s="5"/>
      <c r="G735" s="5"/>
      <c r="H735" s="5"/>
      <c r="I735" s="5"/>
    </row>
    <row r="736" spans="1:10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>
      <c r="A741" s="9"/>
    </row>
    <row r="742" spans="1:10">
      <c r="A742" s="9"/>
    </row>
    <row r="743" spans="1:10">
      <c r="A743" s="9"/>
    </row>
    <row r="744" spans="1:10">
      <c r="A744" s="9"/>
    </row>
    <row r="748" spans="1:10">
      <c r="A748" s="9"/>
    </row>
    <row r="749" spans="1:10">
      <c r="A749" s="9"/>
    </row>
    <row r="750" spans="1:1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>
      <c r="A751" s="9"/>
    </row>
    <row r="752" spans="1:10">
      <c r="A752" s="9"/>
    </row>
    <row r="753" spans="1:10">
      <c r="A753" s="9"/>
    </row>
    <row r="754" spans="1:10">
      <c r="A754" s="9"/>
    </row>
    <row r="755" spans="1:10">
      <c r="A755" s="17"/>
      <c r="B755" s="2"/>
    </row>
    <row r="756" spans="1:10">
      <c r="A756" s="15"/>
      <c r="B756" s="15"/>
      <c r="C756" s="15"/>
    </row>
    <row r="757" spans="1:10">
      <c r="A757" s="15"/>
      <c r="B757" s="15"/>
      <c r="C757" s="15"/>
    </row>
    <row r="758" spans="1:10">
      <c r="A758" s="9"/>
    </row>
    <row r="759" spans="1:10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>
      <c r="A766" s="5"/>
      <c r="B766" s="5"/>
      <c r="C766" s="5"/>
      <c r="D766" s="5"/>
      <c r="E766" s="5"/>
      <c r="F766" s="5"/>
      <c r="G766" s="5"/>
      <c r="H766" s="5"/>
      <c r="I766" s="5"/>
    </row>
    <row r="767" spans="1:10">
      <c r="A767" s="5"/>
      <c r="B767" s="5"/>
      <c r="C767" s="5"/>
      <c r="D767" s="5"/>
      <c r="E767" s="5"/>
      <c r="F767" s="5"/>
      <c r="G767" s="5"/>
      <c r="H767" s="5"/>
      <c r="I767" s="5"/>
    </row>
    <row r="768" spans="1:10">
      <c r="A768" s="5"/>
      <c r="B768" s="5"/>
      <c r="C768" s="5"/>
      <c r="D768" s="5"/>
      <c r="E768" s="5"/>
      <c r="F768" s="5"/>
      <c r="G768" s="5"/>
      <c r="H768" s="5"/>
      <c r="I768" s="5"/>
    </row>
    <row r="769" spans="1:10">
      <c r="A769" s="5"/>
      <c r="B769" s="5"/>
      <c r="C769" s="5"/>
      <c r="D769" s="5"/>
      <c r="E769" s="5"/>
      <c r="F769" s="5"/>
      <c r="G769" s="5"/>
      <c r="H769" s="5"/>
      <c r="I769" s="5"/>
    </row>
    <row r="770" spans="1:1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>
      <c r="A775" s="9"/>
    </row>
    <row r="776" spans="1:10">
      <c r="A776" s="9"/>
    </row>
    <row r="777" spans="1:10">
      <c r="A777" s="9"/>
    </row>
    <row r="778" spans="1:10">
      <c r="A778" s="9"/>
    </row>
    <row r="781" spans="1:10">
      <c r="A781" s="9"/>
    </row>
    <row r="782" spans="1:10">
      <c r="A782" s="9"/>
    </row>
    <row r="783" spans="1:10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>
      <c r="A784" s="9"/>
    </row>
    <row r="785" spans="1:10">
      <c r="A785" s="9"/>
    </row>
    <row r="786" spans="1:10">
      <c r="A786" s="9"/>
    </row>
    <row r="787" spans="1:10">
      <c r="A787" s="9"/>
    </row>
    <row r="788" spans="1:10">
      <c r="A788" s="9"/>
    </row>
    <row r="789" spans="1:10">
      <c r="A789" s="17"/>
      <c r="B789" s="2"/>
    </row>
    <row r="790" spans="1:10">
      <c r="A790" s="15"/>
      <c r="B790" s="15"/>
      <c r="C790" s="15"/>
    </row>
    <row r="791" spans="1:10">
      <c r="A791" s="15"/>
      <c r="B791" s="15"/>
      <c r="C791" s="15"/>
    </row>
    <row r="792" spans="1:10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>
      <c r="A801" s="5"/>
      <c r="B801" s="5"/>
      <c r="C801" s="5"/>
      <c r="D801" s="5"/>
      <c r="E801" s="5"/>
      <c r="F801" s="5"/>
      <c r="G801" s="5"/>
      <c r="H801" s="5"/>
      <c r="I801" s="5"/>
    </row>
    <row r="802" spans="1:10">
      <c r="A802" s="5"/>
      <c r="B802" s="5"/>
      <c r="C802" s="5"/>
      <c r="D802" s="5"/>
      <c r="E802" s="5"/>
      <c r="F802" s="5"/>
      <c r="G802" s="5"/>
      <c r="H802" s="5"/>
      <c r="I802" s="5"/>
    </row>
    <row r="803" spans="1:10">
      <c r="A803" s="5"/>
      <c r="B803" s="5"/>
      <c r="C803" s="5"/>
      <c r="D803" s="5"/>
      <c r="E803" s="5"/>
      <c r="F803" s="5"/>
      <c r="G803" s="5"/>
      <c r="H803" s="5"/>
      <c r="I803" s="5"/>
    </row>
    <row r="804" spans="1:10">
      <c r="A804" s="5"/>
      <c r="B804" s="5"/>
      <c r="C804" s="5"/>
      <c r="D804" s="5"/>
      <c r="E804" s="5"/>
      <c r="F804" s="5"/>
      <c r="G804" s="5"/>
      <c r="H804" s="5"/>
      <c r="I804" s="5"/>
    </row>
    <row r="805" spans="1:10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>
      <c r="A810" s="17"/>
      <c r="C810" s="5"/>
      <c r="D810" s="5"/>
      <c r="E810" s="5"/>
      <c r="F810" s="5"/>
      <c r="G810" s="5"/>
      <c r="H810" s="5"/>
      <c r="I810" s="5"/>
      <c r="J810" s="5"/>
    </row>
    <row r="811" spans="1:10">
      <c r="A811" s="17"/>
      <c r="C811" s="5"/>
      <c r="D811" s="5"/>
      <c r="E811" s="5"/>
      <c r="F811" s="5"/>
      <c r="G811" s="5"/>
      <c r="H811" s="5"/>
      <c r="I811" s="5"/>
      <c r="J811" s="5"/>
    </row>
    <row r="812" spans="1:10">
      <c r="A812" s="17"/>
      <c r="C812" s="5"/>
      <c r="D812" s="5"/>
      <c r="E812" s="5"/>
      <c r="F812" s="5"/>
      <c r="G812" s="5"/>
      <c r="H812" s="5"/>
      <c r="I812" s="5"/>
      <c r="J812" s="5"/>
    </row>
    <row r="813" spans="1:10">
      <c r="A813" s="17"/>
      <c r="C813" s="5"/>
      <c r="D813" s="5"/>
      <c r="E813" s="5"/>
      <c r="F813" s="5"/>
      <c r="G813" s="5"/>
      <c r="H813" s="5"/>
      <c r="I813" s="5"/>
      <c r="J813" s="5"/>
    </row>
    <row r="814" spans="1:10">
      <c r="A814" s="17"/>
      <c r="C814" s="5"/>
      <c r="D814" s="5"/>
      <c r="E814" s="5"/>
      <c r="F814" s="5"/>
      <c r="G814" s="5"/>
      <c r="H814" s="5"/>
      <c r="I814" s="5"/>
      <c r="J814" s="5"/>
    </row>
    <row r="815" spans="1:10">
      <c r="A815" s="17"/>
      <c r="C815" s="5"/>
      <c r="D815" s="5"/>
      <c r="E815" s="5"/>
      <c r="F815" s="5"/>
      <c r="G815" s="5"/>
      <c r="H815" s="5"/>
      <c r="I815" s="5"/>
      <c r="J815" s="5"/>
    </row>
    <row r="816" spans="1:10">
      <c r="A816" s="17"/>
      <c r="B816" s="5"/>
      <c r="C816" s="5"/>
      <c r="D816" s="5"/>
      <c r="E816" s="5"/>
      <c r="F816" s="5"/>
      <c r="G816" s="5"/>
      <c r="H816" s="5"/>
      <c r="I816" s="5"/>
      <c r="J816" s="5"/>
    </row>
    <row r="817" spans="1:10">
      <c r="A817" s="17"/>
      <c r="C817" s="5"/>
      <c r="D817" s="5"/>
      <c r="E817" s="5"/>
      <c r="F817" s="5"/>
      <c r="G817" s="5"/>
      <c r="H817" s="5"/>
      <c r="I817" s="5"/>
      <c r="J817" s="5"/>
    </row>
    <row r="818" spans="1:10">
      <c r="A818" s="17"/>
      <c r="C818" s="5"/>
      <c r="D818" s="5"/>
      <c r="E818" s="5"/>
      <c r="F818" s="5"/>
      <c r="G818" s="5"/>
      <c r="H818" s="5"/>
      <c r="I818" s="5"/>
      <c r="J818" s="5"/>
    </row>
    <row r="819" spans="1:10">
      <c r="A819" s="17"/>
      <c r="C819" s="5"/>
      <c r="D819" s="5"/>
      <c r="E819" s="5"/>
      <c r="F819" s="5"/>
      <c r="G819" s="5"/>
      <c r="H819" s="5"/>
      <c r="I819" s="5"/>
      <c r="J819" s="5"/>
    </row>
    <row r="820" spans="1:10">
      <c r="A820" s="17"/>
      <c r="C820" s="5"/>
      <c r="D820" s="5"/>
      <c r="E820" s="5"/>
      <c r="F820" s="5"/>
      <c r="G820" s="5"/>
      <c r="H820" s="5"/>
      <c r="I820" s="5"/>
      <c r="J820" s="5"/>
    </row>
    <row r="825" spans="1:10">
      <c r="A825" s="9"/>
    </row>
    <row r="826" spans="1:10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>
      <c r="A835" s="5"/>
      <c r="B835" s="5"/>
      <c r="C835" s="5"/>
      <c r="D835" s="5"/>
      <c r="E835" s="5"/>
      <c r="F835" s="5"/>
      <c r="G835" s="5"/>
      <c r="H835" s="5"/>
      <c r="I835" s="5"/>
    </row>
    <row r="836" spans="1:10">
      <c r="A836" s="5"/>
      <c r="B836" s="5"/>
      <c r="C836" s="5"/>
      <c r="D836" s="5"/>
      <c r="E836" s="5"/>
      <c r="F836" s="5"/>
      <c r="G836" s="5"/>
      <c r="H836" s="5"/>
      <c r="I836" s="5"/>
    </row>
    <row r="837" spans="1:10">
      <c r="A837" s="5"/>
      <c r="B837" s="5"/>
      <c r="C837" s="5"/>
      <c r="D837" s="5"/>
      <c r="E837" s="5"/>
      <c r="F837" s="5"/>
      <c r="G837" s="5"/>
      <c r="H837" s="5"/>
      <c r="I837" s="5"/>
    </row>
    <row r="838" spans="1:10">
      <c r="A838" s="5"/>
      <c r="B838" s="5"/>
      <c r="C838" s="5"/>
      <c r="D838" s="5"/>
      <c r="E838" s="5"/>
      <c r="F838" s="5"/>
      <c r="G838" s="5"/>
      <c r="H838" s="5"/>
      <c r="I838" s="5"/>
    </row>
    <row r="839" spans="1:10">
      <c r="A839" s="5"/>
      <c r="B839" s="5"/>
      <c r="C839" s="5"/>
      <c r="D839" s="5"/>
      <c r="E839" s="5"/>
      <c r="F839" s="5"/>
      <c r="G839" s="5"/>
      <c r="H839" s="5"/>
      <c r="I839" s="5"/>
    </row>
    <row r="840" spans="1:1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>
      <c r="A845" s="9"/>
    </row>
    <row r="846" spans="1:10">
      <c r="A846" s="9"/>
    </row>
    <row r="847" spans="1:10">
      <c r="A847" s="9"/>
    </row>
    <row r="848" spans="1:10">
      <c r="A848" s="9"/>
    </row>
    <row r="851" spans="1:10">
      <c r="A851" s="9"/>
    </row>
    <row r="852" spans="1:10">
      <c r="A852" s="9"/>
    </row>
    <row r="853" spans="1:10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>
      <c r="A854" s="9"/>
    </row>
    <row r="855" spans="1:10">
      <c r="A855" s="9"/>
    </row>
    <row r="856" spans="1:10">
      <c r="A856" s="9"/>
    </row>
    <row r="857" spans="1:10">
      <c r="A857" s="9"/>
    </row>
    <row r="858" spans="1:10">
      <c r="A858" s="17"/>
      <c r="B858" s="2"/>
    </row>
    <row r="862" spans="1:10">
      <c r="A862" s="9"/>
    </row>
    <row r="863" spans="1:10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>
      <c r="A870" s="5"/>
      <c r="B870" s="5"/>
      <c r="C870" s="5"/>
      <c r="D870" s="5"/>
      <c r="E870" s="5"/>
      <c r="F870" s="5"/>
      <c r="G870" s="5"/>
      <c r="H870" s="5"/>
      <c r="I870" s="5"/>
    </row>
    <row r="871" spans="1:10">
      <c r="A871" s="5"/>
      <c r="B871" s="5"/>
      <c r="C871" s="5"/>
      <c r="D871" s="5"/>
      <c r="E871" s="5"/>
      <c r="F871" s="5"/>
      <c r="G871" s="5"/>
      <c r="H871" s="5"/>
      <c r="I871" s="5"/>
    </row>
    <row r="872" spans="1:10">
      <c r="A872" s="5"/>
      <c r="B872" s="5"/>
      <c r="C872" s="5"/>
      <c r="D872" s="5"/>
      <c r="E872" s="5"/>
      <c r="F872" s="5"/>
      <c r="G872" s="5"/>
      <c r="H872" s="5"/>
      <c r="I872" s="5"/>
    </row>
    <row r="873" spans="1:10">
      <c r="A873" s="5"/>
      <c r="B873" s="5"/>
      <c r="C873" s="5"/>
      <c r="D873" s="5"/>
      <c r="E873" s="5"/>
      <c r="F873" s="5"/>
      <c r="G873" s="5"/>
      <c r="H873" s="5"/>
      <c r="I873" s="5"/>
    </row>
    <row r="874" spans="1:10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>
      <c r="A879" s="9"/>
    </row>
    <row r="880" spans="1:10">
      <c r="A880" s="9"/>
    </row>
    <row r="881" spans="1:10">
      <c r="A881" s="9"/>
    </row>
    <row r="882" spans="1:10">
      <c r="A882" s="9"/>
    </row>
    <row r="885" spans="1:10">
      <c r="A885" s="9"/>
    </row>
    <row r="886" spans="1:10">
      <c r="A886" s="9"/>
    </row>
    <row r="887" spans="1:10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>
      <c r="A888" s="9"/>
    </row>
    <row r="889" spans="1:10">
      <c r="A889" s="9"/>
    </row>
    <row r="890" spans="1:10">
      <c r="A890" s="9"/>
    </row>
    <row r="891" spans="1:10">
      <c r="A891" s="9"/>
    </row>
    <row r="892" spans="1:10">
      <c r="A892" s="17"/>
      <c r="B892" s="2"/>
    </row>
    <row r="898" spans="1:10">
      <c r="A898" s="9"/>
    </row>
    <row r="899" spans="1:10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>
      <c r="A908" s="5"/>
      <c r="B908" s="5"/>
      <c r="C908" s="5"/>
      <c r="D908" s="5"/>
      <c r="E908" s="5"/>
      <c r="F908" s="5"/>
      <c r="G908" s="5"/>
      <c r="H908" s="5"/>
      <c r="I908" s="5"/>
    </row>
    <row r="909" spans="1:10">
      <c r="A909" s="5"/>
      <c r="B909" s="5"/>
      <c r="C909" s="5"/>
      <c r="D909" s="5"/>
      <c r="E909" s="5"/>
      <c r="F909" s="5"/>
      <c r="G909" s="5"/>
      <c r="H909" s="5"/>
      <c r="I909" s="5"/>
    </row>
    <row r="910" spans="1:10">
      <c r="A910" s="5"/>
      <c r="B910" s="5"/>
      <c r="C910" s="5"/>
      <c r="D910" s="5"/>
      <c r="E910" s="5"/>
      <c r="F910" s="5"/>
      <c r="G910" s="5"/>
      <c r="H910" s="5"/>
      <c r="I910" s="5"/>
    </row>
    <row r="911" spans="1:10">
      <c r="A911" s="5"/>
      <c r="B911" s="5"/>
      <c r="C911" s="5"/>
      <c r="D911" s="5"/>
      <c r="E911" s="5"/>
      <c r="F911" s="5"/>
      <c r="G911" s="5"/>
      <c r="H911" s="5"/>
      <c r="I911" s="5"/>
    </row>
    <row r="912" spans="1:10">
      <c r="A912" s="5"/>
      <c r="B912" s="5"/>
      <c r="C912" s="5"/>
      <c r="D912" s="5"/>
      <c r="E912" s="5"/>
      <c r="F912" s="5"/>
      <c r="G912" s="5"/>
      <c r="H912" s="5"/>
      <c r="I912" s="5"/>
    </row>
    <row r="913" spans="1:30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30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30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30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30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30">
      <c r="A918" s="9"/>
    </row>
    <row r="919" spans="1:30">
      <c r="A919" s="9"/>
    </row>
    <row r="920" spans="1:30">
      <c r="A920" s="9"/>
    </row>
    <row r="921" spans="1:30">
      <c r="A921" s="9"/>
    </row>
    <row r="924" spans="1:30" s="33" customFormat="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</row>
    <row r="925" spans="1:30" s="33" customFormat="1">
      <c r="A925" s="9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</row>
    <row r="926" spans="1:30" s="33" customFormat="1">
      <c r="A926" s="9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</row>
    <row r="927" spans="1:30" s="33" customForma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</row>
    <row r="928" spans="1:30" s="33" customFormat="1">
      <c r="A928" s="9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</row>
    <row r="929" spans="1:13">
      <c r="A929" s="9"/>
      <c r="M929" t="s">
        <v>477</v>
      </c>
    </row>
    <row r="930" spans="1:13">
      <c r="A930" s="9"/>
      <c r="M930" t="s">
        <v>477</v>
      </c>
    </row>
    <row r="931" spans="1:13">
      <c r="A931" s="9"/>
      <c r="M931" t="s">
        <v>477</v>
      </c>
    </row>
    <row r="932" spans="1:13">
      <c r="A932" s="9"/>
      <c r="M932" t="s">
        <v>477</v>
      </c>
    </row>
    <row r="933" spans="1:13">
      <c r="A933" s="9"/>
      <c r="M933" t="s">
        <v>477</v>
      </c>
    </row>
    <row r="934" spans="1:13">
      <c r="A934" s="9"/>
      <c r="M934" t="s">
        <v>477</v>
      </c>
    </row>
    <row r="935" spans="1:13">
      <c r="A935" s="9"/>
      <c r="M935" t="s">
        <v>477</v>
      </c>
    </row>
    <row r="936" spans="1:13">
      <c r="A936" s="9"/>
      <c r="M936" t="s">
        <v>477</v>
      </c>
    </row>
    <row r="937" spans="1:13">
      <c r="A937" s="9"/>
      <c r="M937" t="s">
        <v>477</v>
      </c>
    </row>
    <row r="938" spans="1:13">
      <c r="A938" s="9"/>
      <c r="M938" t="s">
        <v>477</v>
      </c>
    </row>
    <row r="939" spans="1:13">
      <c r="A939" s="9"/>
      <c r="M939" t="s">
        <v>477</v>
      </c>
    </row>
    <row r="940" spans="1:13">
      <c r="A940" s="9"/>
      <c r="M940" t="s">
        <v>477</v>
      </c>
    </row>
    <row r="941" spans="1:13">
      <c r="A941" s="9"/>
      <c r="M941" t="s">
        <v>477</v>
      </c>
    </row>
    <row r="942" spans="1:13">
      <c r="M942" t="s">
        <v>477</v>
      </c>
    </row>
    <row r="943" spans="1:13">
      <c r="M943" t="s">
        <v>477</v>
      </c>
    </row>
    <row r="944" spans="1:13">
      <c r="M944" t="s">
        <v>477</v>
      </c>
    </row>
    <row r="945" spans="1:13">
      <c r="M945" t="s">
        <v>477</v>
      </c>
    </row>
    <row r="946" spans="1:13">
      <c r="A946" s="9"/>
      <c r="M946" t="s">
        <v>477</v>
      </c>
    </row>
    <row r="947" spans="1:13">
      <c r="A947" s="5"/>
      <c r="B947" s="5"/>
      <c r="C947" s="5"/>
      <c r="D947" s="5"/>
      <c r="E947" s="5"/>
      <c r="F947" s="5"/>
      <c r="G947" s="5"/>
      <c r="H947" s="5"/>
      <c r="I947" s="5"/>
      <c r="J947" s="5"/>
      <c r="M947" t="s">
        <v>477</v>
      </c>
    </row>
    <row r="948" spans="1:13">
      <c r="A948" s="5"/>
      <c r="B948" s="5"/>
      <c r="C948" s="5"/>
      <c r="D948" s="5"/>
      <c r="E948" s="5"/>
      <c r="F948" s="5"/>
      <c r="G948" s="5"/>
      <c r="H948" s="5"/>
      <c r="I948" s="5"/>
      <c r="J948" s="5"/>
      <c r="M948" t="s">
        <v>477</v>
      </c>
    </row>
    <row r="949" spans="1:13">
      <c r="A949" s="5"/>
      <c r="B949" s="5"/>
      <c r="C949" s="5"/>
      <c r="D949" s="5"/>
      <c r="E949" s="5"/>
      <c r="F949" s="5"/>
      <c r="G949" s="5"/>
      <c r="H949" s="5"/>
      <c r="I949" s="5"/>
      <c r="J949" s="5"/>
      <c r="M949" t="s">
        <v>477</v>
      </c>
    </row>
    <row r="950" spans="1:13">
      <c r="A950" s="5"/>
      <c r="B950" s="5"/>
      <c r="C950" s="5"/>
      <c r="D950" s="5"/>
      <c r="E950" s="5"/>
      <c r="F950" s="5"/>
      <c r="G950" s="5"/>
      <c r="H950" s="5"/>
      <c r="I950" s="5"/>
      <c r="J950" s="5"/>
      <c r="M950" t="s">
        <v>477</v>
      </c>
    </row>
    <row r="951" spans="1:13">
      <c r="A951" s="5"/>
      <c r="B951" s="5"/>
      <c r="C951" s="5"/>
      <c r="D951" s="5"/>
      <c r="E951" s="5"/>
      <c r="F951" s="5"/>
      <c r="G951" s="5"/>
      <c r="H951" s="5"/>
      <c r="I951" s="5"/>
      <c r="J951" s="5"/>
      <c r="M951" t="s">
        <v>477</v>
      </c>
    </row>
    <row r="952" spans="1:13">
      <c r="A952" s="5"/>
      <c r="B952" s="5"/>
      <c r="C952" s="5"/>
      <c r="D952" s="5"/>
      <c r="E952" s="5"/>
      <c r="F952" s="5"/>
      <c r="G952" s="5"/>
      <c r="H952" s="5"/>
      <c r="I952" s="5"/>
      <c r="J952" s="5"/>
      <c r="M952" t="s">
        <v>477</v>
      </c>
    </row>
    <row r="953" spans="1:13">
      <c r="A953" s="5"/>
      <c r="B953" s="5"/>
      <c r="C953" s="5"/>
      <c r="D953" s="5"/>
      <c r="E953" s="5"/>
      <c r="F953" s="5"/>
      <c r="G953" s="5"/>
      <c r="H953" s="5"/>
      <c r="I953" s="5"/>
      <c r="J953" s="5"/>
      <c r="M953" t="s">
        <v>477</v>
      </c>
    </row>
    <row r="954" spans="1:13">
      <c r="A954" s="5"/>
      <c r="B954" s="5"/>
      <c r="C954" s="5"/>
      <c r="D954" s="5"/>
      <c r="E954" s="5"/>
      <c r="F954" s="5"/>
      <c r="G954" s="5"/>
      <c r="H954" s="5"/>
      <c r="I954" s="5"/>
      <c r="J954" s="5"/>
      <c r="M954" t="s">
        <v>477</v>
      </c>
    </row>
    <row r="955" spans="1:13">
      <c r="A955" s="5"/>
      <c r="B955" s="5"/>
      <c r="C955" s="5"/>
      <c r="D955" s="5"/>
      <c r="E955" s="5"/>
      <c r="F955" s="5"/>
      <c r="G955" s="5"/>
      <c r="H955" s="5"/>
      <c r="I955" s="5"/>
      <c r="M955" t="s">
        <v>477</v>
      </c>
    </row>
    <row r="956" spans="1:13">
      <c r="A956" s="5"/>
      <c r="B956" s="5"/>
      <c r="C956" s="5"/>
      <c r="D956" s="5"/>
      <c r="E956" s="5"/>
      <c r="F956" s="5"/>
      <c r="G956" s="5"/>
      <c r="H956" s="5"/>
      <c r="I956" s="5"/>
      <c r="M956" t="s">
        <v>477</v>
      </c>
    </row>
    <row r="957" spans="1:13">
      <c r="A957" s="5"/>
      <c r="B957" s="5"/>
      <c r="C957" s="5"/>
      <c r="D957" s="5"/>
      <c r="E957" s="5"/>
      <c r="F957" s="5"/>
      <c r="G957" s="5"/>
      <c r="H957" s="5"/>
      <c r="I957" s="5"/>
      <c r="M957" t="s">
        <v>477</v>
      </c>
    </row>
    <row r="958" spans="1:13">
      <c r="A958" s="5"/>
      <c r="B958" s="5"/>
      <c r="C958" s="5"/>
      <c r="D958" s="5"/>
      <c r="E958" s="5"/>
      <c r="F958" s="5"/>
      <c r="G958" s="5"/>
      <c r="H958" s="5"/>
      <c r="I958" s="5"/>
      <c r="M958" t="s">
        <v>477</v>
      </c>
    </row>
    <row r="959" spans="1:13">
      <c r="A959" s="5"/>
      <c r="B959" s="5"/>
      <c r="C959" s="5"/>
      <c r="D959" s="5"/>
      <c r="E959" s="5"/>
      <c r="F959" s="5"/>
      <c r="G959" s="5"/>
      <c r="H959" s="5"/>
      <c r="I959" s="5"/>
      <c r="J959" s="5"/>
      <c r="M959" t="s">
        <v>477</v>
      </c>
    </row>
    <row r="960" spans="1:13">
      <c r="A960" s="5"/>
      <c r="B960" s="5"/>
      <c r="C960" s="5"/>
      <c r="D960" s="5"/>
      <c r="E960" s="5"/>
      <c r="F960" s="5"/>
      <c r="G960" s="5"/>
      <c r="H960" s="5"/>
      <c r="I960" s="5"/>
      <c r="J960" s="5"/>
      <c r="M960" t="s">
        <v>477</v>
      </c>
    </row>
    <row r="961" spans="1:13">
      <c r="A961" s="5"/>
      <c r="B961" s="5"/>
      <c r="C961" s="5"/>
      <c r="D961" s="5"/>
      <c r="E961" s="5"/>
      <c r="F961" s="5"/>
      <c r="G961" s="5"/>
      <c r="H961" s="5"/>
      <c r="I961" s="5"/>
      <c r="J961" s="5"/>
      <c r="M961" t="s">
        <v>477</v>
      </c>
    </row>
    <row r="962" spans="1:13">
      <c r="A962" s="5"/>
      <c r="B962" s="5"/>
      <c r="C962" s="5"/>
      <c r="D962" s="5"/>
      <c r="E962" s="5"/>
      <c r="F962" s="5"/>
      <c r="G962" s="5"/>
      <c r="H962" s="5"/>
      <c r="I962" s="5"/>
      <c r="J962" s="5"/>
      <c r="M962" t="s">
        <v>477</v>
      </c>
    </row>
    <row r="963" spans="1:13">
      <c r="A963" s="9"/>
      <c r="M963" t="s">
        <v>477</v>
      </c>
    </row>
    <row r="964" spans="1:13">
      <c r="A964" s="9"/>
      <c r="M964" t="s">
        <v>477</v>
      </c>
    </row>
    <row r="965" spans="1:13">
      <c r="A965" s="9"/>
      <c r="M965" t="s">
        <v>477</v>
      </c>
    </row>
    <row r="966" spans="1:13">
      <c r="A966" s="9"/>
      <c r="M966" t="s">
        <v>477</v>
      </c>
    </row>
    <row r="967" spans="1:13">
      <c r="M967" t="s">
        <v>477</v>
      </c>
    </row>
    <row r="968" spans="1:13">
      <c r="M968" t="s">
        <v>477</v>
      </c>
    </row>
    <row r="969" spans="1:13">
      <c r="A969" s="9"/>
      <c r="M969" t="s">
        <v>477</v>
      </c>
    </row>
    <row r="970" spans="1:13">
      <c r="A970" s="9"/>
      <c r="M970" t="s">
        <v>477</v>
      </c>
    </row>
    <row r="971" spans="1:13">
      <c r="A971" s="5"/>
      <c r="B971" s="5"/>
      <c r="C971" s="5"/>
      <c r="D971" s="5"/>
      <c r="E971" s="5"/>
      <c r="F971" s="5"/>
      <c r="G971" s="5"/>
      <c r="H971" s="5"/>
      <c r="I971" s="5"/>
      <c r="J971" s="5"/>
      <c r="M971" t="s">
        <v>477</v>
      </c>
    </row>
    <row r="972" spans="1:13">
      <c r="A972" s="9"/>
      <c r="M972" t="s">
        <v>477</v>
      </c>
    </row>
    <row r="973" spans="1:13">
      <c r="A973" s="9"/>
      <c r="M973" t="s">
        <v>477</v>
      </c>
    </row>
    <row r="974" spans="1:13">
      <c r="A974" s="9"/>
      <c r="M974" t="s">
        <v>477</v>
      </c>
    </row>
    <row r="975" spans="1:13">
      <c r="A975" s="9"/>
      <c r="M975" t="s">
        <v>477</v>
      </c>
    </row>
    <row r="976" spans="1:13">
      <c r="A976" s="9"/>
      <c r="M976" t="s">
        <v>477</v>
      </c>
    </row>
    <row r="977" spans="1:13">
      <c r="A977" s="17"/>
      <c r="B977" s="2"/>
      <c r="M977" t="s">
        <v>477</v>
      </c>
    </row>
    <row r="978" spans="1:13">
      <c r="M978" t="s">
        <v>477</v>
      </c>
    </row>
    <row r="979" spans="1:13">
      <c r="M979" t="s">
        <v>477</v>
      </c>
    </row>
    <row r="980" spans="1:13">
      <c r="M980" t="s">
        <v>477</v>
      </c>
    </row>
    <row r="981" spans="1:13">
      <c r="M981" t="s">
        <v>477</v>
      </c>
    </row>
    <row r="982" spans="1:13">
      <c r="A982" s="9"/>
      <c r="M982" t="s">
        <v>477</v>
      </c>
    </row>
    <row r="983" spans="1:13">
      <c r="A983" s="5"/>
      <c r="B983" s="5"/>
      <c r="C983" s="5"/>
      <c r="D983" s="5"/>
      <c r="E983" s="5"/>
      <c r="F983" s="5"/>
      <c r="G983" s="5"/>
      <c r="H983" s="5"/>
      <c r="I983" s="5"/>
      <c r="J983" s="5"/>
      <c r="M983" t="s">
        <v>477</v>
      </c>
    </row>
    <row r="984" spans="1:13">
      <c r="A984" s="5"/>
      <c r="B984" s="5"/>
      <c r="C984" s="5"/>
      <c r="D984" s="5"/>
      <c r="E984" s="5"/>
      <c r="F984" s="5"/>
      <c r="G984" s="5"/>
      <c r="H984" s="5"/>
      <c r="I984" s="5"/>
      <c r="J984" s="5"/>
      <c r="M984" t="s">
        <v>477</v>
      </c>
    </row>
    <row r="985" spans="1:13">
      <c r="A985" s="5"/>
      <c r="B985" s="5"/>
      <c r="C985" s="5"/>
      <c r="D985" s="5"/>
      <c r="E985" s="5"/>
      <c r="F985" s="5"/>
      <c r="G985" s="5"/>
      <c r="H985" s="5"/>
      <c r="I985" s="5"/>
      <c r="J985" s="5"/>
      <c r="M985" t="s">
        <v>477</v>
      </c>
    </row>
    <row r="986" spans="1:13">
      <c r="A986" s="5"/>
      <c r="B986" s="5"/>
      <c r="C986" s="5"/>
      <c r="D986" s="5"/>
      <c r="E986" s="5"/>
      <c r="F986" s="5"/>
      <c r="G986" s="5"/>
      <c r="H986" s="5"/>
      <c r="I986" s="5"/>
      <c r="J986" s="5"/>
      <c r="M986" t="s">
        <v>477</v>
      </c>
    </row>
    <row r="987" spans="1:13">
      <c r="A987" s="5"/>
      <c r="B987" s="5"/>
      <c r="C987" s="5"/>
      <c r="D987" s="5"/>
      <c r="E987" s="5"/>
      <c r="F987" s="5"/>
      <c r="G987" s="5"/>
      <c r="H987" s="5"/>
      <c r="I987" s="5"/>
      <c r="J987" s="5"/>
      <c r="M987" t="s">
        <v>477</v>
      </c>
    </row>
    <row r="988" spans="1:13">
      <c r="A988" s="5"/>
      <c r="B988" s="5"/>
      <c r="C988" s="5"/>
      <c r="D988" s="5"/>
      <c r="E988" s="5"/>
      <c r="F988" s="5"/>
      <c r="G988" s="5"/>
      <c r="H988" s="5"/>
      <c r="I988" s="5"/>
      <c r="J988" s="5"/>
      <c r="M988" t="s">
        <v>477</v>
      </c>
    </row>
    <row r="989" spans="1:13">
      <c r="A989" s="5"/>
      <c r="B989" s="5"/>
      <c r="C989" s="5"/>
      <c r="D989" s="5"/>
      <c r="E989" s="5"/>
      <c r="F989" s="5"/>
      <c r="G989" s="5"/>
      <c r="H989" s="5"/>
      <c r="I989" s="5"/>
      <c r="J989" s="5"/>
      <c r="M989" t="s">
        <v>477</v>
      </c>
    </row>
    <row r="990" spans="1:13">
      <c r="A990" s="5"/>
      <c r="B990" s="5"/>
      <c r="C990" s="5"/>
      <c r="D990" s="5"/>
      <c r="E990" s="5"/>
      <c r="F990" s="5"/>
      <c r="G990" s="5"/>
      <c r="H990" s="5"/>
      <c r="I990" s="5"/>
      <c r="J990" s="5"/>
      <c r="M990" t="s">
        <v>477</v>
      </c>
    </row>
    <row r="991" spans="1:13">
      <c r="A991" s="5"/>
      <c r="B991" s="5"/>
      <c r="C991" s="5"/>
      <c r="D991" s="5"/>
      <c r="E991" s="5"/>
      <c r="F991" s="5"/>
      <c r="G991" s="5"/>
      <c r="H991" s="5"/>
      <c r="I991" s="5"/>
      <c r="J991" s="5"/>
      <c r="M991" t="s">
        <v>477</v>
      </c>
    </row>
    <row r="992" spans="1:13">
      <c r="A992" s="5"/>
      <c r="B992" s="5"/>
      <c r="C992" s="5"/>
      <c r="D992" s="5"/>
      <c r="E992" s="5"/>
      <c r="F992" s="5"/>
      <c r="G992" s="5"/>
      <c r="H992" s="5"/>
      <c r="I992" s="5"/>
      <c r="M992" t="s">
        <v>477</v>
      </c>
    </row>
    <row r="993" spans="1:13">
      <c r="A993" s="5"/>
      <c r="B993" s="5"/>
      <c r="C993" s="5"/>
      <c r="D993" s="5"/>
      <c r="E993" s="5"/>
      <c r="F993" s="5"/>
      <c r="G993" s="5"/>
      <c r="H993" s="5"/>
      <c r="I993" s="5"/>
      <c r="M993" t="s">
        <v>477</v>
      </c>
    </row>
    <row r="994" spans="1:13">
      <c r="A994" s="5"/>
      <c r="B994" s="5"/>
      <c r="C994" s="5"/>
      <c r="D994" s="5"/>
      <c r="E994" s="5"/>
      <c r="F994" s="5"/>
      <c r="G994" s="5"/>
      <c r="H994" s="5"/>
      <c r="I994" s="5"/>
      <c r="M994" t="s">
        <v>477</v>
      </c>
    </row>
    <row r="995" spans="1:13">
      <c r="A995" s="5"/>
      <c r="B995" s="5"/>
      <c r="C995" s="5"/>
      <c r="D995" s="5"/>
      <c r="E995" s="5"/>
      <c r="F995" s="5"/>
      <c r="G995" s="5"/>
      <c r="H995" s="5"/>
      <c r="I995" s="5"/>
      <c r="M995" t="s">
        <v>477</v>
      </c>
    </row>
    <row r="996" spans="1:13">
      <c r="A996" s="5"/>
      <c r="B996" s="5"/>
      <c r="C996" s="5"/>
      <c r="D996" s="5"/>
      <c r="E996" s="5"/>
      <c r="F996" s="5"/>
      <c r="G996" s="5"/>
      <c r="H996" s="5"/>
      <c r="I996" s="5"/>
      <c r="J996" s="5"/>
      <c r="M996" t="s">
        <v>477</v>
      </c>
    </row>
    <row r="997" spans="1:13">
      <c r="A997" s="5"/>
      <c r="B997" s="5"/>
      <c r="C997" s="5"/>
      <c r="D997" s="5"/>
      <c r="E997" s="5"/>
      <c r="F997" s="5"/>
      <c r="G997" s="5"/>
      <c r="H997" s="5"/>
      <c r="I997" s="5"/>
      <c r="J997" s="5"/>
      <c r="M997" t="s">
        <v>477</v>
      </c>
    </row>
    <row r="998" spans="1:13">
      <c r="A998" s="5"/>
      <c r="B998" s="5"/>
      <c r="C998" s="5"/>
      <c r="D998" s="5"/>
      <c r="E998" s="5"/>
      <c r="F998" s="5"/>
      <c r="G998" s="5"/>
      <c r="H998" s="5"/>
      <c r="I998" s="5"/>
      <c r="J998" s="5"/>
      <c r="M998" t="s">
        <v>477</v>
      </c>
    </row>
    <row r="999" spans="1:13">
      <c r="A999" s="5"/>
      <c r="B999" s="5"/>
      <c r="C999" s="5"/>
      <c r="D999" s="5"/>
      <c r="E999" s="5"/>
      <c r="F999" s="5"/>
      <c r="G999" s="5"/>
      <c r="H999" s="5"/>
      <c r="I999" s="5"/>
      <c r="J999" s="5"/>
      <c r="M999" t="s">
        <v>477</v>
      </c>
    </row>
    <row r="1000" spans="1:13">
      <c r="A1000" s="9"/>
      <c r="M1000" t="s">
        <v>477</v>
      </c>
    </row>
    <row r="1001" spans="1:13">
      <c r="A1001" s="9"/>
      <c r="M1001" t="s">
        <v>477</v>
      </c>
    </row>
    <row r="1002" spans="1:13">
      <c r="A1002" s="9"/>
      <c r="M1002" t="s">
        <v>477</v>
      </c>
    </row>
    <row r="1003" spans="1:13">
      <c r="A1003" s="9"/>
      <c r="M1003" t="s">
        <v>477</v>
      </c>
    </row>
    <row r="1004" spans="1:13">
      <c r="M1004" t="s">
        <v>477</v>
      </c>
    </row>
    <row r="1005" spans="1:13">
      <c r="M1005" t="s">
        <v>477</v>
      </c>
    </row>
    <row r="1006" spans="1:13">
      <c r="A1006" s="9"/>
      <c r="M1006" t="s">
        <v>477</v>
      </c>
    </row>
    <row r="1007" spans="1:13">
      <c r="A1007" s="9"/>
      <c r="M1007" t="s">
        <v>477</v>
      </c>
    </row>
    <row r="1008" spans="1:13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M1008" t="s">
        <v>477</v>
      </c>
    </row>
    <row r="1009" spans="1:13">
      <c r="A1009" s="9"/>
      <c r="M1009" t="s">
        <v>477</v>
      </c>
    </row>
    <row r="1010" spans="1:13">
      <c r="A1010" s="9"/>
      <c r="M1010" t="s">
        <v>477</v>
      </c>
    </row>
    <row r="1011" spans="1:13">
      <c r="A1011" s="9"/>
      <c r="M1011" t="s">
        <v>477</v>
      </c>
    </row>
    <row r="1012" spans="1:13">
      <c r="A1012" s="9"/>
      <c r="M1012" t="s">
        <v>477</v>
      </c>
    </row>
    <row r="1013" spans="1:13">
      <c r="A1013" s="17"/>
      <c r="B1013" s="2"/>
      <c r="M1013" t="s">
        <v>477</v>
      </c>
    </row>
    <row r="1014" spans="1:13">
      <c r="M1014" t="s">
        <v>477</v>
      </c>
    </row>
    <row r="1015" spans="1:13">
      <c r="M1015" t="s">
        <v>477</v>
      </c>
    </row>
    <row r="1016" spans="1:13">
      <c r="M1016" t="s">
        <v>477</v>
      </c>
    </row>
    <row r="1017" spans="1:13">
      <c r="M1017" t="s">
        <v>477</v>
      </c>
    </row>
    <row r="1018" spans="1:13">
      <c r="A1018" s="9"/>
      <c r="M1018" t="s">
        <v>477</v>
      </c>
    </row>
    <row r="1019" spans="1:13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M1019" t="s">
        <v>477</v>
      </c>
    </row>
    <row r="1020" spans="1:13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M1020" t="s">
        <v>477</v>
      </c>
    </row>
    <row r="1021" spans="1:13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M1021" t="s">
        <v>477</v>
      </c>
    </row>
    <row r="1022" spans="1:13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M1022" t="s">
        <v>477</v>
      </c>
    </row>
    <row r="1023" spans="1:1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M1023" t="s">
        <v>477</v>
      </c>
    </row>
    <row r="1024" spans="1:13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M1024" t="s">
        <v>477</v>
      </c>
    </row>
    <row r="1025" spans="1:13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M1025" t="s">
        <v>477</v>
      </c>
    </row>
    <row r="1026" spans="1:13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M1026" t="s">
        <v>477</v>
      </c>
    </row>
    <row r="1027" spans="1:13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M1027" t="s">
        <v>477</v>
      </c>
    </row>
    <row r="1028" spans="1:13">
      <c r="A1028" s="5"/>
      <c r="B1028" s="5"/>
      <c r="C1028" s="5"/>
      <c r="D1028" s="5"/>
      <c r="E1028" s="5"/>
      <c r="F1028" s="5"/>
      <c r="G1028" s="5"/>
      <c r="H1028" s="5"/>
      <c r="I1028" s="5"/>
      <c r="M1028" t="s">
        <v>477</v>
      </c>
    </row>
    <row r="1029" spans="1:13">
      <c r="A1029" s="5"/>
      <c r="B1029" s="5"/>
      <c r="C1029" s="5"/>
      <c r="D1029" s="5"/>
      <c r="E1029" s="5"/>
      <c r="F1029" s="5"/>
      <c r="G1029" s="5"/>
      <c r="H1029" s="5"/>
      <c r="I1029" s="5"/>
      <c r="M1029" t="s">
        <v>477</v>
      </c>
    </row>
    <row r="1030" spans="1:13">
      <c r="A1030" s="5"/>
      <c r="B1030" s="5"/>
      <c r="C1030" s="5"/>
      <c r="D1030" s="5"/>
      <c r="E1030" s="5"/>
      <c r="F1030" s="5"/>
      <c r="G1030" s="5"/>
      <c r="H1030" s="5"/>
      <c r="I1030" s="5"/>
      <c r="M1030" t="s">
        <v>477</v>
      </c>
    </row>
    <row r="1031" spans="1:13">
      <c r="A1031" s="5"/>
      <c r="B1031" s="5"/>
      <c r="C1031" s="5"/>
      <c r="D1031" s="5"/>
      <c r="E1031" s="5"/>
      <c r="F1031" s="5"/>
      <c r="G1031" s="5"/>
      <c r="H1031" s="5"/>
      <c r="I1031" s="5"/>
      <c r="M1031" t="s">
        <v>477</v>
      </c>
    </row>
    <row r="1032" spans="1:13">
      <c r="A1032" s="5"/>
      <c r="B1032" s="5"/>
      <c r="C1032" s="5"/>
      <c r="D1032" s="5"/>
      <c r="E1032" s="5"/>
      <c r="F1032" s="5"/>
      <c r="G1032" s="5"/>
      <c r="H1032" s="5"/>
      <c r="I1032" s="5"/>
      <c r="M1032" t="s">
        <v>477</v>
      </c>
    </row>
    <row r="1033" spans="1:1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M1033" t="s">
        <v>477</v>
      </c>
    </row>
    <row r="1034" spans="1:13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M1034" t="s">
        <v>477</v>
      </c>
    </row>
    <row r="1035" spans="1:13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M1035" t="s">
        <v>477</v>
      </c>
    </row>
    <row r="1036" spans="1:13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M1036" t="s">
        <v>477</v>
      </c>
    </row>
    <row r="1037" spans="1:13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M1037" t="s">
        <v>477</v>
      </c>
    </row>
    <row r="1038" spans="1:13">
      <c r="A1038" s="9"/>
      <c r="M1038" t="s">
        <v>477</v>
      </c>
    </row>
    <row r="1039" spans="1:13">
      <c r="A1039" s="9"/>
      <c r="M1039" t="s">
        <v>477</v>
      </c>
    </row>
    <row r="1040" spans="1:13">
      <c r="A1040" s="9"/>
      <c r="M1040" t="s">
        <v>477</v>
      </c>
    </row>
    <row r="1041" spans="1:13">
      <c r="A1041" s="9"/>
      <c r="M1041" t="s">
        <v>477</v>
      </c>
    </row>
    <row r="1042" spans="1:13">
      <c r="M1042" t="s">
        <v>477</v>
      </c>
    </row>
    <row r="1043" spans="1:13">
      <c r="M1043" t="s">
        <v>477</v>
      </c>
    </row>
    <row r="1044" spans="1:13">
      <c r="A1044" s="9"/>
      <c r="M1044" t="s">
        <v>477</v>
      </c>
    </row>
    <row r="1045" spans="1:13">
      <c r="A1045" s="9"/>
      <c r="M1045" t="s">
        <v>477</v>
      </c>
    </row>
    <row r="1046" spans="1:13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M1046" t="s">
        <v>477</v>
      </c>
    </row>
    <row r="1047" spans="1:13">
      <c r="A1047" s="9"/>
      <c r="M1047" t="s">
        <v>477</v>
      </c>
    </row>
    <row r="1048" spans="1:13">
      <c r="A1048" s="9"/>
      <c r="M1048" t="s">
        <v>477</v>
      </c>
    </row>
    <row r="1049" spans="1:13">
      <c r="A1049" s="9"/>
      <c r="M1049" t="s">
        <v>477</v>
      </c>
    </row>
    <row r="1050" spans="1:13">
      <c r="A1050" s="9"/>
      <c r="M1050" t="s">
        <v>477</v>
      </c>
    </row>
    <row r="1051" spans="1:13">
      <c r="A1051" s="15"/>
      <c r="B1051" s="15"/>
      <c r="C1051" s="15"/>
      <c r="M1051" t="s">
        <v>477</v>
      </c>
    </row>
    <row r="1052" spans="1:13">
      <c r="A1052" s="15"/>
      <c r="B1052" s="15"/>
      <c r="C1052" s="15"/>
      <c r="M1052" t="s">
        <v>477</v>
      </c>
    </row>
    <row r="1053" spans="1:13">
      <c r="A1053" s="15"/>
      <c r="B1053" s="15"/>
      <c r="C1053" s="15"/>
    </row>
    <row r="1054" spans="1:13">
      <c r="A1054" s="5"/>
      <c r="B1054" s="5"/>
      <c r="C1054" s="5"/>
      <c r="D1054" s="5"/>
      <c r="E1054" s="5"/>
      <c r="F1054" s="5"/>
      <c r="G1054" s="5"/>
      <c r="H1054" s="5"/>
      <c r="I1054" s="5"/>
      <c r="J1054" s="5"/>
    </row>
    <row r="1055" spans="1:13">
      <c r="A1055" s="5"/>
      <c r="B1055" s="5"/>
      <c r="C1055" s="5"/>
      <c r="D1055" s="5"/>
      <c r="E1055" s="5"/>
      <c r="F1055" s="5"/>
      <c r="G1055" s="5"/>
      <c r="H1055" s="5"/>
      <c r="I1055" s="5"/>
      <c r="J1055" s="5"/>
    </row>
    <row r="1056" spans="1:13">
      <c r="A1056" s="5"/>
      <c r="B1056" s="5"/>
      <c r="C1056" s="5"/>
      <c r="D1056" s="5"/>
      <c r="E1056" s="5"/>
      <c r="F1056" s="5"/>
      <c r="G1056" s="5"/>
      <c r="H1056" s="5"/>
      <c r="I1056" s="5"/>
      <c r="J1056" s="5"/>
    </row>
    <row r="1057" spans="1:12">
      <c r="A1057" s="5"/>
      <c r="B1057" s="5"/>
      <c r="C1057" s="5"/>
      <c r="D1057" s="5"/>
      <c r="E1057" s="5"/>
      <c r="F1057" s="5"/>
      <c r="G1057" s="5"/>
      <c r="H1057" s="5"/>
      <c r="I1057" s="5"/>
      <c r="J1057" s="5"/>
    </row>
    <row r="1058" spans="1:12">
      <c r="A1058" s="5"/>
      <c r="B1058" s="5"/>
      <c r="C1058" s="5"/>
      <c r="D1058" s="5"/>
      <c r="E1058" s="5"/>
      <c r="F1058" s="5"/>
      <c r="G1058" s="5"/>
      <c r="H1058" s="5"/>
      <c r="I1058" s="5"/>
      <c r="J1058" s="5"/>
    </row>
    <row r="1059" spans="1:12">
      <c r="A1059" s="5"/>
      <c r="B1059" s="5"/>
      <c r="C1059" s="5"/>
      <c r="D1059" s="5"/>
      <c r="E1059" s="5"/>
      <c r="F1059" s="5"/>
      <c r="G1059" s="5"/>
      <c r="H1059" s="5"/>
      <c r="I1059" s="5"/>
      <c r="J1059" s="5"/>
    </row>
    <row r="1060" spans="1:12">
      <c r="A1060" s="5"/>
      <c r="B1060" s="5"/>
      <c r="C1060" s="5"/>
      <c r="D1060" s="5"/>
      <c r="E1060" s="5"/>
      <c r="F1060" s="5"/>
      <c r="G1060" s="5"/>
      <c r="H1060" s="5"/>
      <c r="I1060" s="5"/>
      <c r="J1060" s="5"/>
    </row>
    <row r="1061" spans="1:12">
      <c r="A1061" s="5"/>
      <c r="B1061" s="5"/>
      <c r="C1061" s="5"/>
      <c r="D1061" s="5"/>
      <c r="E1061" s="5"/>
      <c r="F1061" s="5"/>
      <c r="G1061" s="5"/>
      <c r="H1061" s="5"/>
      <c r="I1061" s="5"/>
      <c r="J1061" s="5"/>
    </row>
    <row r="1062" spans="1:12">
      <c r="A1062" s="5"/>
      <c r="B1062" s="5"/>
      <c r="C1062" s="5"/>
      <c r="D1062" s="5"/>
      <c r="E1062" s="5"/>
      <c r="F1062" s="5"/>
      <c r="G1062" s="5"/>
      <c r="H1062" s="5"/>
      <c r="I1062" s="5"/>
    </row>
    <row r="1063" spans="1:12">
      <c r="A1063" s="5"/>
      <c r="B1063" s="5"/>
      <c r="C1063" s="5"/>
      <c r="D1063" s="5"/>
      <c r="E1063" s="5"/>
      <c r="F1063" s="5"/>
      <c r="G1063" s="5"/>
      <c r="H1063" s="5"/>
      <c r="I1063" s="5"/>
    </row>
    <row r="1064" spans="1:12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12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12">
      <c r="A1066" s="5"/>
      <c r="B1066" s="5"/>
      <c r="C1066" s="5"/>
      <c r="D1066" s="5"/>
      <c r="E1066" s="5"/>
      <c r="F1066" s="5"/>
      <c r="G1066" s="5"/>
      <c r="H1066" s="5"/>
      <c r="I1066" s="5"/>
      <c r="J1066" s="5"/>
    </row>
    <row r="1067" spans="1:12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L1067" s="16"/>
    </row>
    <row r="1068" spans="1:12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2">
      <c r="A1069" s="5"/>
      <c r="B1069" s="5"/>
      <c r="C1069" s="5"/>
      <c r="D1069" s="5"/>
      <c r="E1069" s="5"/>
      <c r="F1069" s="5"/>
      <c r="G1069" s="5"/>
      <c r="H1069" s="5"/>
      <c r="I1069" s="5"/>
      <c r="J1069" s="5"/>
    </row>
    <row r="1070" spans="1:12">
      <c r="A1070" s="17"/>
      <c r="B1070" s="2"/>
    </row>
    <row r="1071" spans="1:12">
      <c r="A1071" s="17"/>
      <c r="B1071" s="2"/>
      <c r="D1071" s="5"/>
      <c r="E1071" s="5"/>
      <c r="F1071" s="5"/>
      <c r="G1071" s="5"/>
      <c r="H1071" s="5"/>
      <c r="I1071" s="5"/>
      <c r="J1071" s="5"/>
    </row>
    <row r="1072" spans="1:12">
      <c r="A1072" s="17"/>
      <c r="B1072" s="2"/>
      <c r="D1072" s="5"/>
      <c r="E1072" s="5"/>
      <c r="F1072" s="5"/>
      <c r="G1072" s="5"/>
      <c r="H1072" s="5"/>
      <c r="I1072" s="5"/>
      <c r="J1072" s="5"/>
    </row>
    <row r="1073" spans="1:10">
      <c r="A1073" s="17"/>
      <c r="B1073" s="2"/>
      <c r="D1073" s="5"/>
      <c r="E1073" s="5"/>
      <c r="F1073" s="5"/>
      <c r="G1073" s="5"/>
      <c r="H1073" s="5"/>
      <c r="I1073" s="5"/>
      <c r="J1073" s="5"/>
    </row>
    <row r="1076" spans="1:10">
      <c r="A1076" s="39"/>
      <c r="B1076" s="2"/>
      <c r="D1076" s="5"/>
      <c r="E1076" s="5"/>
      <c r="F1076" s="5"/>
      <c r="G1076" s="5"/>
      <c r="H1076" s="5"/>
      <c r="I1076" s="5"/>
      <c r="J1076" s="5"/>
    </row>
    <row r="1077" spans="1:10">
      <c r="A1077" s="17"/>
      <c r="B1077" s="2"/>
      <c r="D1077" s="5"/>
      <c r="E1077" s="5"/>
      <c r="F1077" s="5"/>
      <c r="G1077" s="5"/>
      <c r="H1077" s="5"/>
      <c r="I1077" s="5"/>
      <c r="J1077" s="5"/>
    </row>
    <row r="1078" spans="1:10">
      <c r="A1078" s="17"/>
      <c r="B1078" s="2"/>
    </row>
    <row r="1079" spans="1:10">
      <c r="A1079" s="17"/>
      <c r="B1079" s="2"/>
    </row>
    <row r="1080" spans="1:10">
      <c r="A1080" s="17"/>
      <c r="B1080" s="2"/>
      <c r="D1080" s="5"/>
      <c r="E1080" s="5"/>
      <c r="F1080" s="5"/>
      <c r="G1080" s="5"/>
      <c r="H1080" s="5"/>
      <c r="I1080" s="5"/>
      <c r="J1080" s="5"/>
    </row>
    <row r="1081" spans="1:10">
      <c r="A1081" s="17"/>
      <c r="B1081" s="2"/>
    </row>
    <row r="1082" spans="1:10">
      <c r="A1082" s="32"/>
    </row>
    <row r="1086" spans="1:10">
      <c r="A1086" s="9"/>
    </row>
    <row r="1087" spans="1:10">
      <c r="A1087" s="5"/>
      <c r="B1087" s="5"/>
      <c r="C1087" s="5"/>
      <c r="D1087" s="5"/>
      <c r="E1087" s="5"/>
      <c r="F1087" s="5"/>
      <c r="G1087" s="5"/>
      <c r="H1087" s="5"/>
      <c r="I1087" s="5"/>
      <c r="J1087" s="5"/>
    </row>
    <row r="1088" spans="1:10">
      <c r="A1088" s="5"/>
      <c r="B1088" s="5"/>
      <c r="C1088" s="5"/>
      <c r="D1088" s="5"/>
      <c r="E1088" s="5"/>
      <c r="F1088" s="5"/>
      <c r="G1088" s="5"/>
      <c r="H1088" s="5"/>
      <c r="I1088" s="5"/>
      <c r="J1088" s="5"/>
    </row>
    <row r="1089" spans="1:10">
      <c r="A1089" s="5"/>
      <c r="B1089" s="5"/>
      <c r="C1089" s="5"/>
      <c r="D1089" s="5"/>
      <c r="E1089" s="5"/>
      <c r="F1089" s="5"/>
      <c r="G1089" s="5"/>
      <c r="H1089" s="5"/>
      <c r="I1089" s="5"/>
      <c r="J1089" s="5"/>
    </row>
    <row r="1090" spans="1:10">
      <c r="A1090" s="5"/>
      <c r="B1090" s="5"/>
      <c r="C1090" s="5"/>
      <c r="D1090" s="5"/>
      <c r="E1090" s="5"/>
      <c r="F1090" s="5"/>
      <c r="G1090" s="5"/>
      <c r="H1090" s="5"/>
      <c r="I1090" s="5"/>
      <c r="J1090" s="5"/>
    </row>
    <row r="1091" spans="1:10">
      <c r="A1091" s="5"/>
      <c r="B1091" s="5"/>
      <c r="C1091" s="5"/>
      <c r="D1091" s="5"/>
      <c r="E1091" s="5"/>
      <c r="F1091" s="5"/>
      <c r="G1091" s="5"/>
      <c r="H1091" s="5"/>
      <c r="I1091" s="5"/>
      <c r="J1091" s="5"/>
    </row>
    <row r="1092" spans="1:10">
      <c r="A1092" s="5"/>
      <c r="B1092" s="5"/>
      <c r="C1092" s="5"/>
      <c r="D1092" s="5"/>
      <c r="E1092" s="5"/>
      <c r="F1092" s="5"/>
      <c r="G1092" s="5"/>
      <c r="H1092" s="5"/>
      <c r="I1092" s="5"/>
      <c r="J1092" s="5"/>
    </row>
    <row r="1093" spans="1:10">
      <c r="A1093" s="5"/>
      <c r="B1093" s="5"/>
      <c r="C1093" s="5"/>
      <c r="D1093" s="5"/>
      <c r="E1093" s="5"/>
      <c r="F1093" s="5"/>
      <c r="G1093" s="5"/>
      <c r="H1093" s="5"/>
      <c r="I1093" s="5"/>
      <c r="J1093" s="5"/>
    </row>
    <row r="1094" spans="1:10">
      <c r="A1094" s="5"/>
      <c r="B1094" s="5"/>
      <c r="C1094" s="5"/>
      <c r="D1094" s="5"/>
      <c r="E1094" s="5"/>
      <c r="F1094" s="5"/>
      <c r="G1094" s="5"/>
      <c r="H1094" s="5"/>
      <c r="I1094" s="5"/>
      <c r="J1094" s="5"/>
    </row>
    <row r="1095" spans="1:10">
      <c r="A1095" s="5"/>
      <c r="B1095" s="5"/>
      <c r="C1095" s="5"/>
      <c r="D1095" s="5"/>
      <c r="E1095" s="5"/>
      <c r="F1095" s="5"/>
      <c r="G1095" s="5"/>
      <c r="H1095" s="5"/>
      <c r="I1095" s="5"/>
    </row>
    <row r="1096" spans="1:10">
      <c r="A1096" s="5"/>
      <c r="B1096" s="5"/>
      <c r="C1096" s="5"/>
      <c r="D1096" s="5"/>
      <c r="E1096" s="5"/>
      <c r="F1096" s="5"/>
      <c r="G1096" s="5"/>
      <c r="H1096" s="5"/>
      <c r="I1096" s="5"/>
    </row>
    <row r="1097" spans="1:10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10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10">
      <c r="A1099" s="5"/>
      <c r="B1099" s="5"/>
      <c r="C1099" s="5"/>
      <c r="D1099" s="5"/>
      <c r="E1099" s="5"/>
      <c r="F1099" s="5"/>
      <c r="G1099" s="5"/>
      <c r="H1099" s="5"/>
      <c r="I1099" s="5"/>
      <c r="J1099" s="5"/>
    </row>
    <row r="1100" spans="1:10">
      <c r="A1100" s="5"/>
      <c r="B1100" s="5"/>
      <c r="C1100" s="5"/>
      <c r="D1100" s="5"/>
      <c r="E1100" s="5"/>
      <c r="F1100" s="5"/>
      <c r="G1100" s="5"/>
      <c r="H1100" s="5"/>
      <c r="I1100" s="5"/>
      <c r="J1100" s="5"/>
    </row>
    <row r="1101" spans="1:10">
      <c r="A1101" s="5"/>
      <c r="B1101" s="5"/>
      <c r="C1101" s="5"/>
      <c r="D1101" s="5"/>
      <c r="E1101" s="5"/>
      <c r="F1101" s="5"/>
      <c r="G1101" s="5"/>
      <c r="H1101" s="5"/>
      <c r="I1101" s="5"/>
      <c r="J1101" s="5"/>
    </row>
    <row r="1102" spans="1:10">
      <c r="A1102" s="5"/>
      <c r="B1102" s="5"/>
      <c r="C1102" s="5"/>
      <c r="D1102" s="5"/>
      <c r="E1102" s="5"/>
      <c r="F1102" s="5"/>
      <c r="G1102" s="5"/>
      <c r="H1102" s="5"/>
      <c r="I1102" s="5"/>
      <c r="J1102" s="5"/>
    </row>
    <row r="1103" spans="1:10">
      <c r="A1103" s="5"/>
      <c r="B1103" s="5"/>
      <c r="C1103" s="5"/>
      <c r="D1103" s="5"/>
      <c r="E1103" s="5"/>
      <c r="F1103" s="5"/>
      <c r="G1103" s="5"/>
      <c r="H1103" s="5"/>
      <c r="I1103" s="5"/>
      <c r="J1103" s="5"/>
    </row>
    <row r="1104" spans="1:10">
      <c r="A1104" s="9"/>
    </row>
    <row r="1105" spans="1:13">
      <c r="A1105" s="9"/>
    </row>
    <row r="1106" spans="1:13">
      <c r="A1106" s="9"/>
    </row>
    <row r="1107" spans="1:13">
      <c r="A1107" s="9"/>
    </row>
    <row r="1111" spans="1:13">
      <c r="A1111" s="9"/>
    </row>
    <row r="1112" spans="1:13">
      <c r="A1112" s="9"/>
    </row>
    <row r="1113" spans="1: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M1113" t="s">
        <v>477</v>
      </c>
    </row>
    <row r="1114" spans="1:13">
      <c r="A1114" s="9"/>
      <c r="M1114" t="s">
        <v>477</v>
      </c>
    </row>
    <row r="1115" spans="1:13">
      <c r="A1115" s="9"/>
      <c r="M1115" t="s">
        <v>477</v>
      </c>
    </row>
    <row r="1116" spans="1:13">
      <c r="A1116" s="9"/>
      <c r="M1116" t="s">
        <v>477</v>
      </c>
    </row>
    <row r="1117" spans="1:13">
      <c r="A1117" s="9"/>
    </row>
    <row r="1118" spans="1:13">
      <c r="A1118" s="17"/>
      <c r="B1118" s="2"/>
    </row>
  </sheetData>
  <autoFilter ref="A5:J1399" xr:uid="{00000000-0009-0000-0000-00001E000000}">
    <sortState xmlns:xlrd2="http://schemas.microsoft.com/office/spreadsheetml/2017/richdata2" ref="A6:J1118">
      <sortCondition ref="A5:A1118"/>
    </sortState>
  </autoFilter>
  <conditionalFormatting sqref="A14:A3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75"/>
  <sheetViews>
    <sheetView zoomScale="90" zoomScaleNormal="90" zoomScalePageLayoutView="90" workbookViewId="0">
      <selection activeCell="O193" sqref="O193"/>
    </sheetView>
  </sheetViews>
  <sheetFormatPr defaultColWidth="11.42578125" defaultRowHeight="15"/>
  <cols>
    <col min="1" max="1" width="18" style="5" customWidth="1"/>
    <col min="2" max="2" width="28.5703125" style="5" customWidth="1"/>
    <col min="3" max="10" width="12.42578125" style="5" bestFit="1" customWidth="1"/>
    <col min="11" max="11" width="2.85546875" style="5" customWidth="1"/>
    <col min="12" max="15" width="11.42578125" style="5"/>
    <col min="16" max="16" width="12.140625" style="5" bestFit="1" customWidth="1"/>
    <col min="17" max="16384" width="11.42578125" style="5"/>
  </cols>
  <sheetData>
    <row r="1" spans="1:10">
      <c r="A1" t="s">
        <v>404</v>
      </c>
    </row>
    <row r="2" spans="1:10">
      <c r="A2" t="s">
        <v>403</v>
      </c>
    </row>
    <row r="3" spans="1:10">
      <c r="A3" t="s">
        <v>383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485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485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485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485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485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485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485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485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485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485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485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485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485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485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485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485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485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485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485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485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485</v>
      </c>
      <c r="B26" s="5" t="s">
        <v>496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485</v>
      </c>
      <c r="B27" s="5" t="s">
        <v>497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485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485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485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485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485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485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485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485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485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485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485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485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485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485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485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485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485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485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485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485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485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485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485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485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485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485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485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485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485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485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485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485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485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485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485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485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485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485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485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485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485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485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485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485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485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485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485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485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485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485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485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485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485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485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485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485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485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485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485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485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485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485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485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485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485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485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485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485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485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485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485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485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485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485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485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485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485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485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485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485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485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485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485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485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485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485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485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485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485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485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485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485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485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485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485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485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485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485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485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485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485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485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485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485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485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485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485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485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485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485</v>
      </c>
      <c r="B137" s="5" t="s">
        <v>300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485</v>
      </c>
      <c r="B138" s="5" t="s">
        <v>306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485</v>
      </c>
      <c r="B139" s="5" t="s">
        <v>301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485</v>
      </c>
      <c r="B140" s="5" t="s">
        <v>304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485</v>
      </c>
      <c r="B141" s="5" t="s">
        <v>303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485</v>
      </c>
      <c r="B142" s="5" t="s">
        <v>305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485</v>
      </c>
      <c r="B143" s="5" t="s">
        <v>302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485</v>
      </c>
      <c r="B144" s="2" t="s">
        <v>310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485</v>
      </c>
      <c r="B145" s="2" t="s">
        <v>311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485</v>
      </c>
      <c r="B146" s="2" t="s">
        <v>316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485</v>
      </c>
      <c r="B147" s="2" t="s">
        <v>498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485</v>
      </c>
      <c r="B148" s="2" t="s">
        <v>317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485</v>
      </c>
      <c r="B149" t="s">
        <v>327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485</v>
      </c>
      <c r="B150" s="2" t="s">
        <v>329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485</v>
      </c>
      <c r="B151" s="2" t="s">
        <v>330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485</v>
      </c>
      <c r="B152" s="2" t="s">
        <v>331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485</v>
      </c>
      <c r="B153" t="s">
        <v>332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485</v>
      </c>
      <c r="B154" t="s">
        <v>333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277</v>
      </c>
      <c r="B155" s="5" t="s">
        <v>98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280</v>
      </c>
      <c r="B156" s="5" t="s">
        <v>98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485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458</v>
      </c>
      <c r="P157" s="5" t="s">
        <v>469</v>
      </c>
    </row>
    <row r="158" spans="1:16">
      <c r="A158" s="5" t="s">
        <v>485</v>
      </c>
      <c r="B158" s="5" t="s">
        <v>451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485</v>
      </c>
      <c r="B159" s="5" t="s">
        <v>450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485</v>
      </c>
      <c r="B160" s="5" t="s">
        <v>436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470</v>
      </c>
    </row>
    <row r="161" spans="1:14">
      <c r="A161" s="5" t="s">
        <v>485</v>
      </c>
      <c r="B161" s="5" t="s">
        <v>104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470</v>
      </c>
    </row>
    <row r="162" spans="1:14">
      <c r="A162" s="5" t="s">
        <v>485</v>
      </c>
      <c r="B162" s="5" t="s">
        <v>105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470</v>
      </c>
    </row>
    <row r="163" spans="1:14">
      <c r="A163" s="5" t="s">
        <v>485</v>
      </c>
      <c r="B163" s="5" t="s">
        <v>442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470</v>
      </c>
    </row>
    <row r="164" spans="1:14">
      <c r="A164" s="5" t="s">
        <v>485</v>
      </c>
      <c r="B164" s="5" t="s">
        <v>440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470</v>
      </c>
    </row>
    <row r="165" spans="1:14">
      <c r="A165" s="5" t="s">
        <v>485</v>
      </c>
      <c r="B165" s="5" t="s">
        <v>444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470</v>
      </c>
    </row>
    <row r="166" spans="1:14">
      <c r="A166" s="5" t="s">
        <v>485</v>
      </c>
      <c r="B166" s="5" t="s">
        <v>437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470</v>
      </c>
    </row>
    <row r="167" spans="1:14">
      <c r="A167" s="5" t="s">
        <v>485</v>
      </c>
      <c r="B167" s="5" t="s">
        <v>438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470</v>
      </c>
    </row>
    <row r="168" spans="1:14">
      <c r="A168" s="5" t="s">
        <v>485</v>
      </c>
      <c r="B168" s="5" t="s">
        <v>439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470</v>
      </c>
    </row>
    <row r="169" spans="1:14">
      <c r="A169" s="5" t="s">
        <v>485</v>
      </c>
      <c r="B169" s="5" t="s">
        <v>443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470</v>
      </c>
    </row>
    <row r="170" spans="1:14">
      <c r="A170" s="5" t="s">
        <v>485</v>
      </c>
      <c r="B170" s="5" t="s">
        <v>441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470</v>
      </c>
    </row>
    <row r="171" spans="1:14">
      <c r="A171" s="5" t="s">
        <v>485</v>
      </c>
      <c r="B171" s="5" t="s">
        <v>445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485</v>
      </c>
      <c r="B172" s="5" t="s">
        <v>447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485</v>
      </c>
      <c r="B173" s="5" t="s">
        <v>448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485</v>
      </c>
      <c r="B174" s="5" t="s">
        <v>446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471</v>
      </c>
    </row>
    <row r="175" spans="1:14">
      <c r="A175" s="5" t="s">
        <v>485</v>
      </c>
      <c r="B175" s="5" t="s">
        <v>460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</sheetData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2578125" defaultRowHeight="15"/>
  <cols>
    <col min="1" max="1" width="24" customWidth="1"/>
    <col min="2" max="2" width="40.5703125" customWidth="1"/>
    <col min="3" max="3" width="10.140625" bestFit="1" customWidth="1"/>
    <col min="11" max="11" width="11.42578125" customWidth="1"/>
    <col min="12" max="12" width="3.42578125" customWidth="1"/>
  </cols>
  <sheetData>
    <row r="1" spans="1:11">
      <c r="A1" t="s">
        <v>405</v>
      </c>
    </row>
    <row r="2" spans="1:11">
      <c r="A2" t="s">
        <v>6</v>
      </c>
    </row>
    <row r="3" spans="1:11">
      <c r="A3" t="s">
        <v>383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workbookViewId="0">
      <selection activeCell="I208" sqref="I208"/>
    </sheetView>
  </sheetViews>
  <sheetFormatPr defaultColWidth="11.42578125" defaultRowHeight="15"/>
  <cols>
    <col min="2" max="2" width="25.42578125" customWidth="1"/>
  </cols>
  <sheetData>
    <row r="1" spans="1:3">
      <c r="A1" t="s">
        <v>407</v>
      </c>
    </row>
    <row r="2" spans="1:3">
      <c r="A2" t="s">
        <v>11</v>
      </c>
    </row>
    <row r="3" spans="1:3">
      <c r="A3" t="s">
        <v>406</v>
      </c>
    </row>
    <row r="5" spans="1:3">
      <c r="A5" t="s">
        <v>485</v>
      </c>
      <c r="B5" t="s">
        <v>170</v>
      </c>
      <c r="C5">
        <v>101</v>
      </c>
    </row>
    <row r="6" spans="1:3">
      <c r="A6" t="s">
        <v>485</v>
      </c>
      <c r="B6" t="s">
        <v>171</v>
      </c>
      <c r="C6">
        <v>101</v>
      </c>
    </row>
    <row r="7" spans="1:3">
      <c r="A7" t="s">
        <v>485</v>
      </c>
      <c r="B7" t="s">
        <v>135</v>
      </c>
      <c r="C7">
        <v>11</v>
      </c>
    </row>
    <row r="8" spans="1:3">
      <c r="A8" t="s">
        <v>485</v>
      </c>
      <c r="B8" t="s">
        <v>136</v>
      </c>
      <c r="C8">
        <v>20</v>
      </c>
    </row>
    <row r="9" spans="1:3">
      <c r="A9" t="s">
        <v>485</v>
      </c>
      <c r="B9" t="s">
        <v>147</v>
      </c>
      <c r="C9">
        <v>40</v>
      </c>
    </row>
    <row r="10" spans="1:3">
      <c r="A10" t="s">
        <v>485</v>
      </c>
      <c r="B10" t="s">
        <v>148</v>
      </c>
      <c r="C10">
        <v>40</v>
      </c>
    </row>
    <row r="11" spans="1:3">
      <c r="A11" t="s">
        <v>485</v>
      </c>
      <c r="B11" t="s">
        <v>245</v>
      </c>
      <c r="C11">
        <v>30</v>
      </c>
    </row>
    <row r="12" spans="1:3">
      <c r="A12" t="s">
        <v>485</v>
      </c>
      <c r="B12" t="s">
        <v>247</v>
      </c>
      <c r="C12">
        <v>30</v>
      </c>
    </row>
    <row r="13" spans="1:3">
      <c r="A13" t="s">
        <v>485</v>
      </c>
      <c r="B13" t="s">
        <v>134</v>
      </c>
      <c r="C13">
        <v>40</v>
      </c>
    </row>
    <row r="14" spans="1:3">
      <c r="A14" t="s">
        <v>485</v>
      </c>
      <c r="B14" t="s">
        <v>137</v>
      </c>
      <c r="C14">
        <v>40</v>
      </c>
    </row>
    <row r="15" spans="1:3">
      <c r="A15" t="s">
        <v>485</v>
      </c>
      <c r="B15" t="s">
        <v>191</v>
      </c>
      <c r="C15">
        <v>30</v>
      </c>
    </row>
    <row r="16" spans="1:3">
      <c r="A16" t="s">
        <v>485</v>
      </c>
      <c r="B16" s="2" t="s">
        <v>130</v>
      </c>
      <c r="C16">
        <v>26</v>
      </c>
    </row>
    <row r="17" spans="1:3">
      <c r="A17" t="s">
        <v>485</v>
      </c>
      <c r="B17" s="2" t="s">
        <v>131</v>
      </c>
      <c r="C17">
        <v>31</v>
      </c>
    </row>
    <row r="18" spans="1:3">
      <c r="A18" t="s">
        <v>485</v>
      </c>
      <c r="B18" s="2" t="s">
        <v>125</v>
      </c>
      <c r="C18">
        <v>21</v>
      </c>
    </row>
    <row r="19" spans="1:3">
      <c r="A19" t="s">
        <v>485</v>
      </c>
      <c r="B19" s="2" t="s">
        <v>57</v>
      </c>
      <c r="C19">
        <v>21</v>
      </c>
    </row>
    <row r="20" spans="1:3">
      <c r="A20" t="s">
        <v>485</v>
      </c>
      <c r="B20" s="2" t="s">
        <v>126</v>
      </c>
      <c r="C20">
        <v>21</v>
      </c>
    </row>
    <row r="21" spans="1:3">
      <c r="A21" t="s">
        <v>485</v>
      </c>
      <c r="B21" s="2" t="s">
        <v>127</v>
      </c>
      <c r="C21">
        <v>26</v>
      </c>
    </row>
    <row r="22" spans="1:3">
      <c r="A22" t="s">
        <v>485</v>
      </c>
      <c r="B22" s="2" t="s">
        <v>183</v>
      </c>
      <c r="C22">
        <v>21</v>
      </c>
    </row>
    <row r="23" spans="1:3">
      <c r="A23" t="s">
        <v>485</v>
      </c>
      <c r="B23" s="2" t="s">
        <v>188</v>
      </c>
      <c r="C23">
        <v>26</v>
      </c>
    </row>
    <row r="24" spans="1:3">
      <c r="A24" t="s">
        <v>485</v>
      </c>
      <c r="B24" s="2" t="s">
        <v>176</v>
      </c>
      <c r="C24">
        <v>26</v>
      </c>
    </row>
    <row r="25" spans="1:3">
      <c r="A25" t="s">
        <v>485</v>
      </c>
      <c r="B25" s="2" t="s">
        <v>496</v>
      </c>
      <c r="C25">
        <v>31</v>
      </c>
    </row>
    <row r="26" spans="1:3">
      <c r="A26" t="s">
        <v>485</v>
      </c>
      <c r="B26" s="2" t="s">
        <v>497</v>
      </c>
      <c r="C26">
        <v>31</v>
      </c>
    </row>
    <row r="27" spans="1:3">
      <c r="A27" t="s">
        <v>485</v>
      </c>
      <c r="B27" t="s">
        <v>158</v>
      </c>
      <c r="C27">
        <v>31</v>
      </c>
    </row>
    <row r="28" spans="1:3">
      <c r="A28" t="s">
        <v>485</v>
      </c>
      <c r="B28" t="s">
        <v>103</v>
      </c>
      <c r="C28">
        <v>51</v>
      </c>
    </row>
    <row r="29" spans="1:3">
      <c r="A29" t="s">
        <v>485</v>
      </c>
      <c r="B29" t="s">
        <v>102</v>
      </c>
      <c r="C29">
        <v>31</v>
      </c>
    </row>
    <row r="30" spans="1:3">
      <c r="A30" t="s">
        <v>485</v>
      </c>
      <c r="B30" t="s">
        <v>22</v>
      </c>
      <c r="C30">
        <v>31</v>
      </c>
    </row>
    <row r="31" spans="1:3">
      <c r="A31" t="s">
        <v>485</v>
      </c>
      <c r="B31" t="s">
        <v>23</v>
      </c>
      <c r="C31">
        <v>41</v>
      </c>
    </row>
    <row r="32" spans="1:3">
      <c r="A32" t="s">
        <v>485</v>
      </c>
      <c r="B32" t="s">
        <v>56</v>
      </c>
      <c r="C32">
        <v>31</v>
      </c>
    </row>
    <row r="33" spans="1:3">
      <c r="A33" t="s">
        <v>485</v>
      </c>
      <c r="B33" s="2" t="s">
        <v>132</v>
      </c>
      <c r="C33">
        <v>16</v>
      </c>
    </row>
    <row r="34" spans="1:3">
      <c r="A34" t="s">
        <v>485</v>
      </c>
      <c r="B34" s="2" t="s">
        <v>58</v>
      </c>
      <c r="C34">
        <v>16</v>
      </c>
    </row>
    <row r="35" spans="1:3">
      <c r="A35" t="s">
        <v>485</v>
      </c>
      <c r="B35" s="2" t="s">
        <v>133</v>
      </c>
      <c r="C35">
        <v>16</v>
      </c>
    </row>
    <row r="36" spans="1:3">
      <c r="A36" t="s">
        <v>485</v>
      </c>
      <c r="B36" s="2" t="s">
        <v>128</v>
      </c>
      <c r="C36">
        <v>26</v>
      </c>
    </row>
    <row r="37" spans="1:3">
      <c r="A37" t="s">
        <v>485</v>
      </c>
      <c r="B37" s="2" t="s">
        <v>129</v>
      </c>
      <c r="C37">
        <v>31</v>
      </c>
    </row>
    <row r="38" spans="1:3">
      <c r="A38" t="s">
        <v>485</v>
      </c>
      <c r="B38" s="2" t="s">
        <v>60</v>
      </c>
      <c r="C38">
        <v>16</v>
      </c>
    </row>
    <row r="39" spans="1:3">
      <c r="A39" t="s">
        <v>485</v>
      </c>
      <c r="B39" s="2" t="s">
        <v>123</v>
      </c>
      <c r="C39">
        <v>21</v>
      </c>
    </row>
    <row r="40" spans="1:3">
      <c r="A40" t="s">
        <v>485</v>
      </c>
      <c r="B40" s="2" t="s">
        <v>59</v>
      </c>
      <c r="C40">
        <v>21</v>
      </c>
    </row>
    <row r="41" spans="1:3">
      <c r="A41" t="s">
        <v>485</v>
      </c>
      <c r="B41" s="2" t="s">
        <v>124</v>
      </c>
      <c r="C41">
        <v>21</v>
      </c>
    </row>
    <row r="42" spans="1:3">
      <c r="A42" t="s">
        <v>485</v>
      </c>
      <c r="B42" s="2" t="s">
        <v>189</v>
      </c>
      <c r="C42">
        <v>21</v>
      </c>
    </row>
    <row r="43" spans="1:3">
      <c r="A43" t="s">
        <v>485</v>
      </c>
      <c r="B43" s="2" t="s">
        <v>187</v>
      </c>
      <c r="C43">
        <v>21</v>
      </c>
    </row>
    <row r="44" spans="1:3">
      <c r="A44" t="s">
        <v>485</v>
      </c>
      <c r="B44" t="s">
        <v>86</v>
      </c>
      <c r="C44">
        <v>31</v>
      </c>
    </row>
    <row r="45" spans="1:3">
      <c r="A45" t="s">
        <v>485</v>
      </c>
      <c r="B45" t="s">
        <v>85</v>
      </c>
      <c r="C45">
        <v>31</v>
      </c>
    </row>
    <row r="46" spans="1:3">
      <c r="A46" t="s">
        <v>485</v>
      </c>
      <c r="B46" t="s">
        <v>84</v>
      </c>
      <c r="C46">
        <v>31</v>
      </c>
    </row>
    <row r="47" spans="1:3">
      <c r="A47" t="s">
        <v>485</v>
      </c>
      <c r="B47" t="s">
        <v>87</v>
      </c>
      <c r="C47">
        <v>31</v>
      </c>
    </row>
    <row r="48" spans="1:3">
      <c r="A48" t="s">
        <v>485</v>
      </c>
      <c r="B48" t="s">
        <v>88</v>
      </c>
      <c r="C48">
        <v>31</v>
      </c>
    </row>
    <row r="49" spans="1:3">
      <c r="A49" t="s">
        <v>485</v>
      </c>
      <c r="B49" t="s">
        <v>153</v>
      </c>
      <c r="C49">
        <v>101</v>
      </c>
    </row>
    <row r="50" spans="1:3">
      <c r="A50" t="s">
        <v>485</v>
      </c>
      <c r="B50" t="s">
        <v>96</v>
      </c>
      <c r="C50">
        <v>31</v>
      </c>
    </row>
    <row r="51" spans="1:3">
      <c r="A51" t="s">
        <v>485</v>
      </c>
      <c r="B51" t="s">
        <v>101</v>
      </c>
      <c r="C51">
        <v>41</v>
      </c>
    </row>
    <row r="52" spans="1:3">
      <c r="A52" t="s">
        <v>485</v>
      </c>
      <c r="B52" t="s">
        <v>98</v>
      </c>
      <c r="C52">
        <v>81</v>
      </c>
    </row>
    <row r="53" spans="1:3">
      <c r="A53" t="s">
        <v>485</v>
      </c>
      <c r="B53" t="s">
        <v>99</v>
      </c>
      <c r="C53">
        <v>81</v>
      </c>
    </row>
    <row r="54" spans="1:3">
      <c r="A54" t="s">
        <v>485</v>
      </c>
      <c r="B54" t="s">
        <v>100</v>
      </c>
      <c r="C54">
        <v>21</v>
      </c>
    </row>
    <row r="55" spans="1:3">
      <c r="A55" t="s">
        <v>485</v>
      </c>
      <c r="B55" t="s">
        <v>172</v>
      </c>
      <c r="C55">
        <v>21</v>
      </c>
    </row>
    <row r="56" spans="1:3">
      <c r="A56" t="s">
        <v>485</v>
      </c>
      <c r="B56" t="s">
        <v>173</v>
      </c>
      <c r="C56">
        <v>21</v>
      </c>
    </row>
    <row r="57" spans="1:3">
      <c r="A57" t="s">
        <v>485</v>
      </c>
      <c r="B57" t="s">
        <v>90</v>
      </c>
      <c r="C57">
        <v>21</v>
      </c>
    </row>
    <row r="58" spans="1:3">
      <c r="A58" t="s">
        <v>485</v>
      </c>
      <c r="B58" t="s">
        <v>89</v>
      </c>
      <c r="C58">
        <v>21</v>
      </c>
    </row>
    <row r="59" spans="1:3">
      <c r="A59" t="s">
        <v>485</v>
      </c>
      <c r="B59" t="s">
        <v>91</v>
      </c>
      <c r="C59">
        <v>21</v>
      </c>
    </row>
    <row r="60" spans="1:3">
      <c r="A60" t="s">
        <v>485</v>
      </c>
      <c r="B60" t="s">
        <v>165</v>
      </c>
      <c r="C60">
        <v>21</v>
      </c>
    </row>
    <row r="61" spans="1:3">
      <c r="A61" t="s">
        <v>485</v>
      </c>
      <c r="B61" t="s">
        <v>166</v>
      </c>
      <c r="C61">
        <v>21</v>
      </c>
    </row>
    <row r="62" spans="1:3">
      <c r="A62" t="s">
        <v>485</v>
      </c>
      <c r="B62" t="s">
        <v>167</v>
      </c>
      <c r="C62">
        <v>21</v>
      </c>
    </row>
    <row r="63" spans="1:3">
      <c r="A63" t="s">
        <v>485</v>
      </c>
      <c r="B63" t="s">
        <v>93</v>
      </c>
      <c r="C63">
        <v>21</v>
      </c>
    </row>
    <row r="64" spans="1:3">
      <c r="A64" t="s">
        <v>485</v>
      </c>
      <c r="B64" t="s">
        <v>92</v>
      </c>
      <c r="C64">
        <v>21</v>
      </c>
    </row>
    <row r="65" spans="1:3">
      <c r="A65" t="s">
        <v>485</v>
      </c>
      <c r="B65" t="s">
        <v>94</v>
      </c>
      <c r="C65">
        <v>21</v>
      </c>
    </row>
    <row r="66" spans="1:3">
      <c r="A66" t="s">
        <v>485</v>
      </c>
      <c r="B66" t="s">
        <v>121</v>
      </c>
      <c r="C66">
        <v>31</v>
      </c>
    </row>
    <row r="67" spans="1:3">
      <c r="A67" t="s">
        <v>485</v>
      </c>
      <c r="B67" t="s">
        <v>122</v>
      </c>
      <c r="C67">
        <v>31</v>
      </c>
    </row>
    <row r="68" spans="1:3">
      <c r="A68" t="s">
        <v>485</v>
      </c>
      <c r="B68" t="s">
        <v>157</v>
      </c>
      <c r="C68">
        <v>31</v>
      </c>
    </row>
    <row r="69" spans="1:3">
      <c r="A69" t="s">
        <v>485</v>
      </c>
      <c r="B69" t="s">
        <v>195</v>
      </c>
      <c r="C69">
        <v>101</v>
      </c>
    </row>
    <row r="70" spans="1:3">
      <c r="A70" t="s">
        <v>485</v>
      </c>
      <c r="B70" t="s">
        <v>193</v>
      </c>
      <c r="C70">
        <v>31</v>
      </c>
    </row>
    <row r="71" spans="1:3">
      <c r="A71" t="s">
        <v>485</v>
      </c>
      <c r="B71" t="s">
        <v>194</v>
      </c>
      <c r="C71">
        <v>31</v>
      </c>
    </row>
    <row r="72" spans="1:3">
      <c r="A72" t="s">
        <v>485</v>
      </c>
      <c r="B72" t="s">
        <v>219</v>
      </c>
      <c r="C72">
        <v>26</v>
      </c>
    </row>
    <row r="73" spans="1:3">
      <c r="A73" t="s">
        <v>485</v>
      </c>
      <c r="B73" t="s">
        <v>206</v>
      </c>
      <c r="C73">
        <v>26</v>
      </c>
    </row>
    <row r="74" spans="1:3">
      <c r="A74" t="s">
        <v>485</v>
      </c>
      <c r="B74" t="s">
        <v>201</v>
      </c>
      <c r="C74">
        <v>26</v>
      </c>
    </row>
    <row r="75" spans="1:3">
      <c r="A75" t="s">
        <v>485</v>
      </c>
      <c r="B75" t="s">
        <v>205</v>
      </c>
      <c r="C75">
        <v>26</v>
      </c>
    </row>
    <row r="76" spans="1:3">
      <c r="A76" t="s">
        <v>485</v>
      </c>
      <c r="B76" t="s">
        <v>202</v>
      </c>
      <c r="C76">
        <v>26</v>
      </c>
    </row>
    <row r="77" spans="1:3">
      <c r="A77" t="s">
        <v>485</v>
      </c>
      <c r="B77" t="s">
        <v>203</v>
      </c>
      <c r="C77">
        <v>26</v>
      </c>
    </row>
    <row r="78" spans="1:3">
      <c r="A78" t="s">
        <v>485</v>
      </c>
      <c r="B78" t="s">
        <v>204</v>
      </c>
      <c r="C78">
        <v>26</v>
      </c>
    </row>
    <row r="79" spans="1:3">
      <c r="A79" t="s">
        <v>485</v>
      </c>
      <c r="B79" t="s">
        <v>227</v>
      </c>
      <c r="C79">
        <v>26</v>
      </c>
    </row>
    <row r="80" spans="1:3">
      <c r="A80" t="s">
        <v>485</v>
      </c>
      <c r="B80" t="s">
        <v>228</v>
      </c>
      <c r="C80">
        <v>26</v>
      </c>
    </row>
    <row r="81" spans="1:3">
      <c r="A81" t="s">
        <v>485</v>
      </c>
      <c r="B81" t="s">
        <v>229</v>
      </c>
      <c r="C81">
        <v>26</v>
      </c>
    </row>
    <row r="82" spans="1:3">
      <c r="A82" t="s">
        <v>485</v>
      </c>
      <c r="B82" t="s">
        <v>230</v>
      </c>
      <c r="C82">
        <v>21</v>
      </c>
    </row>
    <row r="83" spans="1:3">
      <c r="A83" t="s">
        <v>485</v>
      </c>
      <c r="B83" t="s">
        <v>231</v>
      </c>
      <c r="C83">
        <v>21</v>
      </c>
    </row>
    <row r="84" spans="1:3">
      <c r="A84" t="s">
        <v>485</v>
      </c>
      <c r="B84" t="s">
        <v>210</v>
      </c>
      <c r="C84">
        <v>41</v>
      </c>
    </row>
    <row r="85" spans="1:3">
      <c r="A85" t="s">
        <v>485</v>
      </c>
      <c r="B85" t="s">
        <v>220</v>
      </c>
      <c r="C85">
        <v>26</v>
      </c>
    </row>
    <row r="86" spans="1:3">
      <c r="A86" t="s">
        <v>485</v>
      </c>
      <c r="B86" t="s">
        <v>221</v>
      </c>
      <c r="C86">
        <v>26</v>
      </c>
    </row>
    <row r="87" spans="1:3">
      <c r="A87" t="s">
        <v>485</v>
      </c>
      <c r="B87" t="s">
        <v>211</v>
      </c>
      <c r="C87">
        <v>26</v>
      </c>
    </row>
    <row r="88" spans="1:3">
      <c r="A88" t="s">
        <v>485</v>
      </c>
      <c r="B88" t="s">
        <v>212</v>
      </c>
      <c r="C88">
        <v>26</v>
      </c>
    </row>
    <row r="89" spans="1:3">
      <c r="A89" t="s">
        <v>485</v>
      </c>
      <c r="B89" t="s">
        <v>213</v>
      </c>
      <c r="C89">
        <v>26</v>
      </c>
    </row>
    <row r="90" spans="1:3">
      <c r="A90" t="s">
        <v>485</v>
      </c>
      <c r="B90" t="s">
        <v>214</v>
      </c>
      <c r="C90">
        <v>26</v>
      </c>
    </row>
    <row r="91" spans="1:3">
      <c r="A91" t="s">
        <v>485</v>
      </c>
      <c r="B91" t="s">
        <v>215</v>
      </c>
      <c r="C91">
        <v>26</v>
      </c>
    </row>
    <row r="92" spans="1:3">
      <c r="A92" t="s">
        <v>485</v>
      </c>
      <c r="B92" t="s">
        <v>216</v>
      </c>
      <c r="C92">
        <v>26</v>
      </c>
    </row>
    <row r="93" spans="1:3">
      <c r="A93" t="s">
        <v>485</v>
      </c>
      <c r="B93" t="s">
        <v>244</v>
      </c>
      <c r="C93">
        <v>26</v>
      </c>
    </row>
    <row r="94" spans="1:3">
      <c r="A94" t="s">
        <v>485</v>
      </c>
      <c r="B94" t="s">
        <v>233</v>
      </c>
      <c r="C94">
        <v>21</v>
      </c>
    </row>
    <row r="95" spans="1:3">
      <c r="A95" t="s">
        <v>485</v>
      </c>
      <c r="B95" t="s">
        <v>234</v>
      </c>
      <c r="C95">
        <v>31</v>
      </c>
    </row>
    <row r="96" spans="1:3">
      <c r="A96" t="s">
        <v>485</v>
      </c>
      <c r="B96" t="s">
        <v>217</v>
      </c>
      <c r="C96">
        <v>41</v>
      </c>
    </row>
    <row r="97" spans="1:3">
      <c r="A97" t="s">
        <v>485</v>
      </c>
      <c r="B97" t="s">
        <v>222</v>
      </c>
      <c r="C97">
        <v>21</v>
      </c>
    </row>
    <row r="98" spans="1:3">
      <c r="A98" t="s">
        <v>485</v>
      </c>
      <c r="B98" t="s">
        <v>218</v>
      </c>
      <c r="C98">
        <v>31</v>
      </c>
    </row>
    <row r="99" spans="1:3">
      <c r="A99" t="s">
        <v>485</v>
      </c>
      <c r="B99" t="s">
        <v>232</v>
      </c>
      <c r="C99">
        <v>26</v>
      </c>
    </row>
    <row r="100" spans="1:3">
      <c r="A100" t="s">
        <v>485</v>
      </c>
      <c r="B100" s="15" t="s">
        <v>225</v>
      </c>
      <c r="C100">
        <v>31</v>
      </c>
    </row>
    <row r="101" spans="1:3">
      <c r="A101" t="s">
        <v>485</v>
      </c>
      <c r="B101" s="15" t="s">
        <v>236</v>
      </c>
      <c r="C101">
        <v>31</v>
      </c>
    </row>
    <row r="102" spans="1:3">
      <c r="A102" t="s">
        <v>485</v>
      </c>
      <c r="B102" s="15" t="s">
        <v>223</v>
      </c>
      <c r="C102">
        <v>31</v>
      </c>
    </row>
    <row r="103" spans="1:3">
      <c r="A103" t="s">
        <v>485</v>
      </c>
      <c r="B103" s="15" t="s">
        <v>224</v>
      </c>
      <c r="C103">
        <v>31</v>
      </c>
    </row>
    <row r="104" spans="1:3">
      <c r="A104" t="s">
        <v>485</v>
      </c>
      <c r="B104" s="15" t="s">
        <v>235</v>
      </c>
      <c r="C104">
        <v>31</v>
      </c>
    </row>
    <row r="105" spans="1:3">
      <c r="A105" t="s">
        <v>485</v>
      </c>
      <c r="B105" s="15" t="s">
        <v>226</v>
      </c>
      <c r="C105">
        <v>31</v>
      </c>
    </row>
    <row r="106" spans="1:3">
      <c r="A106" t="s">
        <v>485</v>
      </c>
      <c r="B106" t="s">
        <v>238</v>
      </c>
      <c r="C106">
        <v>26</v>
      </c>
    </row>
    <row r="107" spans="1:3">
      <c r="A107" t="s">
        <v>485</v>
      </c>
      <c r="B107" t="s">
        <v>239</v>
      </c>
      <c r="C107">
        <v>21</v>
      </c>
    </row>
    <row r="108" spans="1:3">
      <c r="A108" t="s">
        <v>485</v>
      </c>
      <c r="B108" t="s">
        <v>240</v>
      </c>
      <c r="C108">
        <v>21</v>
      </c>
    </row>
    <row r="109" spans="1:3">
      <c r="A109" t="s">
        <v>485</v>
      </c>
      <c r="B109" t="s">
        <v>241</v>
      </c>
      <c r="C109">
        <v>21</v>
      </c>
    </row>
    <row r="110" spans="1:3">
      <c r="A110" t="s">
        <v>485</v>
      </c>
      <c r="B110" t="s">
        <v>242</v>
      </c>
      <c r="C110">
        <v>21</v>
      </c>
    </row>
    <row r="111" spans="1:3">
      <c r="A111" t="s">
        <v>485</v>
      </c>
      <c r="B111" t="s">
        <v>243</v>
      </c>
      <c r="C111">
        <v>26</v>
      </c>
    </row>
    <row r="112" spans="1:3">
      <c r="A112" t="s">
        <v>485</v>
      </c>
      <c r="B112" t="s">
        <v>249</v>
      </c>
      <c r="C112">
        <v>21</v>
      </c>
    </row>
    <row r="113" spans="1:3">
      <c r="A113" t="s">
        <v>485</v>
      </c>
      <c r="B113" t="s">
        <v>250</v>
      </c>
      <c r="C113">
        <v>21</v>
      </c>
    </row>
    <row r="114" spans="1:3">
      <c r="A114" t="s">
        <v>485</v>
      </c>
      <c r="B114" t="s">
        <v>262</v>
      </c>
      <c r="C114">
        <v>26</v>
      </c>
    </row>
    <row r="115" spans="1:3">
      <c r="A115" t="s">
        <v>485</v>
      </c>
      <c r="B115" t="s">
        <v>256</v>
      </c>
      <c r="C115">
        <v>31</v>
      </c>
    </row>
    <row r="116" spans="1:3">
      <c r="A116" t="s">
        <v>485</v>
      </c>
      <c r="B116" t="s">
        <v>257</v>
      </c>
      <c r="C116">
        <v>26</v>
      </c>
    </row>
    <row r="117" spans="1:3">
      <c r="A117" t="s">
        <v>485</v>
      </c>
      <c r="B117" t="s">
        <v>263</v>
      </c>
      <c r="C117">
        <v>26</v>
      </c>
    </row>
    <row r="118" spans="1:3">
      <c r="A118" t="s">
        <v>485</v>
      </c>
      <c r="B118" t="s">
        <v>254</v>
      </c>
      <c r="C118">
        <v>26</v>
      </c>
    </row>
    <row r="119" spans="1:3">
      <c r="A119" t="s">
        <v>485</v>
      </c>
      <c r="B119" t="s">
        <v>255</v>
      </c>
      <c r="C119">
        <v>26</v>
      </c>
    </row>
    <row r="120" spans="1:3">
      <c r="A120" t="s">
        <v>485</v>
      </c>
      <c r="B120" t="s">
        <v>258</v>
      </c>
      <c r="C120">
        <v>26</v>
      </c>
    </row>
    <row r="121" spans="1:3">
      <c r="A121" t="s">
        <v>485</v>
      </c>
      <c r="B121" t="s">
        <v>259</v>
      </c>
      <c r="C121">
        <v>31</v>
      </c>
    </row>
    <row r="122" spans="1:3">
      <c r="A122" t="s">
        <v>485</v>
      </c>
      <c r="B122" t="s">
        <v>251</v>
      </c>
      <c r="C122">
        <v>51</v>
      </c>
    </row>
    <row r="123" spans="1:3">
      <c r="A123" t="s">
        <v>485</v>
      </c>
      <c r="B123" t="s">
        <v>252</v>
      </c>
      <c r="C123">
        <v>51</v>
      </c>
    </row>
    <row r="124" spans="1:3">
      <c r="A124" t="s">
        <v>485</v>
      </c>
      <c r="B124" t="s">
        <v>253</v>
      </c>
      <c r="C124">
        <v>41</v>
      </c>
    </row>
    <row r="125" spans="1:3">
      <c r="A125" t="s">
        <v>485</v>
      </c>
      <c r="B125" t="s">
        <v>260</v>
      </c>
      <c r="C125">
        <v>21</v>
      </c>
    </row>
    <row r="126" spans="1:3">
      <c r="A126" t="s">
        <v>485</v>
      </c>
      <c r="B126" t="s">
        <v>261</v>
      </c>
      <c r="C126">
        <v>21</v>
      </c>
    </row>
    <row r="127" spans="1:3">
      <c r="A127" t="s">
        <v>485</v>
      </c>
      <c r="B127" t="s">
        <v>264</v>
      </c>
      <c r="C127">
        <v>21</v>
      </c>
    </row>
    <row r="128" spans="1:3">
      <c r="A128" t="s">
        <v>485</v>
      </c>
      <c r="B128" t="s">
        <v>265</v>
      </c>
      <c r="C128">
        <v>100</v>
      </c>
    </row>
    <row r="129" spans="1:3">
      <c r="A129" s="11" t="s">
        <v>485</v>
      </c>
      <c r="B129" t="s">
        <v>267</v>
      </c>
      <c r="C129">
        <v>36</v>
      </c>
    </row>
    <row r="130" spans="1:3">
      <c r="A130" s="11" t="s">
        <v>485</v>
      </c>
      <c r="B130" t="s">
        <v>268</v>
      </c>
      <c r="C130">
        <v>36</v>
      </c>
    </row>
    <row r="131" spans="1:3">
      <c r="A131" s="11" t="s">
        <v>485</v>
      </c>
      <c r="B131" t="s">
        <v>269</v>
      </c>
      <c r="C131">
        <v>31</v>
      </c>
    </row>
    <row r="132" spans="1:3">
      <c r="A132" t="s">
        <v>485</v>
      </c>
      <c r="B132" t="s">
        <v>300</v>
      </c>
      <c r="C132">
        <v>21</v>
      </c>
    </row>
    <row r="133" spans="1:3">
      <c r="A133" t="s">
        <v>485</v>
      </c>
      <c r="B133" t="s">
        <v>306</v>
      </c>
      <c r="C133">
        <v>101</v>
      </c>
    </row>
    <row r="134" spans="1:3">
      <c r="A134" t="s">
        <v>485</v>
      </c>
      <c r="B134" t="s">
        <v>301</v>
      </c>
      <c r="C134">
        <v>101</v>
      </c>
    </row>
    <row r="135" spans="1:3">
      <c r="A135" t="s">
        <v>485</v>
      </c>
      <c r="B135" t="s">
        <v>304</v>
      </c>
      <c r="C135">
        <v>101</v>
      </c>
    </row>
    <row r="136" spans="1:3">
      <c r="A136" t="s">
        <v>485</v>
      </c>
      <c r="B136" t="s">
        <v>303</v>
      </c>
      <c r="C136">
        <v>101</v>
      </c>
    </row>
    <row r="137" spans="1:3">
      <c r="A137" t="s">
        <v>485</v>
      </c>
      <c r="B137" t="s">
        <v>305</v>
      </c>
      <c r="C137">
        <v>101</v>
      </c>
    </row>
    <row r="138" spans="1:3">
      <c r="A138" t="s">
        <v>485</v>
      </c>
      <c r="B138" t="s">
        <v>302</v>
      </c>
      <c r="C138">
        <v>101</v>
      </c>
    </row>
    <row r="139" spans="1:3">
      <c r="A139" s="18" t="s">
        <v>485</v>
      </c>
      <c r="B139" s="2" t="s">
        <v>310</v>
      </c>
      <c r="C139">
        <v>41</v>
      </c>
    </row>
    <row r="140" spans="1:3">
      <c r="A140" s="18" t="s">
        <v>485</v>
      </c>
      <c r="B140" s="2" t="s">
        <v>311</v>
      </c>
      <c r="C140">
        <v>41</v>
      </c>
    </row>
    <row r="141" spans="1:3">
      <c r="A141" s="18" t="s">
        <v>485</v>
      </c>
      <c r="B141" s="2" t="s">
        <v>316</v>
      </c>
      <c r="C141">
        <v>21</v>
      </c>
    </row>
    <row r="142" spans="1:3">
      <c r="A142" s="18" t="s">
        <v>485</v>
      </c>
      <c r="B142" s="2" t="s">
        <v>498</v>
      </c>
      <c r="C142">
        <v>31</v>
      </c>
    </row>
    <row r="143" spans="1:3">
      <c r="A143" s="18" t="s">
        <v>485</v>
      </c>
      <c r="B143" s="2" t="s">
        <v>317</v>
      </c>
      <c r="C143">
        <v>21</v>
      </c>
    </row>
    <row r="144" spans="1:3">
      <c r="A144" s="18" t="s">
        <v>485</v>
      </c>
      <c r="B144" t="s">
        <v>327</v>
      </c>
      <c r="C144">
        <v>31</v>
      </c>
    </row>
    <row r="145" spans="1:6">
      <c r="A145" s="6" t="s">
        <v>485</v>
      </c>
      <c r="B145" s="2" t="s">
        <v>329</v>
      </c>
      <c r="C145">
        <v>21</v>
      </c>
    </row>
    <row r="146" spans="1:6">
      <c r="A146" s="6" t="s">
        <v>485</v>
      </c>
      <c r="B146" s="2" t="s">
        <v>330</v>
      </c>
      <c r="C146">
        <v>21</v>
      </c>
    </row>
    <row r="147" spans="1:6">
      <c r="A147" t="s">
        <v>485</v>
      </c>
      <c r="B147" s="2" t="s">
        <v>331</v>
      </c>
      <c r="C147">
        <v>101</v>
      </c>
    </row>
    <row r="148" spans="1:6">
      <c r="A148" t="s">
        <v>485</v>
      </c>
      <c r="B148" t="s">
        <v>332</v>
      </c>
      <c r="C148">
        <v>101</v>
      </c>
    </row>
    <row r="149" spans="1:6">
      <c r="A149" t="s">
        <v>485</v>
      </c>
      <c r="B149" t="s">
        <v>333</v>
      </c>
      <c r="C149">
        <v>101</v>
      </c>
    </row>
    <row r="150" spans="1:6">
      <c r="A150" t="s">
        <v>485</v>
      </c>
      <c r="B150" t="s">
        <v>449</v>
      </c>
      <c r="C150">
        <v>31</v>
      </c>
    </row>
    <row r="151" spans="1:6">
      <c r="A151" t="s">
        <v>485</v>
      </c>
      <c r="B151" t="s">
        <v>451</v>
      </c>
      <c r="C151">
        <v>31</v>
      </c>
    </row>
    <row r="152" spans="1:6">
      <c r="A152" t="s">
        <v>485</v>
      </c>
      <c r="B152" t="s">
        <v>450</v>
      </c>
      <c r="C152">
        <v>31</v>
      </c>
    </row>
    <row r="153" spans="1:6">
      <c r="A153" t="s">
        <v>485</v>
      </c>
      <c r="B153" t="s">
        <v>436</v>
      </c>
      <c r="C153">
        <v>31</v>
      </c>
      <c r="E153" t="s">
        <v>470</v>
      </c>
      <c r="F153" t="s">
        <v>472</v>
      </c>
    </row>
    <row r="154" spans="1:6">
      <c r="A154" t="s">
        <v>485</v>
      </c>
      <c r="B154" t="s">
        <v>104</v>
      </c>
      <c r="C154">
        <v>31</v>
      </c>
      <c r="E154" t="s">
        <v>470</v>
      </c>
      <c r="F154" t="s">
        <v>472</v>
      </c>
    </row>
    <row r="155" spans="1:6">
      <c r="A155" t="s">
        <v>485</v>
      </c>
      <c r="B155" t="s">
        <v>105</v>
      </c>
      <c r="C155">
        <v>31</v>
      </c>
      <c r="E155" t="s">
        <v>470</v>
      </c>
      <c r="F155" t="s">
        <v>472</v>
      </c>
    </row>
    <row r="156" spans="1:6">
      <c r="A156" t="s">
        <v>485</v>
      </c>
      <c r="B156" t="s">
        <v>442</v>
      </c>
      <c r="C156">
        <v>26</v>
      </c>
      <c r="E156" t="s">
        <v>470</v>
      </c>
      <c r="F156" t="s">
        <v>472</v>
      </c>
    </row>
    <row r="157" spans="1:6">
      <c r="A157" t="s">
        <v>485</v>
      </c>
      <c r="B157" t="s">
        <v>440</v>
      </c>
      <c r="C157">
        <v>26</v>
      </c>
      <c r="E157" t="s">
        <v>470</v>
      </c>
      <c r="F157" t="s">
        <v>472</v>
      </c>
    </row>
    <row r="158" spans="1:6">
      <c r="A158" t="s">
        <v>485</v>
      </c>
      <c r="B158" t="s">
        <v>444</v>
      </c>
      <c r="C158">
        <v>26</v>
      </c>
      <c r="E158" t="s">
        <v>470</v>
      </c>
      <c r="F158" t="s">
        <v>472</v>
      </c>
    </row>
    <row r="159" spans="1:6">
      <c r="A159" t="s">
        <v>485</v>
      </c>
      <c r="B159" t="s">
        <v>437</v>
      </c>
      <c r="C159">
        <v>31</v>
      </c>
      <c r="E159" t="s">
        <v>470</v>
      </c>
      <c r="F159" t="s">
        <v>472</v>
      </c>
    </row>
    <row r="160" spans="1:6">
      <c r="A160" t="s">
        <v>485</v>
      </c>
      <c r="B160" t="s">
        <v>438</v>
      </c>
      <c r="C160">
        <v>31</v>
      </c>
      <c r="E160" t="s">
        <v>470</v>
      </c>
      <c r="F160" t="s">
        <v>472</v>
      </c>
    </row>
    <row r="161" spans="1:6">
      <c r="A161" t="s">
        <v>485</v>
      </c>
      <c r="B161" t="s">
        <v>439</v>
      </c>
      <c r="C161">
        <v>31</v>
      </c>
      <c r="E161" t="s">
        <v>470</v>
      </c>
      <c r="F161" t="s">
        <v>472</v>
      </c>
    </row>
    <row r="162" spans="1:6">
      <c r="A162" t="s">
        <v>485</v>
      </c>
      <c r="B162" t="s">
        <v>443</v>
      </c>
      <c r="C162">
        <v>26</v>
      </c>
      <c r="E162" t="s">
        <v>470</v>
      </c>
      <c r="F162" t="s">
        <v>472</v>
      </c>
    </row>
    <row r="163" spans="1:6">
      <c r="A163" t="s">
        <v>485</v>
      </c>
      <c r="B163" t="s">
        <v>441</v>
      </c>
      <c r="C163">
        <v>26</v>
      </c>
      <c r="E163" t="s">
        <v>470</v>
      </c>
      <c r="F163" t="s">
        <v>472</v>
      </c>
    </row>
    <row r="164" spans="1:6">
      <c r="A164" t="s">
        <v>485</v>
      </c>
      <c r="B164" t="s">
        <v>445</v>
      </c>
      <c r="C164">
        <v>31</v>
      </c>
      <c r="E164" t="s">
        <v>473</v>
      </c>
    </row>
    <row r="165" spans="1:6">
      <c r="A165" t="s">
        <v>485</v>
      </c>
      <c r="B165" t="s">
        <v>447</v>
      </c>
      <c r="C165">
        <v>100</v>
      </c>
    </row>
    <row r="166" spans="1:6">
      <c r="A166" t="s">
        <v>485</v>
      </c>
      <c r="B166" t="s">
        <v>448</v>
      </c>
      <c r="C166">
        <v>100</v>
      </c>
    </row>
    <row r="167" spans="1:6">
      <c r="A167" t="s">
        <v>485</v>
      </c>
      <c r="B167" t="s">
        <v>446</v>
      </c>
      <c r="C167">
        <v>31</v>
      </c>
      <c r="E167" t="s">
        <v>474</v>
      </c>
    </row>
    <row r="168" spans="1:6">
      <c r="A168" t="s">
        <v>485</v>
      </c>
      <c r="B168" t="s">
        <v>460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J17"/>
  <sheetViews>
    <sheetView zoomScaleNormal="100" workbookViewId="0">
      <pane xSplit="1" topLeftCell="B1" activePane="topRight" state="frozen"/>
      <selection pane="topRight" activeCell="D17" sqref="D17"/>
    </sheetView>
  </sheetViews>
  <sheetFormatPr defaultColWidth="11.42578125" defaultRowHeight="15"/>
  <cols>
    <col min="1" max="1" width="11.42578125" style="4"/>
    <col min="2" max="2" width="29.42578125" style="4" customWidth="1"/>
    <col min="3" max="16384" width="11.42578125" style="4"/>
  </cols>
  <sheetData>
    <row r="1" spans="1:10">
      <c r="A1" s="4" t="s">
        <v>408</v>
      </c>
    </row>
    <row r="2" spans="1:10">
      <c r="A2" s="4" t="s">
        <v>54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17" spans="4:4">
      <c r="D17" s="4" t="s">
        <v>489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71"/>
  <sheetViews>
    <sheetView zoomScaleNormal="100" workbookViewId="0">
      <pane xSplit="1" topLeftCell="B1" activePane="topRight" state="frozen"/>
      <selection pane="topRight" activeCell="C19" sqref="C19"/>
    </sheetView>
  </sheetViews>
  <sheetFormatPr defaultColWidth="11.42578125" defaultRowHeight="15"/>
  <cols>
    <col min="1" max="1" width="33.5703125" style="4" customWidth="1"/>
    <col min="2" max="2" width="26.140625" style="4" customWidth="1"/>
    <col min="3" max="16384" width="11.42578125" style="4"/>
  </cols>
  <sheetData>
    <row r="1" spans="1:10">
      <c r="A1" s="4" t="s">
        <v>409</v>
      </c>
    </row>
    <row r="2" spans="1:10">
      <c r="A2" s="4" t="s">
        <v>345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488</v>
      </c>
      <c r="B6" s="4" t="s">
        <v>303</v>
      </c>
      <c r="C6" s="26">
        <v>2</v>
      </c>
      <c r="D6" s="26">
        <v>2</v>
      </c>
      <c r="E6" s="26">
        <v>2</v>
      </c>
      <c r="F6" s="26">
        <v>2</v>
      </c>
      <c r="G6" s="26">
        <v>2</v>
      </c>
      <c r="H6" s="26">
        <v>2</v>
      </c>
      <c r="I6" s="26">
        <v>2</v>
      </c>
      <c r="J6" s="26">
        <v>2</v>
      </c>
    </row>
    <row r="7" spans="1:10">
      <c r="A7" t="s">
        <v>484</v>
      </c>
      <c r="B7" s="4" t="s">
        <v>303</v>
      </c>
      <c r="C7" s="26">
        <v>2</v>
      </c>
      <c r="D7" s="26">
        <v>2</v>
      </c>
      <c r="E7" s="26">
        <v>2</v>
      </c>
      <c r="F7" s="26">
        <v>2</v>
      </c>
      <c r="G7" s="26">
        <v>2</v>
      </c>
      <c r="H7" s="26">
        <v>2</v>
      </c>
      <c r="I7" s="26">
        <v>2</v>
      </c>
      <c r="J7" s="26">
        <v>2</v>
      </c>
    </row>
    <row r="8" spans="1:10">
      <c r="A8" t="s">
        <v>487</v>
      </c>
      <c r="B8" s="4" t="s">
        <v>303</v>
      </c>
      <c r="C8" s="26">
        <v>2</v>
      </c>
      <c r="D8" s="26">
        <v>2</v>
      </c>
      <c r="E8" s="26">
        <v>2</v>
      </c>
      <c r="F8" s="26">
        <v>2</v>
      </c>
      <c r="G8" s="26">
        <v>2</v>
      </c>
      <c r="H8" s="26">
        <v>2</v>
      </c>
      <c r="I8" s="26">
        <v>2</v>
      </c>
      <c r="J8" s="26">
        <v>2</v>
      </c>
    </row>
    <row r="9" spans="1:10">
      <c r="A9" t="s">
        <v>485</v>
      </c>
      <c r="B9" s="4" t="s">
        <v>303</v>
      </c>
      <c r="C9" s="26">
        <v>2</v>
      </c>
      <c r="D9" s="26">
        <v>2</v>
      </c>
      <c r="E9" s="26">
        <v>2</v>
      </c>
      <c r="F9" s="26">
        <v>2</v>
      </c>
      <c r="G9" s="26">
        <v>2</v>
      </c>
      <c r="H9" s="26">
        <v>2</v>
      </c>
      <c r="I9" s="26">
        <v>2</v>
      </c>
      <c r="J9" s="26">
        <v>2</v>
      </c>
    </row>
    <row r="10" spans="1:10">
      <c r="A10" t="s">
        <v>480</v>
      </c>
      <c r="B10" s="4" t="s">
        <v>303</v>
      </c>
      <c r="C10" s="26">
        <v>0.5</v>
      </c>
      <c r="D10" s="26">
        <v>0.5</v>
      </c>
      <c r="E10" s="26">
        <v>0.5</v>
      </c>
      <c r="F10" s="26">
        <v>0.5</v>
      </c>
      <c r="G10" s="26">
        <v>0.5</v>
      </c>
      <c r="H10" s="26">
        <v>0.5</v>
      </c>
      <c r="I10" s="26">
        <v>0.5</v>
      </c>
      <c r="J10" s="26">
        <v>0.5</v>
      </c>
    </row>
    <row r="11" spans="1:10">
      <c r="A11" t="s">
        <v>479</v>
      </c>
      <c r="B11" s="4" t="s">
        <v>303</v>
      </c>
      <c r="C11" s="26">
        <v>0.5</v>
      </c>
      <c r="D11" s="26">
        <v>0.5</v>
      </c>
      <c r="E11" s="26">
        <v>0.5</v>
      </c>
      <c r="F11" s="26">
        <v>0.5</v>
      </c>
      <c r="G11" s="26">
        <v>0.5</v>
      </c>
      <c r="H11" s="26">
        <v>0.5</v>
      </c>
      <c r="I11" s="26">
        <v>0.5</v>
      </c>
      <c r="J11" s="26">
        <v>0.5</v>
      </c>
    </row>
    <row r="12" spans="1:10">
      <c r="A12" t="s">
        <v>481</v>
      </c>
      <c r="B12" s="4" t="s">
        <v>303</v>
      </c>
      <c r="C12" s="26">
        <v>0.5</v>
      </c>
      <c r="D12" s="26">
        <v>0.5</v>
      </c>
      <c r="E12" s="26">
        <v>0.5</v>
      </c>
      <c r="F12" s="26">
        <v>0.5</v>
      </c>
      <c r="G12" s="26">
        <v>0.5</v>
      </c>
      <c r="H12" s="26">
        <v>0.5</v>
      </c>
      <c r="I12" s="26">
        <v>0.5</v>
      </c>
      <c r="J12" s="26">
        <v>0.5</v>
      </c>
    </row>
    <row r="13" spans="1:10">
      <c r="A13" t="s">
        <v>486</v>
      </c>
      <c r="B13" s="4" t="s">
        <v>303</v>
      </c>
      <c r="C13" s="26">
        <v>2</v>
      </c>
      <c r="D13" s="26">
        <v>2</v>
      </c>
      <c r="E13" s="26">
        <v>2</v>
      </c>
      <c r="F13" s="26">
        <v>2</v>
      </c>
      <c r="G13" s="26">
        <v>2</v>
      </c>
      <c r="H13" s="26">
        <v>2</v>
      </c>
      <c r="I13" s="26">
        <v>2</v>
      </c>
      <c r="J13" s="26">
        <v>2</v>
      </c>
    </row>
    <row r="14" spans="1:10">
      <c r="A14"/>
      <c r="C14" s="26"/>
      <c r="D14" s="26"/>
      <c r="E14" s="26"/>
      <c r="F14" s="26"/>
      <c r="G14" s="26"/>
      <c r="H14" s="26"/>
      <c r="I14" s="26"/>
      <c r="J14" s="26"/>
    </row>
    <row r="15" spans="1:10">
      <c r="A15"/>
      <c r="C15" s="26"/>
      <c r="D15" s="26"/>
      <c r="E15" s="26"/>
      <c r="F15" s="26"/>
      <c r="G15" s="26"/>
      <c r="H15" s="26"/>
      <c r="I15" s="26"/>
      <c r="J15" s="26"/>
    </row>
    <row r="16" spans="1:10">
      <c r="A16"/>
      <c r="C16" s="26"/>
      <c r="D16" s="26"/>
      <c r="E16" s="26"/>
      <c r="F16" s="26"/>
      <c r="G16" s="26"/>
      <c r="H16" s="26"/>
      <c r="I16" s="26"/>
      <c r="J16" s="26"/>
    </row>
    <row r="17" spans="1:10">
      <c r="A17"/>
      <c r="C17" s="26"/>
      <c r="D17" s="26"/>
      <c r="E17" s="26"/>
      <c r="F17" s="26"/>
      <c r="G17" s="26"/>
      <c r="H17" s="26"/>
      <c r="I17" s="26"/>
      <c r="J17" s="26"/>
    </row>
    <row r="18" spans="1:10">
      <c r="A18"/>
      <c r="C18" s="26"/>
      <c r="D18" s="26"/>
      <c r="E18" s="26"/>
      <c r="F18" s="26"/>
      <c r="G18" s="26"/>
      <c r="H18" s="26"/>
      <c r="I18" s="26"/>
      <c r="J18" s="26"/>
    </row>
    <row r="19" spans="1:10">
      <c r="A19"/>
      <c r="C19" s="26"/>
      <c r="D19" s="26"/>
      <c r="E19" s="26"/>
      <c r="F19" s="26"/>
      <c r="G19" s="26"/>
      <c r="H19" s="26"/>
      <c r="I19" s="26"/>
      <c r="J19" s="26"/>
    </row>
    <row r="20" spans="1:10">
      <c r="A20"/>
      <c r="C20" s="26"/>
      <c r="D20" s="26"/>
      <c r="E20" s="26"/>
      <c r="F20" s="26"/>
      <c r="G20" s="26"/>
      <c r="H20" s="26"/>
      <c r="I20" s="26"/>
      <c r="J20" s="26"/>
    </row>
    <row r="21" spans="1:10">
      <c r="A21"/>
      <c r="C21" s="26"/>
      <c r="D21" s="26"/>
      <c r="E21" s="26"/>
      <c r="F21" s="26"/>
      <c r="G21" s="26"/>
      <c r="H21" s="26"/>
      <c r="I21" s="26"/>
      <c r="J21" s="26"/>
    </row>
    <row r="22" spans="1:10">
      <c r="A22"/>
      <c r="C22" s="26"/>
      <c r="D22" s="26"/>
      <c r="E22" s="26"/>
      <c r="F22" s="26"/>
      <c r="G22" s="26"/>
      <c r="H22" s="26"/>
      <c r="I22" s="26"/>
      <c r="J22" s="26"/>
    </row>
    <row r="23" spans="1:10">
      <c r="A23"/>
      <c r="C23" s="26"/>
      <c r="D23" s="26"/>
      <c r="E23" s="26"/>
      <c r="F23" s="26"/>
      <c r="G23" s="26"/>
      <c r="H23" s="26"/>
      <c r="I23" s="26"/>
      <c r="J23" s="26"/>
    </row>
    <row r="24" spans="1:10">
      <c r="A24"/>
      <c r="C24" s="26"/>
      <c r="D24" s="26"/>
      <c r="E24" s="26"/>
      <c r="F24" s="26"/>
      <c r="G24" s="26"/>
      <c r="H24" s="26"/>
      <c r="I24" s="26"/>
      <c r="J24" s="26"/>
    </row>
    <row r="25" spans="1:10">
      <c r="A25"/>
      <c r="C25" s="26"/>
      <c r="D25" s="26"/>
      <c r="E25" s="26"/>
      <c r="F25" s="26"/>
      <c r="G25" s="26"/>
      <c r="H25" s="26"/>
      <c r="I25" s="26"/>
      <c r="J25" s="26"/>
    </row>
    <row r="26" spans="1:10">
      <c r="A26"/>
      <c r="C26" s="26"/>
      <c r="D26" s="26"/>
      <c r="E26" s="26"/>
      <c r="F26" s="26"/>
      <c r="G26" s="26"/>
      <c r="H26" s="26"/>
      <c r="I26" s="26"/>
      <c r="J26" s="26"/>
    </row>
    <row r="27" spans="1:10">
      <c r="A27"/>
      <c r="C27" s="26"/>
      <c r="D27" s="26"/>
      <c r="E27" s="26"/>
      <c r="F27" s="26"/>
      <c r="G27" s="26"/>
      <c r="H27" s="26"/>
      <c r="I27" s="26"/>
      <c r="J27" s="26"/>
    </row>
    <row r="28" spans="1:10">
      <c r="A28"/>
      <c r="C28" s="26"/>
      <c r="D28" s="26"/>
      <c r="E28" s="26"/>
      <c r="F28" s="26"/>
      <c r="G28" s="26"/>
      <c r="H28" s="26"/>
      <c r="I28" s="26"/>
      <c r="J28" s="26"/>
    </row>
    <row r="29" spans="1:10">
      <c r="A29"/>
      <c r="C29" s="26"/>
      <c r="D29" s="26"/>
      <c r="E29" s="26"/>
      <c r="F29" s="26"/>
      <c r="G29" s="26"/>
      <c r="H29" s="26"/>
      <c r="I29" s="26"/>
      <c r="J29" s="26"/>
    </row>
    <row r="30" spans="1:10">
      <c r="A30"/>
      <c r="C30" s="26"/>
      <c r="D30" s="26"/>
      <c r="E30" s="26"/>
      <c r="F30" s="26"/>
      <c r="G30" s="26"/>
      <c r="H30" s="26"/>
      <c r="I30" s="26"/>
      <c r="J30" s="26"/>
    </row>
    <row r="31" spans="1:10">
      <c r="A31"/>
      <c r="C31" s="26"/>
      <c r="D31" s="26"/>
      <c r="E31" s="26"/>
      <c r="F31" s="26"/>
      <c r="G31" s="26"/>
      <c r="H31" s="26"/>
      <c r="I31" s="26"/>
      <c r="J31" s="26"/>
    </row>
    <row r="32" spans="1:10">
      <c r="A32"/>
      <c r="C32" s="26"/>
      <c r="D32" s="26"/>
      <c r="E32" s="26"/>
      <c r="F32" s="26"/>
      <c r="G32" s="26"/>
      <c r="H32" s="26"/>
      <c r="I32" s="26"/>
      <c r="J32" s="26"/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/>
      <c r="C34" s="26"/>
      <c r="D34" s="26"/>
      <c r="E34" s="26"/>
      <c r="F34" s="26"/>
      <c r="G34" s="26"/>
      <c r="H34" s="26"/>
      <c r="I34" s="26"/>
      <c r="J34" s="26"/>
    </row>
    <row r="35" spans="1:10">
      <c r="A35"/>
      <c r="C35" s="26"/>
      <c r="D35" s="26"/>
      <c r="E35" s="26"/>
      <c r="F35" s="26"/>
      <c r="G35" s="26"/>
      <c r="H35" s="26"/>
      <c r="I35" s="26"/>
      <c r="J35" s="26"/>
    </row>
    <row r="36" spans="1:10">
      <c r="A36"/>
      <c r="C36" s="26"/>
      <c r="D36" s="26"/>
      <c r="E36" s="26"/>
      <c r="F36" s="26"/>
      <c r="G36" s="26"/>
      <c r="H36" s="26"/>
      <c r="I36" s="26"/>
      <c r="J36" s="26"/>
    </row>
    <row r="37" spans="1:10">
      <c r="A37"/>
      <c r="C37" s="26"/>
      <c r="D37" s="26"/>
      <c r="E37" s="26"/>
      <c r="F37" s="26"/>
      <c r="G37" s="26"/>
      <c r="H37" s="26"/>
      <c r="I37" s="26"/>
      <c r="J37" s="26"/>
    </row>
    <row r="38" spans="1:10">
      <c r="A38"/>
      <c r="C38" s="26"/>
      <c r="D38" s="26"/>
      <c r="E38" s="26"/>
      <c r="F38" s="26"/>
      <c r="G38" s="26"/>
      <c r="H38" s="26"/>
      <c r="I38" s="26"/>
      <c r="J38" s="26"/>
    </row>
    <row r="39" spans="1:10">
      <c r="A39"/>
      <c r="C39" s="26"/>
      <c r="D39" s="26"/>
      <c r="E39" s="26"/>
      <c r="F39" s="26"/>
      <c r="G39" s="26"/>
      <c r="H39" s="26"/>
      <c r="I39" s="26"/>
      <c r="J39" s="26"/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A42"/>
      <c r="C42" s="26"/>
      <c r="D42" s="26"/>
      <c r="E42" s="26"/>
      <c r="F42" s="26"/>
      <c r="G42" s="26"/>
      <c r="H42" s="26"/>
      <c r="I42" s="26"/>
      <c r="J42" s="26"/>
    </row>
    <row r="43" spans="1:10">
      <c r="A43" s="7"/>
      <c r="C43" s="26"/>
      <c r="D43" s="26"/>
      <c r="E43" s="26"/>
      <c r="F43" s="26"/>
      <c r="G43" s="26"/>
      <c r="H43" s="26"/>
      <c r="I43" s="26"/>
      <c r="J43" s="26"/>
    </row>
    <row r="44" spans="1:10">
      <c r="A44"/>
      <c r="C44" s="26"/>
      <c r="D44" s="26"/>
      <c r="E44" s="26"/>
      <c r="F44" s="26"/>
      <c r="G44" s="26"/>
      <c r="H44" s="26"/>
      <c r="I44" s="26"/>
      <c r="J44" s="26"/>
    </row>
    <row r="45" spans="1:10">
      <c r="A45"/>
      <c r="C45" s="26"/>
      <c r="D45" s="26"/>
      <c r="E45" s="26"/>
      <c r="F45" s="26"/>
      <c r="G45" s="26"/>
      <c r="H45" s="26"/>
      <c r="I45" s="26"/>
      <c r="J45" s="26"/>
    </row>
    <row r="46" spans="1:10">
      <c r="A46"/>
      <c r="C46" s="26"/>
      <c r="D46" s="26"/>
      <c r="E46" s="26"/>
      <c r="F46" s="26"/>
      <c r="G46" s="26"/>
      <c r="H46" s="26"/>
      <c r="I46" s="26"/>
      <c r="J46" s="26"/>
    </row>
    <row r="47" spans="1:10">
      <c r="A47"/>
      <c r="C47" s="26"/>
      <c r="D47" s="26"/>
      <c r="E47" s="26"/>
      <c r="F47" s="26"/>
      <c r="G47" s="26"/>
      <c r="H47" s="26"/>
      <c r="I47" s="26"/>
      <c r="J47" s="26"/>
    </row>
    <row r="48" spans="1:10">
      <c r="A48"/>
      <c r="C48" s="26"/>
      <c r="D48" s="26"/>
      <c r="E48" s="26"/>
      <c r="F48" s="26"/>
      <c r="G48" s="26"/>
      <c r="H48" s="26"/>
      <c r="I48" s="26"/>
      <c r="J48" s="26"/>
    </row>
    <row r="49" spans="1:10">
      <c r="A49"/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A227"/>
      <c r="C227" s="26"/>
      <c r="D227" s="26"/>
      <c r="E227" s="26"/>
      <c r="F227" s="26"/>
      <c r="G227" s="26"/>
      <c r="H227" s="26"/>
      <c r="I227" s="26"/>
      <c r="J227" s="26"/>
    </row>
    <row r="228" spans="1:10">
      <c r="A228"/>
      <c r="C228" s="26"/>
      <c r="D228" s="26"/>
      <c r="E228" s="26"/>
      <c r="F228" s="26"/>
      <c r="G228" s="26"/>
      <c r="H228" s="26"/>
      <c r="I228" s="26"/>
      <c r="J228" s="26"/>
    </row>
    <row r="229" spans="1:10">
      <c r="A229"/>
      <c r="C229" s="26"/>
      <c r="D229" s="26"/>
      <c r="E229" s="26"/>
      <c r="F229" s="26"/>
      <c r="G229" s="26"/>
      <c r="H229" s="26"/>
      <c r="I229" s="26"/>
      <c r="J229" s="26"/>
    </row>
    <row r="230" spans="1:10">
      <c r="A230"/>
      <c r="C230" s="26"/>
      <c r="D230" s="26"/>
      <c r="E230" s="26"/>
      <c r="F230" s="26"/>
      <c r="G230" s="26"/>
      <c r="H230" s="26"/>
      <c r="I230" s="26"/>
      <c r="J230" s="26"/>
    </row>
    <row r="231" spans="1:10">
      <c r="A231"/>
      <c r="C231" s="26"/>
      <c r="D231" s="26"/>
      <c r="E231" s="26"/>
      <c r="F231" s="26"/>
      <c r="G231" s="26"/>
      <c r="H231" s="26"/>
      <c r="I231" s="26"/>
      <c r="J231" s="26"/>
    </row>
    <row r="232" spans="1:10">
      <c r="A232"/>
      <c r="C232" s="26"/>
      <c r="D232" s="26"/>
      <c r="E232" s="26"/>
      <c r="F232" s="26"/>
      <c r="G232" s="26"/>
      <c r="H232" s="26"/>
      <c r="I232" s="26"/>
      <c r="J232" s="26"/>
    </row>
    <row r="233" spans="1:10">
      <c r="A233"/>
      <c r="C233" s="26"/>
      <c r="D233" s="26"/>
      <c r="E233" s="26"/>
      <c r="F233" s="26"/>
      <c r="G233" s="26"/>
      <c r="H233" s="26"/>
      <c r="I233" s="26"/>
      <c r="J233" s="26"/>
    </row>
    <row r="234" spans="1:10">
      <c r="A234"/>
      <c r="C234" s="26"/>
      <c r="D234" s="26"/>
      <c r="E234" s="26"/>
      <c r="F234" s="26"/>
      <c r="G234" s="26"/>
      <c r="H234" s="26"/>
      <c r="I234" s="26"/>
      <c r="J234" s="26"/>
    </row>
    <row r="235" spans="1:10">
      <c r="A235"/>
      <c r="C235" s="26"/>
      <c r="D235" s="26"/>
      <c r="E235" s="26"/>
      <c r="F235" s="26"/>
      <c r="G235" s="26"/>
      <c r="H235" s="26"/>
      <c r="I235" s="26"/>
      <c r="J235" s="26"/>
    </row>
    <row r="236" spans="1:10">
      <c r="A236"/>
      <c r="C236" s="26"/>
      <c r="D236" s="26"/>
      <c r="E236" s="26"/>
      <c r="F236" s="26"/>
      <c r="G236" s="26"/>
      <c r="H236" s="26"/>
      <c r="I236" s="26"/>
      <c r="J236" s="26"/>
    </row>
    <row r="237" spans="1:10">
      <c r="A237"/>
      <c r="C237" s="26"/>
      <c r="D237" s="26"/>
      <c r="E237" s="26"/>
      <c r="F237" s="26"/>
      <c r="G237" s="26"/>
      <c r="H237" s="26"/>
      <c r="I237" s="26"/>
      <c r="J237" s="26"/>
    </row>
    <row r="238" spans="1:10">
      <c r="A238"/>
      <c r="C238" s="26"/>
      <c r="D238" s="26"/>
      <c r="E238" s="26"/>
      <c r="F238" s="26"/>
      <c r="G238" s="26"/>
      <c r="H238" s="26"/>
      <c r="I238" s="26"/>
      <c r="J238" s="26"/>
    </row>
    <row r="239" spans="1:10">
      <c r="A239"/>
      <c r="C239" s="26"/>
      <c r="D239" s="26"/>
      <c r="E239" s="26"/>
      <c r="F239" s="26"/>
      <c r="G239" s="26"/>
      <c r="H239" s="26"/>
      <c r="I239" s="26"/>
      <c r="J239" s="26"/>
    </row>
    <row r="240" spans="1:10">
      <c r="A240"/>
      <c r="C240" s="26"/>
      <c r="D240" s="26"/>
      <c r="E240" s="26"/>
      <c r="F240" s="26"/>
      <c r="G240" s="26"/>
      <c r="H240" s="26"/>
      <c r="I240" s="26"/>
      <c r="J240" s="26"/>
    </row>
    <row r="241" spans="1:10">
      <c r="A241"/>
      <c r="C241" s="26"/>
      <c r="D241" s="26"/>
      <c r="E241" s="26"/>
      <c r="F241" s="26"/>
      <c r="G241" s="26"/>
      <c r="H241" s="26"/>
      <c r="I241" s="26"/>
      <c r="J241" s="26"/>
    </row>
    <row r="242" spans="1:10">
      <c r="A242"/>
      <c r="C242" s="26"/>
      <c r="D242" s="26"/>
      <c r="E242" s="26"/>
      <c r="F242" s="26"/>
      <c r="G242" s="26"/>
      <c r="H242" s="26"/>
      <c r="I242" s="26"/>
      <c r="J242" s="26"/>
    </row>
    <row r="243" spans="1:10">
      <c r="A243"/>
      <c r="C243" s="26"/>
      <c r="D243" s="26"/>
      <c r="E243" s="26"/>
      <c r="F243" s="26"/>
      <c r="G243" s="26"/>
      <c r="H243" s="26"/>
      <c r="I243" s="26"/>
      <c r="J243" s="26"/>
    </row>
    <row r="244" spans="1:10">
      <c r="A244"/>
      <c r="C244" s="26"/>
      <c r="D244" s="26"/>
      <c r="E244" s="26"/>
      <c r="F244" s="26"/>
      <c r="G244" s="26"/>
      <c r="H244" s="26"/>
      <c r="I244" s="26"/>
      <c r="J244" s="26"/>
    </row>
    <row r="245" spans="1:10">
      <c r="A245"/>
      <c r="C245" s="26"/>
      <c r="D245" s="26"/>
      <c r="E245" s="26"/>
      <c r="F245" s="26"/>
      <c r="G245" s="26"/>
      <c r="H245" s="26"/>
      <c r="I245" s="26"/>
      <c r="J245" s="26"/>
    </row>
    <row r="246" spans="1:10">
      <c r="A246"/>
      <c r="C246" s="26"/>
      <c r="D246" s="26"/>
      <c r="E246" s="26"/>
      <c r="F246" s="26"/>
      <c r="G246" s="26"/>
      <c r="H246" s="26"/>
      <c r="I246" s="26"/>
      <c r="J246" s="26"/>
    </row>
    <row r="247" spans="1:10">
      <c r="A247"/>
      <c r="C247" s="26"/>
      <c r="D247" s="26"/>
      <c r="E247" s="26"/>
      <c r="F247" s="26"/>
      <c r="G247" s="26"/>
      <c r="H247" s="26"/>
      <c r="I247" s="26"/>
      <c r="J247" s="26"/>
    </row>
    <row r="248" spans="1:10">
      <c r="A248"/>
      <c r="C248" s="26"/>
      <c r="D248" s="26"/>
      <c r="E248" s="26"/>
      <c r="F248" s="26"/>
      <c r="G248" s="26"/>
      <c r="H248" s="26"/>
      <c r="I248" s="26"/>
      <c r="J248" s="26"/>
    </row>
    <row r="249" spans="1:10">
      <c r="A249"/>
      <c r="C249" s="26"/>
      <c r="D249" s="26"/>
      <c r="E249" s="26"/>
      <c r="F249" s="26"/>
      <c r="G249" s="26"/>
      <c r="H249" s="26"/>
      <c r="I249" s="26"/>
      <c r="J249" s="26"/>
    </row>
    <row r="250" spans="1:10">
      <c r="A250"/>
      <c r="C250" s="26"/>
      <c r="D250" s="26"/>
      <c r="E250" s="26"/>
      <c r="F250" s="26"/>
      <c r="G250" s="26"/>
      <c r="H250" s="26"/>
      <c r="I250" s="26"/>
      <c r="J250" s="26"/>
    </row>
    <row r="251" spans="1:10">
      <c r="A251"/>
      <c r="C251" s="26"/>
      <c r="D251" s="26"/>
      <c r="E251" s="26"/>
      <c r="F251" s="26"/>
      <c r="G251" s="26"/>
      <c r="H251" s="26"/>
      <c r="I251" s="26"/>
      <c r="J251" s="26"/>
    </row>
    <row r="252" spans="1:10">
      <c r="A252"/>
      <c r="C252" s="26"/>
      <c r="D252" s="26"/>
      <c r="E252" s="26"/>
      <c r="F252" s="26"/>
      <c r="G252" s="26"/>
      <c r="H252" s="26"/>
      <c r="I252" s="26"/>
      <c r="J252" s="26"/>
    </row>
    <row r="253" spans="1:10">
      <c r="A253"/>
      <c r="C253" s="26"/>
      <c r="D253" s="26"/>
      <c r="E253" s="26"/>
      <c r="F253" s="26"/>
      <c r="G253" s="26"/>
      <c r="H253" s="26"/>
      <c r="I253" s="26"/>
      <c r="J253" s="26"/>
    </row>
    <row r="254" spans="1:10">
      <c r="A254"/>
      <c r="C254" s="26"/>
      <c r="D254" s="26"/>
      <c r="E254" s="26"/>
      <c r="F254" s="26"/>
      <c r="G254" s="26"/>
      <c r="H254" s="26"/>
      <c r="I254" s="26"/>
      <c r="J254" s="26"/>
    </row>
    <row r="255" spans="1:10">
      <c r="A255"/>
      <c r="C255" s="26"/>
      <c r="D255" s="26"/>
      <c r="E255" s="26"/>
      <c r="F255" s="26"/>
      <c r="G255" s="26"/>
      <c r="H255" s="26"/>
      <c r="I255" s="26"/>
      <c r="J255" s="26"/>
    </row>
    <row r="256" spans="1:10">
      <c r="A256"/>
      <c r="C256" s="26"/>
      <c r="D256" s="26"/>
      <c r="E256" s="26"/>
      <c r="F256" s="26"/>
      <c r="G256" s="26"/>
      <c r="H256" s="26"/>
      <c r="I256" s="26"/>
      <c r="J256" s="26"/>
    </row>
    <row r="257" spans="1:10">
      <c r="A257"/>
      <c r="C257" s="26"/>
      <c r="D257" s="26"/>
      <c r="E257" s="26"/>
      <c r="F257" s="26"/>
      <c r="G257" s="26"/>
      <c r="H257" s="26"/>
      <c r="I257" s="26"/>
      <c r="J257" s="26"/>
    </row>
    <row r="258" spans="1:10">
      <c r="A258"/>
      <c r="C258" s="26"/>
      <c r="D258" s="26"/>
      <c r="E258" s="26"/>
      <c r="F258" s="26"/>
      <c r="G258" s="26"/>
      <c r="H258" s="26"/>
      <c r="I258" s="26"/>
      <c r="J258" s="26"/>
    </row>
    <row r="259" spans="1:10">
      <c r="A259"/>
      <c r="C259" s="26"/>
      <c r="D259" s="26"/>
      <c r="E259" s="26"/>
      <c r="F259" s="26"/>
      <c r="G259" s="26"/>
      <c r="H259" s="26"/>
      <c r="I259" s="26"/>
      <c r="J259" s="26"/>
    </row>
    <row r="260" spans="1:10">
      <c r="A260"/>
      <c r="C260" s="26"/>
      <c r="D260" s="26"/>
      <c r="E260" s="26"/>
      <c r="F260" s="26"/>
      <c r="G260" s="26"/>
      <c r="H260" s="26"/>
      <c r="I260" s="26"/>
      <c r="J260" s="26"/>
    </row>
    <row r="261" spans="1:10">
      <c r="A261"/>
      <c r="C261" s="26"/>
      <c r="D261" s="26"/>
      <c r="E261" s="26"/>
      <c r="F261" s="26"/>
      <c r="G261" s="26"/>
      <c r="H261" s="26"/>
      <c r="I261" s="26"/>
      <c r="J261" s="26"/>
    </row>
    <row r="262" spans="1:10">
      <c r="A262"/>
      <c r="C262" s="26"/>
      <c r="D262" s="26"/>
      <c r="E262" s="26"/>
      <c r="F262" s="26"/>
      <c r="G262" s="26"/>
      <c r="H262" s="26"/>
      <c r="I262" s="26"/>
      <c r="J262" s="26"/>
    </row>
    <row r="263" spans="1:10">
      <c r="A263"/>
      <c r="C263" s="26"/>
      <c r="D263" s="26"/>
      <c r="E263" s="26"/>
      <c r="F263" s="26"/>
      <c r="G263" s="26"/>
      <c r="H263" s="26"/>
      <c r="I263" s="26"/>
      <c r="J263" s="26"/>
    </row>
    <row r="264" spans="1:10">
      <c r="A264"/>
      <c r="C264" s="26"/>
      <c r="D264" s="26"/>
      <c r="E264" s="26"/>
      <c r="F264" s="26"/>
      <c r="G264" s="26"/>
      <c r="H264" s="26"/>
      <c r="I264" s="26"/>
      <c r="J264" s="26"/>
    </row>
    <row r="265" spans="1:10">
      <c r="A265"/>
      <c r="C265" s="26"/>
      <c r="D265" s="26"/>
      <c r="E265" s="26"/>
      <c r="F265" s="26"/>
      <c r="G265" s="26"/>
      <c r="H265" s="26"/>
      <c r="I265" s="26"/>
      <c r="J265" s="26"/>
    </row>
    <row r="266" spans="1:10">
      <c r="A266"/>
      <c r="C266" s="26"/>
      <c r="D266" s="26"/>
      <c r="E266" s="26"/>
      <c r="F266" s="26"/>
      <c r="G266" s="26"/>
      <c r="H266" s="26"/>
      <c r="I266" s="26"/>
      <c r="J266" s="26"/>
    </row>
    <row r="267" spans="1:10">
      <c r="A267"/>
      <c r="C267" s="26"/>
      <c r="D267" s="26"/>
      <c r="E267" s="26"/>
      <c r="F267" s="26"/>
      <c r="G267" s="26"/>
      <c r="H267" s="26"/>
      <c r="I267" s="26"/>
      <c r="J267" s="26"/>
    </row>
    <row r="268" spans="1:10">
      <c r="A268"/>
      <c r="C268" s="26"/>
      <c r="D268" s="26"/>
      <c r="E268" s="26"/>
      <c r="F268" s="26"/>
      <c r="G268" s="26"/>
      <c r="H268" s="26"/>
      <c r="I268" s="26"/>
      <c r="J268" s="26"/>
    </row>
    <row r="269" spans="1:10">
      <c r="A269"/>
      <c r="C269" s="26"/>
      <c r="D269" s="26"/>
      <c r="E269" s="26"/>
      <c r="F269" s="26"/>
      <c r="G269" s="26"/>
      <c r="H269" s="26"/>
      <c r="I269" s="26"/>
      <c r="J269" s="26"/>
    </row>
    <row r="270" spans="1:10">
      <c r="C270" s="26"/>
      <c r="D270" s="26"/>
      <c r="E270" s="26"/>
      <c r="F270" s="26"/>
      <c r="G270" s="26"/>
      <c r="H270" s="26"/>
      <c r="I270" s="26"/>
      <c r="J270" s="26"/>
    </row>
    <row r="271" spans="1:10">
      <c r="C271" s="26"/>
      <c r="D271" s="26"/>
      <c r="E271" s="26"/>
      <c r="F271" s="26"/>
      <c r="G271" s="26"/>
      <c r="H271" s="26"/>
      <c r="I271" s="26"/>
      <c r="J271" s="26"/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topLeftCell="A46" workbookViewId="0">
      <selection activeCell="C65" sqref="C65"/>
    </sheetView>
  </sheetViews>
  <sheetFormatPr defaultColWidth="11.42578125" defaultRowHeight="15"/>
  <cols>
    <col min="1" max="1" width="21.42578125" customWidth="1"/>
    <col min="2" max="2" width="24.42578125" customWidth="1"/>
    <col min="3" max="3" width="18.5703125" style="19" bestFit="1" customWidth="1"/>
    <col min="4" max="4" width="16.42578125" style="19" customWidth="1"/>
    <col min="5" max="10" width="18.5703125" style="19" bestFit="1" customWidth="1"/>
    <col min="13" max="15" width="12.140625" bestFit="1" customWidth="1"/>
  </cols>
  <sheetData>
    <row r="1" spans="1:12">
      <c r="A1" t="s">
        <v>410</v>
      </c>
    </row>
    <row r="2" spans="1:12">
      <c r="A2" t="s">
        <v>12</v>
      </c>
    </row>
    <row r="3" spans="1:12">
      <c r="A3" t="s">
        <v>365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488</v>
      </c>
      <c r="B6" t="s">
        <v>490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484</v>
      </c>
      <c r="B7" t="s">
        <v>490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487</v>
      </c>
      <c r="B8" t="s">
        <v>490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485</v>
      </c>
      <c r="B9" t="s">
        <v>490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480</v>
      </c>
      <c r="B10" t="s">
        <v>490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479</v>
      </c>
      <c r="B11" t="s">
        <v>490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481</v>
      </c>
      <c r="B12" t="s">
        <v>490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486</v>
      </c>
      <c r="B13" t="s">
        <v>490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488</v>
      </c>
      <c r="B14" t="s">
        <v>491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484</v>
      </c>
      <c r="B15" t="s">
        <v>491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487</v>
      </c>
      <c r="B16" t="s">
        <v>491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485</v>
      </c>
      <c r="B17" t="s">
        <v>491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480</v>
      </c>
      <c r="B18" t="s">
        <v>491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479</v>
      </c>
      <c r="B19" t="s">
        <v>491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481</v>
      </c>
      <c r="B20" t="s">
        <v>491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486</v>
      </c>
      <c r="B21" t="s">
        <v>491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488</v>
      </c>
      <c r="B22" t="s">
        <v>492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484</v>
      </c>
      <c r="B23" t="s">
        <v>492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487</v>
      </c>
      <c r="B24" t="s">
        <v>492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485</v>
      </c>
      <c r="B25" t="s">
        <v>492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480</v>
      </c>
      <c r="B26" t="s">
        <v>492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479</v>
      </c>
      <c r="B27" t="s">
        <v>492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481</v>
      </c>
      <c r="B28" t="s">
        <v>492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486</v>
      </c>
      <c r="B29" t="s">
        <v>492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488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484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487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485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480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479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481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486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488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484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487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485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480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479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481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486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484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487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485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480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479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481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486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488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484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487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485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480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479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481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486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488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484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487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485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480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479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481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486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488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484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487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485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480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479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481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486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488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484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487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485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480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479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481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486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488</v>
      </c>
      <c r="B85" t="s">
        <v>99</v>
      </c>
      <c r="C85" s="46">
        <v>2.3999999999999998E-3</v>
      </c>
      <c r="D85" s="46">
        <v>2.3999999999999998E-3</v>
      </c>
      <c r="E85" s="46">
        <v>2.3999999999999998E-3</v>
      </c>
      <c r="F85" s="46">
        <v>2.3999999999999998E-3</v>
      </c>
      <c r="G85" s="46">
        <v>2.3999999999999998E-3</v>
      </c>
      <c r="H85" s="46">
        <v>2.3999999999999998E-3</v>
      </c>
      <c r="I85" s="46">
        <v>2.3999999999999998E-3</v>
      </c>
      <c r="J85" s="46">
        <v>2.3999999999999998E-3</v>
      </c>
    </row>
    <row r="86" spans="1:10">
      <c r="A86" t="s">
        <v>487</v>
      </c>
      <c r="B86" t="s">
        <v>99</v>
      </c>
      <c r="C86" s="46">
        <v>7.9699999999999997E-3</v>
      </c>
      <c r="D86" s="46">
        <v>7.9699999999999997E-3</v>
      </c>
      <c r="E86" s="46">
        <v>7.9699999999999997E-3</v>
      </c>
      <c r="F86" s="46">
        <v>7.9699999999999997E-3</v>
      </c>
      <c r="G86" s="46">
        <v>7.9699999999999997E-3</v>
      </c>
      <c r="H86" s="46">
        <v>7.9699999999999997E-3</v>
      </c>
      <c r="I86" s="46">
        <v>7.9699999999999997E-3</v>
      </c>
      <c r="J86" s="46">
        <v>7.9699999999999997E-3</v>
      </c>
    </row>
    <row r="87" spans="1:10">
      <c r="A87" t="s">
        <v>485</v>
      </c>
      <c r="B87" t="s">
        <v>99</v>
      </c>
      <c r="C87" s="46">
        <v>2.0000000000000001E-4</v>
      </c>
      <c r="D87" s="46">
        <v>2.0000000000000001E-4</v>
      </c>
      <c r="E87" s="46">
        <v>2.0000000000000001E-4</v>
      </c>
      <c r="F87" s="46">
        <v>2.0000000000000001E-4</v>
      </c>
      <c r="G87" s="46">
        <v>2.0000000000000001E-4</v>
      </c>
      <c r="H87" s="46">
        <v>2.0000000000000001E-4</v>
      </c>
      <c r="I87" s="46">
        <v>2.0000000000000001E-4</v>
      </c>
      <c r="J87" s="46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285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286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287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288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289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290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291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292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293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294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295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296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297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298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307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285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286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287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288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289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290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291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292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293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294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295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296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297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298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307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326</v>
      </c>
    </row>
    <row r="649" spans="2:11">
      <c r="K649" s="14" t="s">
        <v>326</v>
      </c>
    </row>
    <row r="650" spans="2:11">
      <c r="K650" s="14" t="s">
        <v>326</v>
      </c>
    </row>
    <row r="651" spans="2:11">
      <c r="K651" s="14" t="s">
        <v>326</v>
      </c>
    </row>
    <row r="652" spans="2:11">
      <c r="K652" s="14" t="s">
        <v>326</v>
      </c>
    </row>
    <row r="653" spans="2:11">
      <c r="K653" s="14" t="s">
        <v>326</v>
      </c>
    </row>
    <row r="654" spans="2:11">
      <c r="K654" s="14" t="s">
        <v>326</v>
      </c>
    </row>
    <row r="655" spans="2:11">
      <c r="K655" s="14" t="s">
        <v>326</v>
      </c>
    </row>
    <row r="656" spans="2:11">
      <c r="K656" s="14" t="s">
        <v>326</v>
      </c>
    </row>
    <row r="657" spans="3:11">
      <c r="K657" s="14" t="s">
        <v>326</v>
      </c>
    </row>
    <row r="658" spans="3:11">
      <c r="K658" s="14" t="s">
        <v>326</v>
      </c>
    </row>
    <row r="659" spans="3:11">
      <c r="K659" s="14" t="s">
        <v>326</v>
      </c>
    </row>
    <row r="660" spans="3:11">
      <c r="K660" s="14" t="s">
        <v>326</v>
      </c>
    </row>
    <row r="661" spans="3:11">
      <c r="K661" s="14" t="s">
        <v>326</v>
      </c>
    </row>
    <row r="662" spans="3:11">
      <c r="K662" s="14" t="s">
        <v>326</v>
      </c>
    </row>
    <row r="663" spans="3:11">
      <c r="K663" s="14" t="s">
        <v>326</v>
      </c>
    </row>
    <row r="664" spans="3:11">
      <c r="K664" s="14" t="s">
        <v>326</v>
      </c>
    </row>
    <row r="665" spans="3:11">
      <c r="K665" s="14" t="s">
        <v>326</v>
      </c>
    </row>
    <row r="666" spans="3:11">
      <c r="K666" s="14" t="s">
        <v>326</v>
      </c>
    </row>
    <row r="667" spans="3:11">
      <c r="K667" s="14" t="s">
        <v>326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2578125" defaultRowHeight="15"/>
  <cols>
    <col min="1" max="1" width="20.85546875" style="17" customWidth="1"/>
    <col min="2" max="2" width="15.5703125" bestFit="1" customWidth="1"/>
  </cols>
  <sheetData>
    <row r="1" spans="1:10">
      <c r="A1" s="17" t="s">
        <v>411</v>
      </c>
      <c r="C1" s="19"/>
      <c r="D1" s="19"/>
      <c r="E1" s="19"/>
      <c r="F1" s="48" t="s">
        <v>482</v>
      </c>
      <c r="G1" s="19"/>
      <c r="H1" s="19"/>
      <c r="I1" s="19"/>
      <c r="J1" s="19"/>
    </row>
    <row r="2" spans="1:10">
      <c r="A2" s="17" t="s">
        <v>346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2578125" defaultRowHeight="15"/>
  <sheetData>
    <row r="1" spans="1:10">
      <c r="A1" t="s">
        <v>412</v>
      </c>
    </row>
    <row r="2" spans="1:10">
      <c r="A2" t="s">
        <v>13</v>
      </c>
    </row>
    <row r="3" spans="1:10">
      <c r="A3" t="s">
        <v>365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2578125" defaultRowHeight="15"/>
  <sheetData>
    <row r="1" spans="1:9">
      <c r="A1" s="17" t="s">
        <v>414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348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378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7"/>
  <sheetViews>
    <sheetView zoomScaleNormal="100" workbookViewId="0">
      <selection activeCell="I16" sqref="I16"/>
    </sheetView>
  </sheetViews>
  <sheetFormatPr defaultColWidth="11.42578125" defaultRowHeight="15"/>
  <cols>
    <col min="1" max="1" width="24.140625" customWidth="1"/>
    <col min="2" max="2" width="24" customWidth="1"/>
    <col min="3" max="3" width="23.42578125" bestFit="1" customWidth="1"/>
    <col min="10" max="10" width="11.85546875" bestFit="1" customWidth="1"/>
  </cols>
  <sheetData>
    <row r="1" spans="1:13">
      <c r="A1" t="s">
        <v>415</v>
      </c>
    </row>
    <row r="2" spans="1:13">
      <c r="A2" t="s">
        <v>349</v>
      </c>
    </row>
    <row r="3" spans="1:13">
      <c r="A3" t="s">
        <v>390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I6" s="34"/>
      <c r="J6" s="35"/>
      <c r="K6" s="35"/>
      <c r="L6" s="35"/>
      <c r="M6" s="35"/>
    </row>
    <row r="38" spans="9:13">
      <c r="I38" s="34"/>
      <c r="J38" s="35"/>
      <c r="K38" s="35"/>
      <c r="L38" s="35"/>
      <c r="M38" s="35"/>
    </row>
    <row r="74" spans="9:13">
      <c r="I74" s="34"/>
      <c r="J74" s="35"/>
      <c r="K74" s="35"/>
      <c r="L74" s="35"/>
      <c r="M74" s="35"/>
    </row>
    <row r="107" spans="9:13">
      <c r="I107" s="34"/>
      <c r="J107" s="35"/>
      <c r="K107" s="35"/>
      <c r="L107" s="35"/>
      <c r="M107" s="35"/>
    </row>
    <row r="131" spans="9:13">
      <c r="I131" s="34"/>
      <c r="J131" s="35"/>
      <c r="K131" s="35"/>
      <c r="L131" s="35"/>
      <c r="M131" s="35"/>
    </row>
    <row r="168" spans="9:13">
      <c r="I168" s="34"/>
      <c r="J168" s="35"/>
      <c r="K168" s="35"/>
      <c r="L168" s="35"/>
      <c r="M168" s="35"/>
    </row>
    <row r="206" spans="9:13">
      <c r="I206" s="34"/>
      <c r="J206" s="35"/>
      <c r="K206" s="35"/>
      <c r="L206" s="35"/>
      <c r="M206" s="35"/>
    </row>
    <row r="237" spans="9:13">
      <c r="I237" s="34"/>
      <c r="J237" s="35"/>
      <c r="K237" s="35"/>
      <c r="L237" s="35"/>
      <c r="M237" s="35"/>
    </row>
    <row r="269" spans="9:13">
      <c r="I269" s="34"/>
      <c r="J269" s="35"/>
      <c r="K269" s="35"/>
      <c r="L269" s="35"/>
      <c r="M269" s="35"/>
    </row>
    <row r="304" spans="9:13">
      <c r="I304" s="34"/>
      <c r="J304" s="35"/>
      <c r="K304" s="35"/>
      <c r="L304" s="35"/>
      <c r="M304" s="35"/>
    </row>
    <row r="338" spans="9:13">
      <c r="I338" s="34"/>
      <c r="J338" s="35"/>
      <c r="K338" s="35"/>
      <c r="L338" s="35"/>
      <c r="M338" s="35"/>
    </row>
    <row r="373" spans="9:13">
      <c r="I373" s="34"/>
      <c r="J373" s="35"/>
      <c r="K373" s="35"/>
      <c r="L373" s="35"/>
      <c r="M373" s="35"/>
    </row>
    <row r="406" spans="9:13">
      <c r="I406" s="34"/>
      <c r="J406" s="35"/>
      <c r="K406" s="35"/>
      <c r="L406" s="35"/>
      <c r="M406" s="35"/>
    </row>
    <row r="438" spans="9:13">
      <c r="I438" s="34"/>
      <c r="J438" s="35"/>
      <c r="K438" s="35"/>
      <c r="L438" s="35"/>
      <c r="M438" s="35"/>
    </row>
    <row r="475" spans="9:13">
      <c r="I475" s="34"/>
      <c r="J475" s="35"/>
      <c r="K475" s="35"/>
      <c r="L475" s="35"/>
      <c r="M475" s="35"/>
    </row>
    <row r="509" spans="9:13">
      <c r="I509" s="34"/>
      <c r="J509" s="35"/>
      <c r="K509" s="35"/>
      <c r="L509" s="35"/>
      <c r="M509" s="35"/>
    </row>
    <row r="543" spans="9:13">
      <c r="I543" s="34"/>
      <c r="J543" s="35"/>
      <c r="K543" s="35"/>
      <c r="L543" s="35"/>
      <c r="M543" s="35"/>
    </row>
    <row r="574" spans="9:13">
      <c r="I574" s="34"/>
      <c r="J574" s="35"/>
      <c r="K574" s="35"/>
      <c r="L574" s="35"/>
      <c r="M574" s="35"/>
    </row>
    <row r="603" spans="9:13">
      <c r="I603" s="34"/>
      <c r="J603" s="35"/>
      <c r="K603" s="35"/>
      <c r="L603" s="35"/>
      <c r="M603" s="35"/>
    </row>
    <row r="630" spans="9:13">
      <c r="I630" s="34"/>
      <c r="J630" s="35"/>
      <c r="K630" s="35"/>
      <c r="L630" s="35"/>
      <c r="M630" s="35"/>
    </row>
    <row r="664" spans="9:13">
      <c r="I664" s="34"/>
      <c r="J664" s="35"/>
      <c r="K664" s="35"/>
      <c r="L664" s="35"/>
      <c r="M664" s="35"/>
    </row>
    <row r="706" spans="9:13">
      <c r="I706" s="34"/>
      <c r="J706" s="35"/>
      <c r="K706" s="35"/>
      <c r="L706" s="35"/>
      <c r="M706" s="35"/>
    </row>
    <row r="737" spans="9:13">
      <c r="I737" s="34"/>
      <c r="J737" s="35"/>
      <c r="K737" s="35"/>
      <c r="L737" s="35"/>
      <c r="M737" s="35"/>
    </row>
    <row r="769" spans="9:13">
      <c r="I769" s="34"/>
      <c r="J769" s="35"/>
      <c r="K769" s="35"/>
      <c r="L769" s="35"/>
      <c r="M769" s="35"/>
    </row>
    <row r="802" spans="9:13">
      <c r="I802" s="34"/>
      <c r="J802" s="35"/>
      <c r="K802" s="35"/>
      <c r="L802" s="35"/>
      <c r="M802" s="35"/>
    </row>
    <row r="836" spans="9:13">
      <c r="I836" s="34"/>
      <c r="J836" s="35"/>
      <c r="K836" s="35"/>
      <c r="L836" s="35"/>
      <c r="M836" s="35"/>
    </row>
    <row r="868" spans="9:13">
      <c r="I868" s="34"/>
      <c r="J868" s="35"/>
      <c r="K868" s="35"/>
      <c r="L868" s="35"/>
      <c r="M868" s="35"/>
    </row>
    <row r="910" spans="9:13">
      <c r="I910" s="34"/>
      <c r="J910" s="35"/>
      <c r="K910" s="35"/>
      <c r="L910" s="35"/>
      <c r="M910" s="35"/>
    </row>
    <row r="953" spans="1:4">
      <c r="A953" t="s">
        <v>281</v>
      </c>
      <c r="B953" t="s">
        <v>449</v>
      </c>
      <c r="C953" t="s">
        <v>24</v>
      </c>
      <c r="D953">
        <v>0.1</v>
      </c>
    </row>
    <row r="954" spans="1:4">
      <c r="A954" t="s">
        <v>280</v>
      </c>
      <c r="B954" t="s">
        <v>449</v>
      </c>
      <c r="C954" t="s">
        <v>24</v>
      </c>
      <c r="D954">
        <v>18.420000000000002</v>
      </c>
    </row>
    <row r="955" spans="1:4">
      <c r="A955" t="s">
        <v>280</v>
      </c>
      <c r="B955" t="s">
        <v>451</v>
      </c>
      <c r="C955" t="s">
        <v>24</v>
      </c>
      <c r="D955">
        <v>2.96</v>
      </c>
    </row>
    <row r="956" spans="1:4">
      <c r="A956" t="s">
        <v>273</v>
      </c>
      <c r="B956" t="s">
        <v>449</v>
      </c>
      <c r="C956" t="s">
        <v>24</v>
      </c>
      <c r="D956">
        <v>2.1920000000000002</v>
      </c>
    </row>
    <row r="963" spans="9:11">
      <c r="I963" s="40" t="s">
        <v>273</v>
      </c>
      <c r="J963" t="s">
        <v>449</v>
      </c>
      <c r="K963">
        <v>0.10199999999999999</v>
      </c>
    </row>
    <row r="964" spans="9:11">
      <c r="I964" s="40" t="s">
        <v>283</v>
      </c>
      <c r="J964" t="s">
        <v>449</v>
      </c>
      <c r="K964">
        <v>1.024</v>
      </c>
    </row>
    <row r="965" spans="9:11">
      <c r="I965" s="41" t="s">
        <v>280</v>
      </c>
      <c r="J965" t="s">
        <v>449</v>
      </c>
      <c r="K965">
        <v>0.74129999999999996</v>
      </c>
    </row>
    <row r="966" spans="9:11">
      <c r="I966" s="40" t="s">
        <v>281</v>
      </c>
      <c r="J966" t="s">
        <v>449</v>
      </c>
      <c r="K966">
        <v>1.488</v>
      </c>
    </row>
    <row r="967" spans="9:11">
      <c r="I967" s="42" t="s">
        <v>325</v>
      </c>
      <c r="J967" t="s">
        <v>449</v>
      </c>
      <c r="K967">
        <v>23.545866999999998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2578125" defaultRowHeight="15"/>
  <cols>
    <col min="1" max="1" width="20.85546875" style="17" customWidth="1"/>
    <col min="2" max="2" width="23.42578125" bestFit="1" customWidth="1"/>
  </cols>
  <sheetData>
    <row r="1" spans="1:10">
      <c r="A1" s="17" t="s">
        <v>416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350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T6" sqref="T6"/>
    </sheetView>
  </sheetViews>
  <sheetFormatPr defaultColWidth="11.42578125" defaultRowHeight="15"/>
  <cols>
    <col min="1" max="2" width="23.42578125" customWidth="1"/>
    <col min="3" max="8" width="17.140625" customWidth="1"/>
    <col min="9" max="21" width="17" customWidth="1"/>
  </cols>
  <sheetData>
    <row r="1" spans="1:20">
      <c r="A1" t="s">
        <v>413</v>
      </c>
    </row>
    <row r="2" spans="1:20">
      <c r="A2" t="s">
        <v>347</v>
      </c>
    </row>
    <row r="3" spans="1:20">
      <c r="A3" t="s">
        <v>382</v>
      </c>
    </row>
    <row r="5" spans="1:20">
      <c r="A5" t="s">
        <v>26</v>
      </c>
      <c r="B5" t="s">
        <v>341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495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493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494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316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496</v>
      </c>
      <c r="B20" s="2">
        <v>1</v>
      </c>
      <c r="H20">
        <v>1</v>
      </c>
      <c r="N20">
        <v>1</v>
      </c>
    </row>
    <row r="21" spans="1:20">
      <c r="A21" s="2" t="s">
        <v>497</v>
      </c>
      <c r="B21" s="2">
        <v>1</v>
      </c>
      <c r="H21">
        <v>1</v>
      </c>
      <c r="T21">
        <v>1</v>
      </c>
    </row>
    <row r="22" spans="1:20">
      <c r="A22" s="2" t="s">
        <v>497</v>
      </c>
      <c r="B22" s="2">
        <v>2</v>
      </c>
      <c r="H22">
        <v>1</v>
      </c>
      <c r="N22">
        <v>1</v>
      </c>
    </row>
    <row r="23" spans="1:20">
      <c r="A23" s="2" t="s">
        <v>498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317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L486"/>
  <sheetViews>
    <sheetView workbookViewId="0">
      <pane xSplit="2" ySplit="4" topLeftCell="C8" activePane="bottomRight" state="frozen"/>
      <selection pane="topRight" activeCell="C1" sqref="C1"/>
      <selection pane="bottomLeft" activeCell="A6" sqref="A6"/>
      <selection pane="bottomRight" activeCell="H17" sqref="H17"/>
    </sheetView>
  </sheetViews>
  <sheetFormatPr defaultColWidth="9.140625" defaultRowHeight="15"/>
  <cols>
    <col min="1" max="1" width="25.28515625" customWidth="1"/>
    <col min="2" max="2" width="30.28515625" customWidth="1"/>
    <col min="3" max="4" width="25.28515625" customWidth="1"/>
    <col min="5" max="8" width="15.42578125" customWidth="1"/>
    <col min="9" max="9" width="12.85546875" bestFit="1" customWidth="1"/>
    <col min="10" max="10" width="19" bestFit="1" customWidth="1"/>
    <col min="11" max="11" width="17.5703125" bestFit="1" customWidth="1"/>
    <col min="12" max="12" width="16.85546875" bestFit="1" customWidth="1"/>
    <col min="13" max="13" width="17.42578125" bestFit="1" customWidth="1"/>
    <col min="14" max="14" width="15.85546875" bestFit="1" customWidth="1"/>
    <col min="15" max="15" width="16.140625" bestFit="1" customWidth="1"/>
    <col min="16" max="16" width="22.42578125" bestFit="1" customWidth="1"/>
    <col min="17" max="17" width="20.85546875" bestFit="1" customWidth="1"/>
    <col min="18" max="18" width="20" bestFit="1" customWidth="1"/>
    <col min="19" max="19" width="20.42578125" bestFit="1" customWidth="1"/>
    <col min="20" max="20" width="19.140625" bestFit="1" customWidth="1"/>
    <col min="21" max="21" width="19.42578125" bestFit="1" customWidth="1"/>
  </cols>
  <sheetData>
    <row r="1" spans="1:12">
      <c r="A1" t="s">
        <v>417</v>
      </c>
    </row>
    <row r="2" spans="1:12">
      <c r="A2" t="s">
        <v>351</v>
      </c>
    </row>
    <row r="3" spans="1:12">
      <c r="A3" s="15" t="s">
        <v>383</v>
      </c>
      <c r="B3" s="3"/>
      <c r="C3" s="3"/>
      <c r="D3" s="3"/>
      <c r="E3" s="3"/>
      <c r="F3" s="3"/>
      <c r="G3" s="3"/>
      <c r="H3" s="3"/>
      <c r="I3" s="3"/>
    </row>
    <row r="4" spans="1:12">
      <c r="A4" s="2"/>
      <c r="B4" s="2"/>
      <c r="C4" s="2"/>
      <c r="D4" s="2"/>
      <c r="E4" s="2"/>
      <c r="F4" s="2"/>
      <c r="G4" s="2"/>
      <c r="H4" s="2"/>
      <c r="I4" s="2"/>
    </row>
    <row r="5" spans="1:12">
      <c r="A5" t="s">
        <v>20</v>
      </c>
      <c r="B5" t="s">
        <v>21</v>
      </c>
      <c r="C5" t="s">
        <v>27</v>
      </c>
      <c r="D5" t="s">
        <v>37</v>
      </c>
      <c r="E5" t="s">
        <v>38</v>
      </c>
      <c r="F5" t="s">
        <v>39</v>
      </c>
      <c r="G5" s="57" t="s">
        <v>495</v>
      </c>
      <c r="H5" t="s">
        <v>48</v>
      </c>
      <c r="I5" t="s">
        <v>49</v>
      </c>
      <c r="J5" t="s">
        <v>50</v>
      </c>
      <c r="K5" t="s">
        <v>494</v>
      </c>
      <c r="L5" t="s">
        <v>43</v>
      </c>
    </row>
    <row r="6" spans="1:12">
      <c r="A6" t="s">
        <v>484</v>
      </c>
      <c r="B6" t="s">
        <v>146</v>
      </c>
      <c r="C6">
        <v>2018</v>
      </c>
      <c r="D6" s="46">
        <v>0.26347400832432255</v>
      </c>
      <c r="E6">
        <v>0</v>
      </c>
      <c r="F6" s="46">
        <v>0.68060491961483049</v>
      </c>
      <c r="G6" s="57">
        <v>5.5921072060847003E-2</v>
      </c>
      <c r="H6" s="46">
        <v>0.26347400832432255</v>
      </c>
      <c r="I6" s="46">
        <v>0</v>
      </c>
      <c r="J6" s="46">
        <v>0.68060491961483049</v>
      </c>
      <c r="K6" s="46">
        <v>5.5921072060847003E-2</v>
      </c>
    </row>
    <row r="7" spans="1:12">
      <c r="A7" t="s">
        <v>486</v>
      </c>
      <c r="B7" t="s">
        <v>146</v>
      </c>
      <c r="C7">
        <v>2018</v>
      </c>
      <c r="D7" s="46">
        <v>0.82491567498970286</v>
      </c>
      <c r="E7">
        <v>0</v>
      </c>
      <c r="F7" s="46">
        <v>0</v>
      </c>
      <c r="G7" s="57">
        <v>0.17508432501029708</v>
      </c>
      <c r="H7" s="46">
        <v>0.82491567498970286</v>
      </c>
      <c r="I7" s="46">
        <v>0</v>
      </c>
      <c r="J7" s="46">
        <v>0</v>
      </c>
      <c r="K7" s="46">
        <v>0.17508432501029708</v>
      </c>
    </row>
    <row r="8" spans="1:12">
      <c r="A8" t="s">
        <v>480</v>
      </c>
      <c r="B8" t="s">
        <v>146</v>
      </c>
      <c r="C8">
        <v>2018</v>
      </c>
      <c r="D8" s="46">
        <v>0.82491567498970297</v>
      </c>
      <c r="E8">
        <v>0</v>
      </c>
      <c r="F8" s="46">
        <v>0</v>
      </c>
      <c r="G8" s="57">
        <v>0.17508432501029714</v>
      </c>
      <c r="H8" s="46">
        <v>0.82491567498970297</v>
      </c>
      <c r="I8" s="46">
        <v>0</v>
      </c>
      <c r="J8" s="46">
        <v>0</v>
      </c>
      <c r="K8" s="46">
        <v>0.17508432501029714</v>
      </c>
    </row>
    <row r="9" spans="1:12">
      <c r="A9" t="s">
        <v>485</v>
      </c>
      <c r="B9" t="s">
        <v>146</v>
      </c>
      <c r="C9">
        <v>2018</v>
      </c>
      <c r="D9" s="46">
        <v>0.82491567498970286</v>
      </c>
      <c r="E9">
        <v>0</v>
      </c>
      <c r="F9" s="46">
        <v>0</v>
      </c>
      <c r="G9" s="57">
        <v>0.17508432501029708</v>
      </c>
      <c r="H9" s="46">
        <v>0.82491567498970286</v>
      </c>
      <c r="I9" s="46">
        <v>0</v>
      </c>
      <c r="J9" s="46">
        <v>0</v>
      </c>
      <c r="K9" s="46">
        <v>0.17508432501029708</v>
      </c>
    </row>
    <row r="10" spans="1:12">
      <c r="A10" t="s">
        <v>479</v>
      </c>
      <c r="B10" t="s">
        <v>146</v>
      </c>
      <c r="C10">
        <v>2018</v>
      </c>
      <c r="D10" s="46">
        <v>0.82491567498970297</v>
      </c>
      <c r="E10">
        <v>0</v>
      </c>
      <c r="F10" s="46">
        <v>0</v>
      </c>
      <c r="G10" s="57">
        <v>0.17508432501029708</v>
      </c>
      <c r="H10" s="46">
        <v>0.82491567498970297</v>
      </c>
      <c r="I10" s="46">
        <v>0</v>
      </c>
      <c r="J10" s="46">
        <v>0</v>
      </c>
      <c r="K10" s="46">
        <v>0.17508432501029708</v>
      </c>
    </row>
    <row r="11" spans="1:12">
      <c r="A11" t="s">
        <v>488</v>
      </c>
      <c r="B11" t="s">
        <v>146</v>
      </c>
      <c r="C11">
        <v>2018</v>
      </c>
      <c r="D11" s="46">
        <v>0.82491567498970286</v>
      </c>
      <c r="E11">
        <v>0</v>
      </c>
      <c r="F11" s="46">
        <v>0</v>
      </c>
      <c r="G11" s="57">
        <v>0.17508432501029714</v>
      </c>
      <c r="H11" s="46">
        <v>0.82491567498970286</v>
      </c>
      <c r="I11" s="46">
        <v>0</v>
      </c>
      <c r="J11" s="46">
        <v>0</v>
      </c>
      <c r="K11" s="46">
        <v>0.17508432501029714</v>
      </c>
    </row>
    <row r="12" spans="1:12">
      <c r="A12" t="s">
        <v>487</v>
      </c>
      <c r="B12" t="s">
        <v>146</v>
      </c>
      <c r="C12">
        <v>2018</v>
      </c>
      <c r="D12" s="46">
        <v>0.82491567498970297</v>
      </c>
      <c r="E12">
        <v>0</v>
      </c>
      <c r="F12" s="46">
        <v>0</v>
      </c>
      <c r="G12" s="57">
        <v>0.17508432501029708</v>
      </c>
      <c r="H12" s="46">
        <v>0.82491567498970297</v>
      </c>
      <c r="I12" s="46">
        <v>0</v>
      </c>
      <c r="J12" s="46">
        <v>0</v>
      </c>
      <c r="K12" s="46">
        <v>0.17508432501029708</v>
      </c>
    </row>
    <row r="13" spans="1:12">
      <c r="A13" t="s">
        <v>481</v>
      </c>
      <c r="B13" t="s">
        <v>146</v>
      </c>
      <c r="C13">
        <v>2018</v>
      </c>
      <c r="D13" s="46">
        <v>0.82491567498970297</v>
      </c>
      <c r="E13">
        <v>0</v>
      </c>
      <c r="F13" s="46">
        <v>0</v>
      </c>
      <c r="G13" s="57">
        <v>0.17508432501029708</v>
      </c>
      <c r="H13" s="46">
        <v>0.82491567498970297</v>
      </c>
      <c r="I13" s="46">
        <v>0</v>
      </c>
      <c r="J13" s="46">
        <v>0</v>
      </c>
      <c r="K13" s="46">
        <v>0.17508432501029708</v>
      </c>
    </row>
    <row r="14" spans="1:12">
      <c r="A14" t="s">
        <v>484</v>
      </c>
      <c r="B14" t="s">
        <v>146</v>
      </c>
      <c r="C14">
        <v>2021</v>
      </c>
      <c r="D14" s="46">
        <v>0.28442470194383357</v>
      </c>
      <c r="E14">
        <v>0</v>
      </c>
      <c r="F14" s="46">
        <v>0.51588995433620521</v>
      </c>
      <c r="G14" s="57">
        <v>0.19968534371996124</v>
      </c>
      <c r="H14" s="46">
        <v>0.28300257843411442</v>
      </c>
      <c r="I14" s="46">
        <v>0</v>
      </c>
      <c r="J14" s="46">
        <v>0.51331050456452421</v>
      </c>
      <c r="K14" s="46">
        <v>0.19868691700136143</v>
      </c>
      <c r="L14">
        <v>2.8442470194383357E-5</v>
      </c>
    </row>
    <row r="15" spans="1:12">
      <c r="A15" t="s">
        <v>486</v>
      </c>
      <c r="B15" t="s">
        <v>146</v>
      </c>
      <c r="C15">
        <v>2021</v>
      </c>
      <c r="D15" s="46">
        <v>0.58752075998307429</v>
      </c>
      <c r="E15">
        <v>0</v>
      </c>
      <c r="F15" s="46">
        <v>0</v>
      </c>
      <c r="G15" s="57">
        <v>0.41247924001692565</v>
      </c>
      <c r="H15" s="46">
        <v>0.58458315618315893</v>
      </c>
      <c r="I15" s="46">
        <v>0</v>
      </c>
      <c r="J15" s="46">
        <v>0</v>
      </c>
      <c r="K15" s="46">
        <v>0.41041684381684101</v>
      </c>
      <c r="L15">
        <v>5.8752075998307429E-5</v>
      </c>
    </row>
    <row r="16" spans="1:12">
      <c r="A16" t="s">
        <v>480</v>
      </c>
      <c r="B16" t="s">
        <v>146</v>
      </c>
      <c r="C16">
        <v>2021</v>
      </c>
      <c r="D16" s="46">
        <v>0.58752075998307429</v>
      </c>
      <c r="E16">
        <v>0</v>
      </c>
      <c r="F16" s="46">
        <v>0</v>
      </c>
      <c r="G16" s="57">
        <v>0.41247924001692576</v>
      </c>
      <c r="H16" s="46">
        <v>0.58458315618315893</v>
      </c>
      <c r="I16" s="46">
        <v>0</v>
      </c>
      <c r="J16" s="46">
        <v>0</v>
      </c>
      <c r="K16" s="46">
        <v>0.41041684381684113</v>
      </c>
      <c r="L16">
        <v>5.8752075998307429E-5</v>
      </c>
    </row>
    <row r="17" spans="1:12">
      <c r="A17" t="s">
        <v>485</v>
      </c>
      <c r="B17" t="s">
        <v>146</v>
      </c>
      <c r="C17">
        <v>2021</v>
      </c>
      <c r="D17" s="46">
        <v>0.5875207599830744</v>
      </c>
      <c r="E17">
        <v>0</v>
      </c>
      <c r="F17" s="46">
        <v>0</v>
      </c>
      <c r="G17" s="57">
        <v>0.41247924001692571</v>
      </c>
      <c r="H17" s="46">
        <v>0.58458315618315904</v>
      </c>
      <c r="I17" s="46">
        <v>0</v>
      </c>
      <c r="J17" s="46">
        <v>0</v>
      </c>
      <c r="K17" s="46">
        <v>0.41041684381684107</v>
      </c>
      <c r="L17">
        <v>5.8752075998307442E-5</v>
      </c>
    </row>
    <row r="18" spans="1:12">
      <c r="A18" t="s">
        <v>479</v>
      </c>
      <c r="B18" t="s">
        <v>146</v>
      </c>
      <c r="C18">
        <v>2021</v>
      </c>
      <c r="D18" s="46">
        <v>0.58752075998307429</v>
      </c>
      <c r="E18">
        <v>0</v>
      </c>
      <c r="F18" s="46">
        <v>0</v>
      </c>
      <c r="G18" s="57">
        <v>0.41247924001692565</v>
      </c>
      <c r="H18" s="46">
        <v>0.58458315618315893</v>
      </c>
      <c r="I18" s="46">
        <v>0</v>
      </c>
      <c r="J18" s="46">
        <v>0</v>
      </c>
      <c r="K18" s="46">
        <v>0.41041684381684101</v>
      </c>
      <c r="L18">
        <v>5.8752075998307429E-5</v>
      </c>
    </row>
    <row r="19" spans="1:12">
      <c r="A19" t="s">
        <v>488</v>
      </c>
      <c r="B19" t="s">
        <v>146</v>
      </c>
      <c r="C19">
        <v>2021</v>
      </c>
      <c r="D19" s="46">
        <v>0.5875207599830744</v>
      </c>
      <c r="E19">
        <v>0</v>
      </c>
      <c r="F19" s="46">
        <v>0</v>
      </c>
      <c r="G19" s="57">
        <v>0.41247924001692571</v>
      </c>
      <c r="H19" s="46">
        <v>0.58458315618315904</v>
      </c>
      <c r="I19" s="46">
        <v>0</v>
      </c>
      <c r="J19" s="46">
        <v>0</v>
      </c>
      <c r="K19" s="46">
        <v>0.41041684381684107</v>
      </c>
      <c r="L19">
        <v>5.8752075998307442E-5</v>
      </c>
    </row>
    <row r="20" spans="1:12">
      <c r="A20" t="s">
        <v>487</v>
      </c>
      <c r="B20" t="s">
        <v>146</v>
      </c>
      <c r="C20">
        <v>2021</v>
      </c>
      <c r="D20" s="46">
        <v>0.58752075998307429</v>
      </c>
      <c r="E20">
        <v>0</v>
      </c>
      <c r="F20" s="46">
        <v>0</v>
      </c>
      <c r="G20" s="57">
        <v>0.41247924001692571</v>
      </c>
      <c r="H20" s="46">
        <v>0.58458315618315893</v>
      </c>
      <c r="I20" s="46">
        <v>0</v>
      </c>
      <c r="J20" s="46">
        <v>0</v>
      </c>
      <c r="K20" s="46">
        <v>0.41041684381684107</v>
      </c>
      <c r="L20">
        <v>5.8752075998307429E-5</v>
      </c>
    </row>
    <row r="21" spans="1:12">
      <c r="A21" t="s">
        <v>481</v>
      </c>
      <c r="B21" t="s">
        <v>146</v>
      </c>
      <c r="C21">
        <v>2021</v>
      </c>
      <c r="D21" s="46">
        <v>0.5875207599830744</v>
      </c>
      <c r="E21">
        <v>0</v>
      </c>
      <c r="F21" s="46">
        <v>0</v>
      </c>
      <c r="G21" s="57">
        <v>0.41247924001692571</v>
      </c>
      <c r="H21" s="46">
        <v>0.58458315618315904</v>
      </c>
      <c r="I21" s="46">
        <v>0</v>
      </c>
      <c r="J21" s="46">
        <v>0</v>
      </c>
      <c r="K21" s="46">
        <v>0.41041684381684107</v>
      </c>
      <c r="L21">
        <v>5.8752075998307442E-5</v>
      </c>
    </row>
    <row r="22" spans="1:12">
      <c r="A22" t="s">
        <v>484</v>
      </c>
      <c r="B22" t="s">
        <v>146</v>
      </c>
      <c r="C22">
        <v>2025</v>
      </c>
      <c r="D22">
        <v>0.28158045492439521</v>
      </c>
      <c r="E22">
        <v>0</v>
      </c>
      <c r="F22">
        <v>0.5107310547928432</v>
      </c>
      <c r="G22">
        <v>0.19768849028276164</v>
      </c>
      <c r="H22" s="46">
        <v>0.26186982307968754</v>
      </c>
      <c r="I22" s="46">
        <v>0</v>
      </c>
      <c r="J22" s="46">
        <v>0.48519450205320103</v>
      </c>
      <c r="K22" s="46">
        <v>0.18780406576862355</v>
      </c>
      <c r="L22">
        <v>8.4474136477318551E-3</v>
      </c>
    </row>
    <row r="23" spans="1:12">
      <c r="A23" t="s">
        <v>486</v>
      </c>
      <c r="B23" t="s">
        <v>146</v>
      </c>
      <c r="C23">
        <v>2025</v>
      </c>
      <c r="D23">
        <v>0.58164555238324356</v>
      </c>
      <c r="E23">
        <v>0</v>
      </c>
      <c r="F23">
        <v>0</v>
      </c>
      <c r="G23">
        <v>0.40835444761675638</v>
      </c>
      <c r="H23" s="46">
        <v>0.54093036371641656</v>
      </c>
      <c r="I23" s="46">
        <v>0</v>
      </c>
      <c r="J23" s="46">
        <v>0</v>
      </c>
      <c r="K23" s="46">
        <v>0.38793672523591854</v>
      </c>
      <c r="L23">
        <v>1.7449366571497305E-2</v>
      </c>
    </row>
    <row r="24" spans="1:12">
      <c r="A24" t="s">
        <v>480</v>
      </c>
      <c r="B24" t="s">
        <v>146</v>
      </c>
      <c r="C24">
        <v>2025</v>
      </c>
      <c r="D24">
        <v>0.58164555238324356</v>
      </c>
      <c r="E24">
        <v>0</v>
      </c>
      <c r="F24">
        <v>0</v>
      </c>
      <c r="G24">
        <v>0.40835444761675649</v>
      </c>
      <c r="H24" s="46">
        <v>0.54093036371641656</v>
      </c>
      <c r="I24" s="46">
        <v>0</v>
      </c>
      <c r="J24" s="46">
        <v>0</v>
      </c>
      <c r="K24" s="46">
        <v>0.38793672523591866</v>
      </c>
      <c r="L24">
        <v>1.7449366571497305E-2</v>
      </c>
    </row>
    <row r="25" spans="1:12">
      <c r="A25" t="s">
        <v>485</v>
      </c>
      <c r="B25" t="s">
        <v>146</v>
      </c>
      <c r="C25">
        <v>2025</v>
      </c>
      <c r="D25">
        <v>0.58164555238324367</v>
      </c>
      <c r="E25">
        <v>0</v>
      </c>
      <c r="F25">
        <v>0</v>
      </c>
      <c r="G25">
        <v>0.40835444761675643</v>
      </c>
      <c r="H25" s="46">
        <v>0.54093036371641667</v>
      </c>
      <c r="I25" s="46">
        <v>0</v>
      </c>
      <c r="J25" s="46">
        <v>0</v>
      </c>
      <c r="K25" s="46">
        <v>0.3879367252359186</v>
      </c>
      <c r="L25">
        <v>1.7449366571497309E-2</v>
      </c>
    </row>
    <row r="26" spans="1:12">
      <c r="A26" t="s">
        <v>479</v>
      </c>
      <c r="B26" t="s">
        <v>146</v>
      </c>
      <c r="C26">
        <v>2025</v>
      </c>
      <c r="D26">
        <v>0.58164555238324356</v>
      </c>
      <c r="E26">
        <v>0</v>
      </c>
      <c r="F26">
        <v>0</v>
      </c>
      <c r="G26">
        <v>0.40835444761675638</v>
      </c>
      <c r="H26" s="46">
        <v>0.54093036371641656</v>
      </c>
      <c r="I26" s="46">
        <v>0</v>
      </c>
      <c r="J26" s="46">
        <v>0</v>
      </c>
      <c r="K26" s="46">
        <v>0.38793672523591854</v>
      </c>
      <c r="L26">
        <v>1.7449366571497305E-2</v>
      </c>
    </row>
    <row r="27" spans="1:12">
      <c r="A27" t="s">
        <v>488</v>
      </c>
      <c r="B27" t="s">
        <v>146</v>
      </c>
      <c r="C27">
        <v>2025</v>
      </c>
      <c r="D27">
        <v>0.58164555238324367</v>
      </c>
      <c r="E27">
        <v>0</v>
      </c>
      <c r="F27">
        <v>0</v>
      </c>
      <c r="G27">
        <v>0.40835444761675643</v>
      </c>
      <c r="H27" s="46">
        <v>0.54093036371641667</v>
      </c>
      <c r="I27" s="46">
        <v>0</v>
      </c>
      <c r="J27" s="46">
        <v>0</v>
      </c>
      <c r="K27" s="46">
        <v>0.3879367252359186</v>
      </c>
      <c r="L27">
        <v>1.7449366571497309E-2</v>
      </c>
    </row>
    <row r="28" spans="1:12">
      <c r="A28" t="s">
        <v>487</v>
      </c>
      <c r="B28" t="s">
        <v>146</v>
      </c>
      <c r="C28">
        <v>2025</v>
      </c>
      <c r="D28">
        <v>0.58164555238324356</v>
      </c>
      <c r="E28">
        <v>0</v>
      </c>
      <c r="F28">
        <v>0</v>
      </c>
      <c r="G28">
        <v>0.40835444761675643</v>
      </c>
      <c r="H28" s="46">
        <v>0.54093036371641656</v>
      </c>
      <c r="I28" s="46">
        <v>0</v>
      </c>
      <c r="J28" s="46">
        <v>0</v>
      </c>
      <c r="K28" s="46">
        <v>0.3879367252359186</v>
      </c>
      <c r="L28">
        <v>1.7449366571497305E-2</v>
      </c>
    </row>
    <row r="29" spans="1:12">
      <c r="A29" t="s">
        <v>481</v>
      </c>
      <c r="B29" t="s">
        <v>146</v>
      </c>
      <c r="C29">
        <v>2025</v>
      </c>
      <c r="D29">
        <v>0.58164555238324367</v>
      </c>
      <c r="E29">
        <v>0</v>
      </c>
      <c r="F29">
        <v>0</v>
      </c>
      <c r="G29">
        <v>0.40835444761675643</v>
      </c>
      <c r="H29" s="46">
        <v>0.54093036371641667</v>
      </c>
      <c r="I29" s="46">
        <v>0</v>
      </c>
      <c r="J29" s="46">
        <v>0</v>
      </c>
      <c r="K29" s="46">
        <v>0.3879367252359186</v>
      </c>
      <c r="L29">
        <v>1.7449366571497309E-2</v>
      </c>
    </row>
    <row r="30" spans="1:12">
      <c r="A30" t="s">
        <v>484</v>
      </c>
      <c r="B30" t="s">
        <v>146</v>
      </c>
      <c r="C30">
        <v>2030</v>
      </c>
      <c r="D30">
        <v>0.27876465037515125</v>
      </c>
      <c r="E30">
        <v>0</v>
      </c>
      <c r="F30">
        <v>0.50562374424491474</v>
      </c>
      <c r="G30">
        <v>0.19571160537993401</v>
      </c>
      <c r="H30" s="46">
        <v>0.21464878078886646</v>
      </c>
      <c r="I30" s="46">
        <v>0</v>
      </c>
      <c r="J30" s="46">
        <v>0.50562374424491474</v>
      </c>
      <c r="K30" s="46">
        <v>0.19571160537993401</v>
      </c>
      <c r="L30">
        <v>3.6239404548769664E-2</v>
      </c>
    </row>
    <row r="31" spans="1:12">
      <c r="A31" t="s">
        <v>486</v>
      </c>
      <c r="B31" t="s">
        <v>146</v>
      </c>
      <c r="C31">
        <v>2030</v>
      </c>
      <c r="D31">
        <v>0.57582909685941108</v>
      </c>
      <c r="E31">
        <v>0</v>
      </c>
      <c r="F31">
        <v>0</v>
      </c>
      <c r="G31">
        <v>0.40427090314058883</v>
      </c>
      <c r="H31" s="46">
        <v>0.44338840458174655</v>
      </c>
      <c r="I31" s="46">
        <v>0</v>
      </c>
      <c r="J31" s="46">
        <v>0</v>
      </c>
      <c r="K31" s="46">
        <v>0.40427090314058883</v>
      </c>
      <c r="L31">
        <v>7.4857782591723446E-2</v>
      </c>
    </row>
    <row r="32" spans="1:12">
      <c r="A32" t="s">
        <v>480</v>
      </c>
      <c r="B32" t="s">
        <v>146</v>
      </c>
      <c r="C32">
        <v>2030</v>
      </c>
      <c r="D32">
        <v>0.57582909685941108</v>
      </c>
      <c r="E32">
        <v>0</v>
      </c>
      <c r="F32">
        <v>0</v>
      </c>
      <c r="G32">
        <v>0.40427090314058894</v>
      </c>
      <c r="H32" s="46">
        <v>0.44338840458174655</v>
      </c>
      <c r="I32" s="46">
        <v>0</v>
      </c>
      <c r="J32" s="46">
        <v>0</v>
      </c>
      <c r="K32" s="46">
        <v>0.40427090314058894</v>
      </c>
      <c r="L32">
        <v>7.4857782591723446E-2</v>
      </c>
    </row>
    <row r="33" spans="1:12">
      <c r="A33" t="s">
        <v>485</v>
      </c>
      <c r="B33" t="s">
        <v>146</v>
      </c>
      <c r="C33">
        <v>2030</v>
      </c>
      <c r="D33">
        <v>0.57582909685941119</v>
      </c>
      <c r="E33">
        <v>0</v>
      </c>
      <c r="F33">
        <v>0</v>
      </c>
      <c r="G33">
        <v>0.40427090314058889</v>
      </c>
      <c r="H33" s="46">
        <v>0.44338840458174661</v>
      </c>
      <c r="I33" s="46">
        <v>0</v>
      </c>
      <c r="J33" s="46">
        <v>0</v>
      </c>
      <c r="K33" s="46">
        <v>0.40427090314058889</v>
      </c>
      <c r="L33">
        <v>7.485778259172346E-2</v>
      </c>
    </row>
    <row r="34" spans="1:12">
      <c r="A34" t="s">
        <v>479</v>
      </c>
      <c r="B34" t="s">
        <v>146</v>
      </c>
      <c r="C34">
        <v>2030</v>
      </c>
      <c r="D34">
        <v>0.57582909685941108</v>
      </c>
      <c r="E34">
        <v>0</v>
      </c>
      <c r="F34">
        <v>0</v>
      </c>
      <c r="G34">
        <v>0.40427090314058883</v>
      </c>
      <c r="H34" s="46">
        <v>0.44338840458174655</v>
      </c>
      <c r="I34" s="46">
        <v>0</v>
      </c>
      <c r="J34" s="46">
        <v>0</v>
      </c>
      <c r="K34" s="46">
        <v>0.40427090314058883</v>
      </c>
      <c r="L34">
        <v>7.4857782591723446E-2</v>
      </c>
    </row>
    <row r="35" spans="1:12">
      <c r="A35" t="s">
        <v>488</v>
      </c>
      <c r="B35" t="s">
        <v>146</v>
      </c>
      <c r="C35">
        <v>2030</v>
      </c>
      <c r="D35">
        <v>0.57582909685941119</v>
      </c>
      <c r="E35">
        <v>0</v>
      </c>
      <c r="F35">
        <v>0</v>
      </c>
      <c r="G35">
        <v>0.40427090314058889</v>
      </c>
      <c r="H35" s="46">
        <v>0.44338840458174661</v>
      </c>
      <c r="I35" s="46">
        <v>0</v>
      </c>
      <c r="J35" s="46">
        <v>0</v>
      </c>
      <c r="K35" s="46">
        <v>0.40427090314058889</v>
      </c>
      <c r="L35">
        <v>7.485778259172346E-2</v>
      </c>
    </row>
    <row r="36" spans="1:12">
      <c r="A36" t="s">
        <v>487</v>
      </c>
      <c r="B36" t="s">
        <v>146</v>
      </c>
      <c r="C36">
        <v>2030</v>
      </c>
      <c r="D36">
        <v>0.57582909685941108</v>
      </c>
      <c r="E36">
        <v>0</v>
      </c>
      <c r="F36">
        <v>0</v>
      </c>
      <c r="G36">
        <v>0.40427090314058889</v>
      </c>
      <c r="H36" s="46">
        <v>0.44338840458174655</v>
      </c>
      <c r="I36" s="46">
        <v>0</v>
      </c>
      <c r="J36" s="46">
        <v>0</v>
      </c>
      <c r="K36" s="46">
        <v>0.40427090314058889</v>
      </c>
      <c r="L36">
        <v>7.4857782591723446E-2</v>
      </c>
    </row>
    <row r="37" spans="1:12">
      <c r="A37" t="s">
        <v>481</v>
      </c>
      <c r="B37" t="s">
        <v>146</v>
      </c>
      <c r="C37">
        <v>2030</v>
      </c>
      <c r="D37">
        <v>0.57582909685941119</v>
      </c>
      <c r="E37">
        <v>0</v>
      </c>
      <c r="F37">
        <v>0</v>
      </c>
      <c r="G37">
        <v>0.40427090314058889</v>
      </c>
      <c r="H37" s="46">
        <v>0.44338840458174661</v>
      </c>
      <c r="I37" s="46">
        <v>0</v>
      </c>
      <c r="J37" s="46">
        <v>0</v>
      </c>
      <c r="K37" s="46">
        <v>0.40427090314058889</v>
      </c>
      <c r="L37">
        <v>7.485778259172346E-2</v>
      </c>
    </row>
    <row r="38" spans="1:12">
      <c r="A38" t="s">
        <v>484</v>
      </c>
      <c r="B38" t="s">
        <v>146</v>
      </c>
      <c r="C38">
        <v>2035</v>
      </c>
      <c r="D38">
        <v>0.27597700387139973</v>
      </c>
      <c r="E38">
        <v>0</v>
      </c>
      <c r="F38">
        <v>0.50056750680246553</v>
      </c>
      <c r="G38">
        <v>0.19375448932613468</v>
      </c>
      <c r="H38" s="46">
        <v>0.16006666224541183</v>
      </c>
      <c r="I38" s="46">
        <v>0</v>
      </c>
      <c r="J38" s="46">
        <v>0.50056750680246553</v>
      </c>
      <c r="K38" s="46">
        <v>0.19375448932613468</v>
      </c>
      <c r="L38">
        <v>7.1754021006563931E-2</v>
      </c>
    </row>
    <row r="39" spans="1:12">
      <c r="A39" t="s">
        <v>486</v>
      </c>
      <c r="B39" t="s">
        <v>146</v>
      </c>
      <c r="C39">
        <v>2035</v>
      </c>
      <c r="D39">
        <v>0.57007080589081693</v>
      </c>
      <c r="E39">
        <v>0</v>
      </c>
      <c r="F39">
        <v>0</v>
      </c>
      <c r="G39">
        <v>0.40022819410918292</v>
      </c>
      <c r="H39" s="46">
        <v>0.33064106741667382</v>
      </c>
      <c r="I39" s="46">
        <v>0</v>
      </c>
      <c r="J39" s="46">
        <v>0</v>
      </c>
      <c r="K39" s="46">
        <v>0.40022819410918292</v>
      </c>
      <c r="L39">
        <v>0.14821840953161242</v>
      </c>
    </row>
    <row r="40" spans="1:12">
      <c r="A40" t="s">
        <v>480</v>
      </c>
      <c r="B40" t="s">
        <v>146</v>
      </c>
      <c r="C40">
        <v>2035</v>
      </c>
      <c r="D40">
        <v>0.57007080589081693</v>
      </c>
      <c r="E40">
        <v>0</v>
      </c>
      <c r="F40">
        <v>0</v>
      </c>
      <c r="G40">
        <v>0.40022819410918303</v>
      </c>
      <c r="H40" s="46">
        <v>0.33064106741667382</v>
      </c>
      <c r="I40" s="46">
        <v>0</v>
      </c>
      <c r="J40" s="46">
        <v>0</v>
      </c>
      <c r="K40" s="46">
        <v>0.40022819410918303</v>
      </c>
      <c r="L40">
        <v>0.14821840953161242</v>
      </c>
    </row>
    <row r="41" spans="1:12">
      <c r="A41" t="s">
        <v>485</v>
      </c>
      <c r="B41" t="s">
        <v>146</v>
      </c>
      <c r="C41">
        <v>2035</v>
      </c>
      <c r="D41">
        <v>0.57007080589081705</v>
      </c>
      <c r="E41">
        <v>0</v>
      </c>
      <c r="F41">
        <v>0</v>
      </c>
      <c r="G41">
        <v>0.40022819410918298</v>
      </c>
      <c r="H41" s="46">
        <v>0.33064106741667387</v>
      </c>
      <c r="I41" s="46">
        <v>0</v>
      </c>
      <c r="J41" s="46">
        <v>0</v>
      </c>
      <c r="K41" s="46">
        <v>0.40022819410918298</v>
      </c>
      <c r="L41">
        <v>0.14821840953161244</v>
      </c>
    </row>
    <row r="42" spans="1:12">
      <c r="A42" t="s">
        <v>479</v>
      </c>
      <c r="B42" t="s">
        <v>146</v>
      </c>
      <c r="C42">
        <v>2035</v>
      </c>
      <c r="D42">
        <v>0.57007080589081693</v>
      </c>
      <c r="E42">
        <v>0</v>
      </c>
      <c r="F42">
        <v>0</v>
      </c>
      <c r="G42">
        <v>0.40022819410918292</v>
      </c>
      <c r="H42" s="46">
        <v>0.33064106741667382</v>
      </c>
      <c r="I42" s="46">
        <v>0</v>
      </c>
      <c r="J42" s="46">
        <v>0</v>
      </c>
      <c r="K42" s="46">
        <v>0.40022819410918292</v>
      </c>
      <c r="L42">
        <v>0.14821840953161242</v>
      </c>
    </row>
    <row r="43" spans="1:12">
      <c r="A43" t="s">
        <v>488</v>
      </c>
      <c r="B43" t="s">
        <v>146</v>
      </c>
      <c r="C43">
        <v>2035</v>
      </c>
      <c r="D43">
        <v>0.57007080589081705</v>
      </c>
      <c r="E43">
        <v>0</v>
      </c>
      <c r="F43">
        <v>0</v>
      </c>
      <c r="G43">
        <v>0.40022819410918298</v>
      </c>
      <c r="H43" s="46">
        <v>0.33064106741667387</v>
      </c>
      <c r="I43" s="46">
        <v>0</v>
      </c>
      <c r="J43" s="46">
        <v>0</v>
      </c>
      <c r="K43" s="46">
        <v>0.40022819410918298</v>
      </c>
      <c r="L43">
        <v>0.14821840953161244</v>
      </c>
    </row>
    <row r="44" spans="1:12">
      <c r="A44" t="s">
        <v>487</v>
      </c>
      <c r="B44" t="s">
        <v>146</v>
      </c>
      <c r="C44">
        <v>2035</v>
      </c>
      <c r="D44">
        <v>0.57007080589081693</v>
      </c>
      <c r="E44">
        <v>0</v>
      </c>
      <c r="F44">
        <v>0</v>
      </c>
      <c r="G44">
        <v>0.40022819410918298</v>
      </c>
      <c r="H44" s="46">
        <v>0.33064106741667382</v>
      </c>
      <c r="I44" s="46">
        <v>0</v>
      </c>
      <c r="J44" s="46">
        <v>0</v>
      </c>
      <c r="K44" s="46">
        <v>0.40022819410918298</v>
      </c>
      <c r="L44">
        <v>0.14821840953161242</v>
      </c>
    </row>
    <row r="45" spans="1:12">
      <c r="A45" t="s">
        <v>481</v>
      </c>
      <c r="B45" t="s">
        <v>146</v>
      </c>
      <c r="C45">
        <v>2035</v>
      </c>
      <c r="D45">
        <v>0.57007080589081705</v>
      </c>
      <c r="E45">
        <v>0</v>
      </c>
      <c r="F45">
        <v>0</v>
      </c>
      <c r="G45">
        <v>0.40022819410918298</v>
      </c>
      <c r="H45" s="46">
        <v>0.33064106741667387</v>
      </c>
      <c r="I45" s="46">
        <v>0</v>
      </c>
      <c r="J45" s="46">
        <v>0</v>
      </c>
      <c r="K45" s="46">
        <v>0.40022819410918298</v>
      </c>
      <c r="L45">
        <v>0.14821840953161244</v>
      </c>
    </row>
    <row r="46" spans="1:12">
      <c r="A46" t="s">
        <v>484</v>
      </c>
      <c r="B46" t="s">
        <v>146</v>
      </c>
      <c r="C46">
        <v>2040</v>
      </c>
      <c r="D46">
        <v>0.2732172338326857</v>
      </c>
      <c r="E46">
        <v>0</v>
      </c>
      <c r="F46">
        <v>0.49556183173444085</v>
      </c>
      <c r="G46">
        <v>0.19181694443287334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</row>
    <row r="47" spans="1:12">
      <c r="A47" t="s">
        <v>486</v>
      </c>
      <c r="B47" t="s">
        <v>146</v>
      </c>
      <c r="C47">
        <v>2040</v>
      </c>
      <c r="D47">
        <v>0.56437009783190872</v>
      </c>
      <c r="E47">
        <v>0</v>
      </c>
      <c r="F47">
        <v>0</v>
      </c>
      <c r="G47">
        <v>0.39622591216809111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</row>
    <row r="48" spans="1:12">
      <c r="A48" t="s">
        <v>480</v>
      </c>
      <c r="B48" t="s">
        <v>146</v>
      </c>
      <c r="C48">
        <v>2040</v>
      </c>
      <c r="D48">
        <v>0.56437009783190872</v>
      </c>
      <c r="E48">
        <v>0</v>
      </c>
      <c r="F48">
        <v>0</v>
      </c>
      <c r="G48">
        <v>0.39622591216809122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</row>
    <row r="49" spans="1:12">
      <c r="A49" t="s">
        <v>485</v>
      </c>
      <c r="B49" t="s">
        <v>146</v>
      </c>
      <c r="C49">
        <v>2040</v>
      </c>
      <c r="D49">
        <v>0.56437009783190883</v>
      </c>
      <c r="E49">
        <v>0</v>
      </c>
      <c r="F49">
        <v>0</v>
      </c>
      <c r="G49">
        <v>0.39622591216809117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</row>
    <row r="50" spans="1:12">
      <c r="A50" t="s">
        <v>479</v>
      </c>
      <c r="B50" t="s">
        <v>146</v>
      </c>
      <c r="C50">
        <v>2040</v>
      </c>
      <c r="D50">
        <v>0.56437009783190872</v>
      </c>
      <c r="E50">
        <v>0</v>
      </c>
      <c r="F50">
        <v>0</v>
      </c>
      <c r="G50">
        <v>0.39622591216809111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</row>
    <row r="51" spans="1:12">
      <c r="A51" t="s">
        <v>488</v>
      </c>
      <c r="B51" t="s">
        <v>146</v>
      </c>
      <c r="C51">
        <v>2040</v>
      </c>
      <c r="D51">
        <v>0.56437009783190883</v>
      </c>
      <c r="E51">
        <v>0</v>
      </c>
      <c r="F51">
        <v>0</v>
      </c>
      <c r="G51">
        <v>0.39622591216809117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</row>
    <row r="52" spans="1:12">
      <c r="A52" t="s">
        <v>487</v>
      </c>
      <c r="B52" t="s">
        <v>146</v>
      </c>
      <c r="C52">
        <v>2040</v>
      </c>
      <c r="D52">
        <v>0.56437009783190872</v>
      </c>
      <c r="E52">
        <v>0</v>
      </c>
      <c r="F52">
        <v>0</v>
      </c>
      <c r="G52">
        <v>0.39622591216809117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</row>
    <row r="53" spans="1:12">
      <c r="A53" t="s">
        <v>481</v>
      </c>
      <c r="B53" t="s">
        <v>146</v>
      </c>
      <c r="C53">
        <v>2040</v>
      </c>
      <c r="D53">
        <v>0.56437009783190883</v>
      </c>
      <c r="E53">
        <v>0</v>
      </c>
      <c r="F53">
        <v>0</v>
      </c>
      <c r="G53">
        <v>0.39622591216809117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</row>
    <row r="54" spans="1:12">
      <c r="A54" t="s">
        <v>484</v>
      </c>
      <c r="B54" t="s">
        <v>146</v>
      </c>
      <c r="C54">
        <v>2045</v>
      </c>
      <c r="D54">
        <v>0.27048506149435886</v>
      </c>
      <c r="E54">
        <v>0</v>
      </c>
      <c r="F54">
        <v>0.49060621341709643</v>
      </c>
      <c r="G54">
        <v>0.1898987749885446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</row>
    <row r="55" spans="1:12">
      <c r="A55" t="s">
        <v>486</v>
      </c>
      <c r="B55" t="s">
        <v>146</v>
      </c>
      <c r="C55">
        <v>2045</v>
      </c>
      <c r="D55">
        <v>0.5587263968535896</v>
      </c>
      <c r="E55">
        <v>0</v>
      </c>
      <c r="F55">
        <v>0</v>
      </c>
      <c r="G55">
        <v>0.3922636530464102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</row>
    <row r="56" spans="1:12">
      <c r="A56" t="s">
        <v>480</v>
      </c>
      <c r="B56" t="s">
        <v>146</v>
      </c>
      <c r="C56">
        <v>2045</v>
      </c>
      <c r="D56">
        <v>0.5587263968535896</v>
      </c>
      <c r="E56">
        <v>0</v>
      </c>
      <c r="F56">
        <v>0</v>
      </c>
      <c r="G56">
        <v>0.39226365304641031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</row>
    <row r="57" spans="1:12">
      <c r="A57" t="s">
        <v>485</v>
      </c>
      <c r="B57" t="s">
        <v>146</v>
      </c>
      <c r="C57">
        <v>2045</v>
      </c>
      <c r="D57">
        <v>0.55872639685358971</v>
      </c>
      <c r="E57">
        <v>0</v>
      </c>
      <c r="F57">
        <v>0</v>
      </c>
      <c r="G57">
        <v>0.39226365304641025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</row>
    <row r="58" spans="1:12">
      <c r="A58" t="s">
        <v>479</v>
      </c>
      <c r="B58" t="s">
        <v>146</v>
      </c>
      <c r="C58">
        <v>2045</v>
      </c>
      <c r="D58">
        <v>0.5587263968535896</v>
      </c>
      <c r="E58">
        <v>0</v>
      </c>
      <c r="F58">
        <v>0</v>
      </c>
      <c r="G58">
        <v>0.3922636530464102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</row>
    <row r="59" spans="1:12">
      <c r="A59" t="s">
        <v>488</v>
      </c>
      <c r="B59" t="s">
        <v>146</v>
      </c>
      <c r="C59">
        <v>2045</v>
      </c>
      <c r="D59">
        <v>0.55872639685358971</v>
      </c>
      <c r="E59">
        <v>0</v>
      </c>
      <c r="F59">
        <v>0</v>
      </c>
      <c r="G59">
        <v>0.39226365304641025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</row>
    <row r="60" spans="1:12">
      <c r="A60" t="s">
        <v>487</v>
      </c>
      <c r="B60" t="s">
        <v>146</v>
      </c>
      <c r="C60">
        <v>2045</v>
      </c>
      <c r="D60">
        <v>0.5587263968535896</v>
      </c>
      <c r="E60">
        <v>0</v>
      </c>
      <c r="F60">
        <v>0</v>
      </c>
      <c r="G60">
        <v>0.39226365304641025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</row>
    <row r="61" spans="1:12">
      <c r="A61" t="s">
        <v>481</v>
      </c>
      <c r="B61" t="s">
        <v>146</v>
      </c>
      <c r="C61">
        <v>2045</v>
      </c>
      <c r="D61">
        <v>0.55872639685358971</v>
      </c>
      <c r="E61">
        <v>0</v>
      </c>
      <c r="F61">
        <v>0</v>
      </c>
      <c r="G61">
        <v>0.39226365304641025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</row>
    <row r="62" spans="1:12">
      <c r="A62" t="s">
        <v>484</v>
      </c>
      <c r="B62" t="s">
        <v>146</v>
      </c>
      <c r="C62">
        <v>2050</v>
      </c>
      <c r="D62">
        <v>0.26778021087941528</v>
      </c>
      <c r="E62">
        <v>0</v>
      </c>
      <c r="F62">
        <v>0.48570015128292549</v>
      </c>
      <c r="G62">
        <v>0.18799978723865915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</row>
    <row r="63" spans="1:12">
      <c r="A63" t="s">
        <v>486</v>
      </c>
      <c r="B63" t="s">
        <v>146</v>
      </c>
      <c r="C63">
        <v>2050</v>
      </c>
      <c r="D63">
        <v>0.55313913288505367</v>
      </c>
      <c r="E63">
        <v>0</v>
      </c>
      <c r="F63">
        <v>0</v>
      </c>
      <c r="G63">
        <v>0.3883410165159461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</row>
    <row r="64" spans="1:12">
      <c r="A64" t="s">
        <v>480</v>
      </c>
      <c r="B64" t="s">
        <v>146</v>
      </c>
      <c r="C64">
        <v>2050</v>
      </c>
      <c r="D64">
        <v>0.55313913288505367</v>
      </c>
      <c r="E64">
        <v>0</v>
      </c>
      <c r="F64">
        <v>0</v>
      </c>
      <c r="G64">
        <v>0.38834101651594621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</row>
    <row r="65" spans="1:12">
      <c r="A65" t="s">
        <v>485</v>
      </c>
      <c r="B65" t="s">
        <v>146</v>
      </c>
      <c r="C65">
        <v>2050</v>
      </c>
      <c r="D65">
        <v>0.55313913288505379</v>
      </c>
      <c r="E65">
        <v>0</v>
      </c>
      <c r="F65">
        <v>0</v>
      </c>
      <c r="G65">
        <v>0.38834101651594616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</row>
    <row r="66" spans="1:12">
      <c r="A66" t="s">
        <v>479</v>
      </c>
      <c r="B66" t="s">
        <v>146</v>
      </c>
      <c r="C66">
        <v>2050</v>
      </c>
      <c r="D66">
        <v>0.55313913288505367</v>
      </c>
      <c r="E66">
        <v>0</v>
      </c>
      <c r="F66">
        <v>0</v>
      </c>
      <c r="G66">
        <v>0.3883410165159461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</row>
    <row r="67" spans="1:12">
      <c r="A67" t="s">
        <v>488</v>
      </c>
      <c r="B67" t="s">
        <v>146</v>
      </c>
      <c r="C67">
        <v>2050</v>
      </c>
      <c r="D67">
        <v>0.55313913288505379</v>
      </c>
      <c r="E67">
        <v>0</v>
      </c>
      <c r="F67">
        <v>0</v>
      </c>
      <c r="G67">
        <v>0.38834101651594616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</row>
    <row r="68" spans="1:12">
      <c r="A68" t="s">
        <v>487</v>
      </c>
      <c r="B68" t="s">
        <v>146</v>
      </c>
      <c r="C68">
        <v>2050</v>
      </c>
      <c r="D68">
        <v>0.55313913288505367</v>
      </c>
      <c r="E68">
        <v>0</v>
      </c>
      <c r="F68">
        <v>0</v>
      </c>
      <c r="G68">
        <v>0.38834101651594616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</row>
    <row r="69" spans="1:12">
      <c r="A69" t="s">
        <v>481</v>
      </c>
      <c r="B69" t="s">
        <v>146</v>
      </c>
      <c r="C69">
        <v>2050</v>
      </c>
      <c r="D69">
        <v>0.55313913288505379</v>
      </c>
      <c r="E69">
        <v>0</v>
      </c>
      <c r="F69">
        <v>0</v>
      </c>
      <c r="G69">
        <v>0.38834101651594616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</row>
    <row r="205" spans="1:1">
      <c r="A205" s="37"/>
    </row>
    <row r="206" spans="1:1">
      <c r="A206" s="37"/>
    </row>
    <row r="207" spans="1:1">
      <c r="A207" s="37"/>
    </row>
    <row r="208" spans="1:1">
      <c r="A208" s="37"/>
    </row>
    <row r="209" spans="1:1">
      <c r="A209" s="37"/>
    </row>
    <row r="210" spans="1:1">
      <c r="A210" s="37"/>
    </row>
    <row r="211" spans="1:1">
      <c r="A211" s="37"/>
    </row>
    <row r="212" spans="1:1">
      <c r="A212" s="37"/>
    </row>
    <row r="213" spans="1:1">
      <c r="A213" s="37"/>
    </row>
    <row r="214" spans="1:1">
      <c r="A214" s="37"/>
    </row>
    <row r="215" spans="1:1">
      <c r="A215" s="37"/>
    </row>
    <row r="216" spans="1:1">
      <c r="A216" s="37"/>
    </row>
    <row r="217" spans="1:1">
      <c r="A217" s="37"/>
    </row>
    <row r="218" spans="1:1">
      <c r="A218" s="37"/>
    </row>
    <row r="219" spans="1:1">
      <c r="A219" s="37"/>
    </row>
    <row r="220" spans="1:1">
      <c r="A220" s="37"/>
    </row>
    <row r="221" spans="1:1">
      <c r="A221" s="37"/>
    </row>
    <row r="222" spans="1:1">
      <c r="A222" s="37"/>
    </row>
    <row r="223" spans="1:1">
      <c r="A223" s="37"/>
    </row>
    <row r="224" spans="1:1">
      <c r="A224" s="37"/>
    </row>
    <row r="225" spans="1:1">
      <c r="A225" s="37"/>
    </row>
    <row r="226" spans="1:1">
      <c r="A226" s="37"/>
    </row>
    <row r="227" spans="1:1">
      <c r="A227" s="37"/>
    </row>
    <row r="228" spans="1:1">
      <c r="A228" s="37"/>
    </row>
    <row r="229" spans="1:1">
      <c r="A229" s="37"/>
    </row>
    <row r="230" spans="1:1">
      <c r="A230" s="37"/>
    </row>
    <row r="231" spans="1:1">
      <c r="A231" s="37"/>
    </row>
    <row r="232" spans="1:1">
      <c r="A232" s="37"/>
    </row>
    <row r="233" spans="1:1">
      <c r="A233" s="37"/>
    </row>
    <row r="234" spans="1:1">
      <c r="A234" s="37"/>
    </row>
    <row r="235" spans="1:1">
      <c r="A235" s="37"/>
    </row>
    <row r="236" spans="1:1">
      <c r="A236" s="37"/>
    </row>
    <row r="237" spans="1:1">
      <c r="A237" s="37"/>
    </row>
    <row r="238" spans="1:1">
      <c r="A238" s="37"/>
    </row>
    <row r="239" spans="1:1">
      <c r="A239" s="37"/>
    </row>
    <row r="240" spans="1:1">
      <c r="A240" s="37"/>
    </row>
    <row r="241" spans="1:1">
      <c r="A241" s="37"/>
    </row>
    <row r="242" spans="1:1">
      <c r="A242" s="37"/>
    </row>
    <row r="243" spans="1:1">
      <c r="A243" s="37"/>
    </row>
    <row r="244" spans="1:1">
      <c r="A244" s="37"/>
    </row>
    <row r="245" spans="1:1">
      <c r="A245" s="37"/>
    </row>
    <row r="246" spans="1:1">
      <c r="A246" s="37"/>
    </row>
    <row r="247" spans="1:1">
      <c r="A247" s="37"/>
    </row>
    <row r="248" spans="1:1">
      <c r="A248" s="37"/>
    </row>
    <row r="249" spans="1:1">
      <c r="A249" s="37"/>
    </row>
    <row r="250" spans="1:1">
      <c r="A250" s="37"/>
    </row>
    <row r="251" spans="1:1">
      <c r="A251" s="37"/>
    </row>
    <row r="252" spans="1:1">
      <c r="A252" s="37"/>
    </row>
    <row r="253" spans="1:1">
      <c r="A253" s="37"/>
    </row>
    <row r="254" spans="1:1">
      <c r="A254" s="37"/>
    </row>
    <row r="255" spans="1:1">
      <c r="A255" s="37"/>
    </row>
    <row r="256" spans="1:1">
      <c r="A256" s="37"/>
    </row>
    <row r="257" spans="1:1">
      <c r="A257" s="37"/>
    </row>
    <row r="258" spans="1:1">
      <c r="A258" s="37"/>
    </row>
    <row r="259" spans="1:1">
      <c r="A259" s="37"/>
    </row>
    <row r="260" spans="1:1">
      <c r="A260" s="37"/>
    </row>
    <row r="261" spans="1:1">
      <c r="A261" s="37"/>
    </row>
    <row r="262" spans="1:1">
      <c r="A262" s="37"/>
    </row>
    <row r="263" spans="1:1">
      <c r="A263" s="37"/>
    </row>
    <row r="264" spans="1:1">
      <c r="A264" s="37"/>
    </row>
    <row r="265" spans="1:1">
      <c r="A265" s="37"/>
    </row>
    <row r="266" spans="1:1">
      <c r="A266" s="37"/>
    </row>
    <row r="267" spans="1:1">
      <c r="A267" s="37"/>
    </row>
    <row r="268" spans="1:1">
      <c r="A268" s="37"/>
    </row>
    <row r="269" spans="1:1">
      <c r="A269" s="37"/>
    </row>
    <row r="270" spans="1:1">
      <c r="A270" s="37"/>
    </row>
    <row r="271" spans="1:1">
      <c r="A271" s="37"/>
    </row>
    <row r="272" spans="1:1">
      <c r="A272" s="37"/>
    </row>
    <row r="273" spans="1:1">
      <c r="A273" s="37"/>
    </row>
    <row r="274" spans="1:1">
      <c r="A274" s="37"/>
    </row>
    <row r="275" spans="1:1">
      <c r="A275" s="37"/>
    </row>
    <row r="276" spans="1:1">
      <c r="A276" s="37"/>
    </row>
    <row r="277" spans="1:1">
      <c r="A277" s="37"/>
    </row>
    <row r="278" spans="1:1">
      <c r="A278" s="37"/>
    </row>
    <row r="279" spans="1:1">
      <c r="A279" s="37"/>
    </row>
    <row r="280" spans="1:1">
      <c r="A280" s="37"/>
    </row>
    <row r="281" spans="1:1">
      <c r="A281" s="37"/>
    </row>
    <row r="282" spans="1:1">
      <c r="A282" s="37"/>
    </row>
    <row r="283" spans="1:1">
      <c r="A283" s="37"/>
    </row>
    <row r="284" spans="1:1">
      <c r="A284" s="37"/>
    </row>
    <row r="285" spans="1:1">
      <c r="A285" s="37"/>
    </row>
    <row r="286" spans="1:1">
      <c r="A286" s="37"/>
    </row>
    <row r="287" spans="1:1">
      <c r="A287" s="37"/>
    </row>
    <row r="288" spans="1:1">
      <c r="A288" s="37"/>
    </row>
    <row r="289" spans="1:1">
      <c r="A289" s="37"/>
    </row>
    <row r="290" spans="1:1">
      <c r="A290" s="37"/>
    </row>
    <row r="291" spans="1:1">
      <c r="A291" s="37"/>
    </row>
    <row r="292" spans="1:1">
      <c r="A292" s="37"/>
    </row>
    <row r="293" spans="1:1">
      <c r="A293" s="37"/>
    </row>
    <row r="294" spans="1:1">
      <c r="A294" s="37"/>
    </row>
    <row r="295" spans="1:1">
      <c r="A295" s="37"/>
    </row>
    <row r="296" spans="1:1">
      <c r="A296" s="37"/>
    </row>
    <row r="297" spans="1:1">
      <c r="A297" s="37"/>
    </row>
    <row r="298" spans="1:1">
      <c r="A298" s="37"/>
    </row>
    <row r="299" spans="1:1">
      <c r="A299" s="37"/>
    </row>
    <row r="300" spans="1:1">
      <c r="A300" s="37"/>
    </row>
    <row r="301" spans="1:1">
      <c r="A301" s="37"/>
    </row>
    <row r="302" spans="1:1">
      <c r="A302" s="37"/>
    </row>
    <row r="303" spans="1:1">
      <c r="A303" s="37"/>
    </row>
    <row r="304" spans="1:1">
      <c r="A304" s="37"/>
    </row>
    <row r="305" spans="1:1">
      <c r="A305" s="37"/>
    </row>
    <row r="306" spans="1:1">
      <c r="A306" s="37"/>
    </row>
    <row r="307" spans="1:1">
      <c r="A307" s="37"/>
    </row>
    <row r="308" spans="1:1">
      <c r="A308" s="37"/>
    </row>
    <row r="309" spans="1:1">
      <c r="A309" s="37"/>
    </row>
    <row r="310" spans="1:1">
      <c r="A310" s="37"/>
    </row>
    <row r="311" spans="1:1">
      <c r="A311" s="37"/>
    </row>
    <row r="312" spans="1:1">
      <c r="A312" s="37"/>
    </row>
    <row r="313" spans="1:1">
      <c r="A313" s="37"/>
    </row>
    <row r="314" spans="1:1">
      <c r="A314" s="37"/>
    </row>
    <row r="315" spans="1:1">
      <c r="A315" s="37"/>
    </row>
    <row r="316" spans="1:1">
      <c r="A316" s="37"/>
    </row>
    <row r="317" spans="1:1">
      <c r="A317" s="37"/>
    </row>
    <row r="318" spans="1:1">
      <c r="A318" s="37"/>
    </row>
    <row r="319" spans="1:1">
      <c r="A319" s="37"/>
    </row>
    <row r="320" spans="1:1">
      <c r="A320" s="37"/>
    </row>
    <row r="321" spans="1:1">
      <c r="A321" s="37"/>
    </row>
    <row r="322" spans="1:1">
      <c r="A322" s="37"/>
    </row>
    <row r="323" spans="1:1">
      <c r="A323" s="37"/>
    </row>
    <row r="324" spans="1:1">
      <c r="A324" s="37"/>
    </row>
    <row r="325" spans="1:1">
      <c r="A325" s="37"/>
    </row>
    <row r="326" spans="1:1">
      <c r="A326" s="37"/>
    </row>
    <row r="327" spans="1:1">
      <c r="A327" s="37"/>
    </row>
    <row r="328" spans="1:1">
      <c r="A328" s="37"/>
    </row>
    <row r="329" spans="1:1">
      <c r="A329" s="37"/>
    </row>
    <row r="330" spans="1:1">
      <c r="A330" s="37"/>
    </row>
    <row r="331" spans="1:1">
      <c r="A331" s="37"/>
    </row>
    <row r="332" spans="1:1">
      <c r="A332" s="37"/>
    </row>
    <row r="333" spans="1:1">
      <c r="A333" s="37"/>
    </row>
    <row r="334" spans="1:1">
      <c r="A334" s="37"/>
    </row>
    <row r="335" spans="1:1">
      <c r="A335" s="37"/>
    </row>
    <row r="336" spans="1:1">
      <c r="A336" s="37"/>
    </row>
    <row r="337" spans="1:1">
      <c r="A337" s="37"/>
    </row>
    <row r="338" spans="1:1">
      <c r="A338" s="37"/>
    </row>
    <row r="339" spans="1:1">
      <c r="A339" s="37"/>
    </row>
    <row r="340" spans="1:1">
      <c r="A340" s="37"/>
    </row>
    <row r="341" spans="1:1">
      <c r="A341" s="37"/>
    </row>
    <row r="342" spans="1:1">
      <c r="A342" s="37"/>
    </row>
    <row r="343" spans="1:1">
      <c r="A343" s="37"/>
    </row>
    <row r="344" spans="1:1">
      <c r="A344" s="37"/>
    </row>
    <row r="345" spans="1:1">
      <c r="A345" s="37"/>
    </row>
    <row r="346" spans="1:1">
      <c r="A346" s="37"/>
    </row>
    <row r="347" spans="1:1">
      <c r="A347" s="37"/>
    </row>
    <row r="348" spans="1:1">
      <c r="A348" s="37"/>
    </row>
    <row r="349" spans="1:1">
      <c r="A349" s="37"/>
    </row>
    <row r="350" spans="1:1">
      <c r="A350" s="37"/>
    </row>
    <row r="351" spans="1:1">
      <c r="A351" s="37"/>
    </row>
    <row r="352" spans="1:1">
      <c r="A352" s="37"/>
    </row>
    <row r="353" spans="1:1">
      <c r="A353" s="37"/>
    </row>
    <row r="354" spans="1:1">
      <c r="A354" s="37"/>
    </row>
    <row r="355" spans="1:1">
      <c r="A355" s="37"/>
    </row>
    <row r="356" spans="1:1">
      <c r="A356" s="37"/>
    </row>
    <row r="357" spans="1:1">
      <c r="A357" s="37"/>
    </row>
    <row r="358" spans="1:1">
      <c r="A358" s="37"/>
    </row>
    <row r="359" spans="1:1">
      <c r="A359" s="37"/>
    </row>
    <row r="360" spans="1:1">
      <c r="A360" s="37"/>
    </row>
    <row r="361" spans="1:1">
      <c r="A361" s="37"/>
    </row>
    <row r="362" spans="1:1">
      <c r="A362" s="37"/>
    </row>
    <row r="363" spans="1:1">
      <c r="A363" s="37"/>
    </row>
    <row r="364" spans="1:1">
      <c r="A364" s="37"/>
    </row>
    <row r="365" spans="1:1">
      <c r="A365" s="37"/>
    </row>
    <row r="366" spans="1:1">
      <c r="A366" s="37"/>
    </row>
    <row r="367" spans="1:1">
      <c r="A367" s="37"/>
    </row>
    <row r="368" spans="1:1">
      <c r="A368" s="37"/>
    </row>
    <row r="369" spans="1:1">
      <c r="A369" s="37"/>
    </row>
    <row r="370" spans="1:1">
      <c r="A370" s="37"/>
    </row>
    <row r="371" spans="1:1">
      <c r="A371" s="37"/>
    </row>
    <row r="372" spans="1:1">
      <c r="A372" s="37"/>
    </row>
    <row r="373" spans="1:1">
      <c r="A373" s="37"/>
    </row>
    <row r="374" spans="1:1">
      <c r="A374" s="37"/>
    </row>
    <row r="375" spans="1:1">
      <c r="A375" s="37"/>
    </row>
    <row r="376" spans="1:1">
      <c r="A376" s="37"/>
    </row>
    <row r="377" spans="1:1">
      <c r="A377" s="37"/>
    </row>
    <row r="378" spans="1:1">
      <c r="A378" s="37"/>
    </row>
    <row r="379" spans="1:1">
      <c r="A379" s="37"/>
    </row>
    <row r="380" spans="1:1">
      <c r="A380" s="37"/>
    </row>
    <row r="381" spans="1:1">
      <c r="A381" s="37"/>
    </row>
    <row r="382" spans="1:1">
      <c r="A382" s="37"/>
    </row>
    <row r="383" spans="1:1">
      <c r="A383" s="37"/>
    </row>
    <row r="384" spans="1:1">
      <c r="A384" s="37"/>
    </row>
    <row r="385" spans="1:1">
      <c r="A385" s="37"/>
    </row>
    <row r="386" spans="1:1">
      <c r="A386" s="37"/>
    </row>
    <row r="387" spans="1:1">
      <c r="A387" s="37"/>
    </row>
    <row r="388" spans="1:1">
      <c r="A388" s="37"/>
    </row>
    <row r="389" spans="1:1">
      <c r="A389" s="37"/>
    </row>
    <row r="390" spans="1:1">
      <c r="A390" s="37"/>
    </row>
    <row r="391" spans="1:1">
      <c r="A391" s="37"/>
    </row>
    <row r="392" spans="1:1">
      <c r="A392" s="37"/>
    </row>
    <row r="393" spans="1:1">
      <c r="A393" s="37"/>
    </row>
    <row r="394" spans="1:1">
      <c r="A394" s="37"/>
    </row>
    <row r="395" spans="1:1">
      <c r="A395" s="37"/>
    </row>
    <row r="396" spans="1:1">
      <c r="A396" s="37"/>
    </row>
    <row r="397" spans="1:1">
      <c r="A397" s="37"/>
    </row>
    <row r="398" spans="1:1">
      <c r="A398" s="37"/>
    </row>
    <row r="399" spans="1:1">
      <c r="A399" s="37"/>
    </row>
    <row r="400" spans="1:1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zoomScaleNormal="100" workbookViewId="0">
      <selection activeCell="R50" sqref="A1:XFD1048576"/>
    </sheetView>
  </sheetViews>
  <sheetFormatPr defaultColWidth="9.140625" defaultRowHeight="15"/>
  <cols>
    <col min="1" max="1" width="9.140625" style="4"/>
    <col min="2" max="2" width="15.42578125" style="4" bestFit="1" customWidth="1"/>
    <col min="3" max="3" width="13.42578125" style="4" bestFit="1" customWidth="1"/>
    <col min="4" max="5" width="9.140625" style="4"/>
    <col min="6" max="7" width="13.42578125" style="4" bestFit="1" customWidth="1"/>
    <col min="8" max="8" width="14.140625" style="4" bestFit="1" customWidth="1"/>
    <col min="9" max="16384" width="9.140625" style="4"/>
  </cols>
  <sheetData>
    <row r="1" spans="1:12">
      <c r="A1" s="4" t="s">
        <v>418</v>
      </c>
    </row>
    <row r="2" spans="1:12">
      <c r="A2" s="4" t="s">
        <v>353</v>
      </c>
    </row>
    <row r="3" spans="1:12">
      <c r="A3" s="4" t="s">
        <v>383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1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1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1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1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1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1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1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1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1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1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1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1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1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1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1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1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zoomScaleNormal="100" workbookViewId="0">
      <selection activeCell="K11" sqref="K11"/>
    </sheetView>
  </sheetViews>
  <sheetFormatPr defaultColWidth="9.140625" defaultRowHeight="15"/>
  <cols>
    <col min="1" max="16384" width="9.140625" style="4"/>
  </cols>
  <sheetData>
    <row r="1" spans="1:11">
      <c r="A1" s="4" t="s">
        <v>419</v>
      </c>
    </row>
    <row r="2" spans="1:11">
      <c r="A2" s="4" t="s">
        <v>352</v>
      </c>
    </row>
    <row r="3" spans="1:11">
      <c r="A3" s="4" t="s">
        <v>383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1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1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1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1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1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1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1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1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1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1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1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1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1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1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1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1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">
      <c r="A1" s="4" t="s">
        <v>421</v>
      </c>
    </row>
    <row r="2" spans="1:1">
      <c r="A2" s="4" t="s">
        <v>420</v>
      </c>
    </row>
    <row r="3" spans="1:1">
      <c r="A3" s="4" t="s">
        <v>390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1">
      <c r="A1" s="4" t="s">
        <v>422</v>
      </c>
    </row>
    <row r="2" spans="1:11">
      <c r="A2" s="4" t="s">
        <v>354</v>
      </c>
    </row>
    <row r="3" spans="1:11">
      <c r="A3" s="4" t="s">
        <v>365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485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140625" defaultRowHeight="15"/>
  <cols>
    <col min="1" max="16384" width="9.140625" style="28"/>
  </cols>
  <sheetData>
    <row r="1" spans="1:9">
      <c r="A1" s="28" t="s">
        <v>423</v>
      </c>
    </row>
    <row r="2" spans="1:9">
      <c r="A2" s="28" t="s">
        <v>355</v>
      </c>
    </row>
    <row r="3" spans="1:9">
      <c r="A3" s="28" t="s">
        <v>365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485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0">
      <c r="A1" s="4" t="s">
        <v>425</v>
      </c>
    </row>
    <row r="2" spans="1:10">
      <c r="A2" s="4" t="s">
        <v>424</v>
      </c>
    </row>
    <row r="3" spans="1:10">
      <c r="A3" s="4" t="s">
        <v>383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0">
      <c r="A1" s="4" t="s">
        <v>427</v>
      </c>
    </row>
    <row r="2" spans="1:10">
      <c r="A2" s="4" t="s">
        <v>426</v>
      </c>
    </row>
    <row r="3" spans="1:10">
      <c r="A3" s="4" t="s">
        <v>406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485</v>
      </c>
      <c r="B6" t="s">
        <v>142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485</v>
      </c>
      <c r="B7" t="s">
        <v>149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485</v>
      </c>
      <c r="B8" t="s">
        <v>150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485</v>
      </c>
      <c r="B9" t="s">
        <v>143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485</v>
      </c>
      <c r="B10" t="s">
        <v>144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485</v>
      </c>
      <c r="B11" t="s">
        <v>246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485</v>
      </c>
      <c r="B12" t="s">
        <v>192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485</v>
      </c>
      <c r="B13" t="s">
        <v>248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140625" defaultRowHeight="15"/>
  <cols>
    <col min="1" max="2" width="9.140625" style="4"/>
    <col min="3" max="10" width="16.85546875" style="4" customWidth="1"/>
    <col min="11" max="16384" width="9.140625" style="4"/>
  </cols>
  <sheetData>
    <row r="1" spans="1:10">
      <c r="A1" s="4" t="s">
        <v>429</v>
      </c>
    </row>
    <row r="2" spans="1:10">
      <c r="A2" s="4" t="s">
        <v>428</v>
      </c>
    </row>
    <row r="3" spans="1:10">
      <c r="A3" s="4" t="s">
        <v>363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M13" sqref="M13"/>
    </sheetView>
  </sheetViews>
  <sheetFormatPr defaultColWidth="9.140625" defaultRowHeight="15"/>
  <cols>
    <col min="1" max="16384" width="9.140625" style="4"/>
  </cols>
  <sheetData>
    <row r="1" spans="1:10">
      <c r="A1" s="4" t="s">
        <v>432</v>
      </c>
    </row>
    <row r="2" spans="1:10">
      <c r="A2" s="4" t="s">
        <v>431</v>
      </c>
    </row>
    <row r="3" spans="1:10">
      <c r="A3" s="4" t="s">
        <v>390</v>
      </c>
    </row>
    <row r="5" spans="1:10">
      <c r="A5" s="4" t="s">
        <v>430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2023-07-25T16:23:11Z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